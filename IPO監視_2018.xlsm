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8" i="7" l="1"/>
  <c r="X58" i="7"/>
  <c r="V58" i="7"/>
  <c r="T58" i="7"/>
  <c r="R58" i="7"/>
  <c r="P58" i="7"/>
  <c r="N58" i="7"/>
  <c r="L58" i="7"/>
  <c r="J58" i="7"/>
  <c r="H58" i="7"/>
  <c r="AA58" i="7" s="1"/>
  <c r="F57" i="7"/>
  <c r="D57" i="7"/>
  <c r="AA57" i="7" s="1"/>
  <c r="B56" i="7" l="1"/>
  <c r="A62" i="6"/>
  <c r="B62" i="6"/>
  <c r="C62" i="6"/>
  <c r="D62" i="6"/>
  <c r="F62" i="6"/>
  <c r="E62" i="6" s="1"/>
  <c r="A63" i="6"/>
  <c r="B63" i="6"/>
  <c r="C63" i="6"/>
  <c r="D63" i="6"/>
  <c r="F63" i="6"/>
  <c r="E63" i="6" s="1"/>
  <c r="A64" i="6"/>
  <c r="B64" i="6"/>
  <c r="C64" i="6"/>
  <c r="D64" i="6"/>
  <c r="R64" i="5" s="1"/>
  <c r="F64" i="6"/>
  <c r="E64" i="6" s="1"/>
  <c r="T64" i="5" s="1"/>
  <c r="Q64" i="5" s="1"/>
  <c r="A65" i="6"/>
  <c r="B65" i="6"/>
  <c r="C65" i="6"/>
  <c r="D65" i="6"/>
  <c r="R65" i="5" s="1"/>
  <c r="F65" i="6"/>
  <c r="E65" i="6" s="1"/>
  <c r="T65" i="5" s="1"/>
  <c r="Q65" i="5" s="1"/>
  <c r="A66" i="6"/>
  <c r="B66" i="6"/>
  <c r="C66" i="6"/>
  <c r="D66" i="6"/>
  <c r="R66" i="5" s="1"/>
  <c r="F66" i="6"/>
  <c r="E66" i="6" s="1"/>
  <c r="T66" i="5" s="1"/>
  <c r="Q66" i="5" s="1"/>
  <c r="A67" i="6"/>
  <c r="B67" i="6"/>
  <c r="C67" i="6"/>
  <c r="D67" i="6"/>
  <c r="R67" i="5" s="1"/>
  <c r="F67" i="6"/>
  <c r="E67" i="6" s="1"/>
  <c r="T67" i="5" s="1"/>
  <c r="A68" i="6"/>
  <c r="B68" i="6"/>
  <c r="C68" i="6"/>
  <c r="D68" i="6"/>
  <c r="R68" i="5" s="1"/>
  <c r="F68" i="6"/>
  <c r="E68" i="6" s="1"/>
  <c r="T68" i="5" s="1"/>
  <c r="Q68" i="5" s="1"/>
  <c r="A69" i="6"/>
  <c r="B69" i="6"/>
  <c r="C69" i="6"/>
  <c r="D69" i="6"/>
  <c r="R69" i="5" s="1"/>
  <c r="F69" i="6"/>
  <c r="W69" i="5" s="1"/>
  <c r="A70" i="6"/>
  <c r="B70" i="6"/>
  <c r="C70" i="6"/>
  <c r="D70" i="6"/>
  <c r="R70" i="5" s="1"/>
  <c r="F70" i="6"/>
  <c r="E70" i="6" s="1"/>
  <c r="T70" i="5" s="1"/>
  <c r="Q70" i="5" s="1"/>
  <c r="A71" i="6"/>
  <c r="B71" i="6"/>
  <c r="C71" i="6"/>
  <c r="D71" i="6"/>
  <c r="R71" i="5" s="1"/>
  <c r="F71" i="6"/>
  <c r="E71" i="6" s="1"/>
  <c r="T71" i="5" s="1"/>
  <c r="B62" i="5"/>
  <c r="C62" i="5"/>
  <c r="D62" i="5"/>
  <c r="E62" i="5"/>
  <c r="F62" i="5"/>
  <c r="G62" i="5"/>
  <c r="B63" i="5"/>
  <c r="C63" i="5"/>
  <c r="D63" i="5"/>
  <c r="E63" i="5"/>
  <c r="F63" i="5"/>
  <c r="G63" i="5"/>
  <c r="B64" i="5"/>
  <c r="C64" i="5"/>
  <c r="D64" i="5"/>
  <c r="E64" i="5"/>
  <c r="F64" i="5"/>
  <c r="G64" i="5"/>
  <c r="B65" i="5"/>
  <c r="C65" i="5"/>
  <c r="D65" i="5"/>
  <c r="E65" i="5"/>
  <c r="F65" i="5"/>
  <c r="G65" i="5"/>
  <c r="B66" i="5"/>
  <c r="C66" i="5"/>
  <c r="D66" i="5"/>
  <c r="E66" i="5"/>
  <c r="F66" i="5"/>
  <c r="G66" i="5"/>
  <c r="B67" i="5"/>
  <c r="C67" i="5"/>
  <c r="D67" i="5"/>
  <c r="E67" i="5"/>
  <c r="F67" i="5"/>
  <c r="G67" i="5"/>
  <c r="B68" i="5"/>
  <c r="C68" i="5"/>
  <c r="D68" i="5"/>
  <c r="E68" i="5"/>
  <c r="F68" i="5"/>
  <c r="G68" i="5"/>
  <c r="B69" i="5"/>
  <c r="C69" i="5"/>
  <c r="D69" i="5"/>
  <c r="E69" i="5"/>
  <c r="F69" i="5"/>
  <c r="G69" i="5"/>
  <c r="B70" i="5"/>
  <c r="C70" i="5"/>
  <c r="D70" i="5"/>
  <c r="E70" i="5"/>
  <c r="F70" i="5"/>
  <c r="G70" i="5"/>
  <c r="B71" i="5"/>
  <c r="C71" i="5"/>
  <c r="D71" i="5"/>
  <c r="E71" i="5"/>
  <c r="F71" i="5"/>
  <c r="G71" i="5"/>
  <c r="B72" i="5"/>
  <c r="C72" i="5"/>
  <c r="D72" i="5"/>
  <c r="E72" i="5"/>
  <c r="F72" i="5"/>
  <c r="G72" i="5"/>
  <c r="Q72" i="5"/>
  <c r="R72" i="5"/>
  <c r="T72" i="5"/>
  <c r="W72" i="5"/>
  <c r="B73" i="5"/>
  <c r="C73" i="5"/>
  <c r="D73" i="5"/>
  <c r="E73" i="5"/>
  <c r="F73" i="5"/>
  <c r="G73" i="5"/>
  <c r="X73" i="5" s="1"/>
  <c r="Q73" i="5"/>
  <c r="R73" i="5"/>
  <c r="T73" i="5"/>
  <c r="W73" i="5"/>
  <c r="A64" i="4"/>
  <c r="B64" i="4"/>
  <c r="C64" i="4"/>
  <c r="F64" i="4" s="1"/>
  <c r="D64" i="4"/>
  <c r="G64" i="4" s="1"/>
  <c r="E64" i="4"/>
  <c r="N64" i="4"/>
  <c r="A65" i="4"/>
  <c r="B65" i="4"/>
  <c r="C65" i="4"/>
  <c r="F65" i="4" s="1"/>
  <c r="D65" i="4"/>
  <c r="G65" i="4" s="1"/>
  <c r="E65" i="4"/>
  <c r="N65" i="4"/>
  <c r="A66" i="4"/>
  <c r="B66" i="4"/>
  <c r="C66" i="4"/>
  <c r="F66" i="4" s="1"/>
  <c r="D66" i="4"/>
  <c r="G66" i="4" s="1"/>
  <c r="E66" i="4"/>
  <c r="N66" i="4"/>
  <c r="A67" i="4"/>
  <c r="B67" i="4"/>
  <c r="C67" i="4"/>
  <c r="F67" i="4" s="1"/>
  <c r="D67" i="4"/>
  <c r="G67" i="4" s="1"/>
  <c r="E67" i="4"/>
  <c r="N67" i="4"/>
  <c r="A68" i="4"/>
  <c r="B68" i="4"/>
  <c r="C68" i="4"/>
  <c r="F68" i="4" s="1"/>
  <c r="D68" i="4"/>
  <c r="G68" i="4" s="1"/>
  <c r="E68" i="4"/>
  <c r="N68" i="4"/>
  <c r="A69" i="4"/>
  <c r="B69" i="4"/>
  <c r="C69" i="4"/>
  <c r="F69" i="4" s="1"/>
  <c r="D69" i="4"/>
  <c r="G69" i="4" s="1"/>
  <c r="E69" i="4"/>
  <c r="N69" i="4"/>
  <c r="A70" i="4"/>
  <c r="B70" i="4"/>
  <c r="C70" i="4"/>
  <c r="F70" i="4" s="1"/>
  <c r="D70" i="4"/>
  <c r="G70" i="4" s="1"/>
  <c r="E70" i="4"/>
  <c r="N70" i="4"/>
  <c r="A71" i="4"/>
  <c r="B71" i="4"/>
  <c r="C71" i="4"/>
  <c r="F71" i="4" s="1"/>
  <c r="D71" i="4"/>
  <c r="G71" i="4" s="1"/>
  <c r="E71" i="4"/>
  <c r="N71" i="4"/>
  <c r="A72" i="4"/>
  <c r="B72" i="4"/>
  <c r="C72" i="4"/>
  <c r="F72" i="4" s="1"/>
  <c r="D72" i="4"/>
  <c r="G72" i="4" s="1"/>
  <c r="E72" i="4"/>
  <c r="N72" i="4"/>
  <c r="A73" i="4"/>
  <c r="B73" i="4"/>
  <c r="C73" i="4"/>
  <c r="F73" i="4" s="1"/>
  <c r="D73" i="4"/>
  <c r="G73" i="4" s="1"/>
  <c r="E73" i="4"/>
  <c r="N73" i="4"/>
  <c r="A74" i="4"/>
  <c r="B74" i="4"/>
  <c r="C74" i="4"/>
  <c r="F74" i="4" s="1"/>
  <c r="D74" i="4"/>
  <c r="G74" i="4" s="1"/>
  <c r="E74" i="4"/>
  <c r="N74" i="4"/>
  <c r="A75" i="4"/>
  <c r="B75" i="4"/>
  <c r="C75" i="4"/>
  <c r="F75" i="4" s="1"/>
  <c r="D75" i="4"/>
  <c r="G75" i="4" s="1"/>
  <c r="E75" i="4"/>
  <c r="N75" i="4"/>
  <c r="A76" i="4"/>
  <c r="B76" i="4"/>
  <c r="C76" i="4"/>
  <c r="F76" i="4" s="1"/>
  <c r="D76" i="4"/>
  <c r="G76" i="4" s="1"/>
  <c r="E76" i="4"/>
  <c r="N76" i="4"/>
  <c r="M68" i="5" l="1"/>
  <c r="I66" i="5"/>
  <c r="I62" i="5"/>
  <c r="I69" i="5"/>
  <c r="J70" i="5"/>
  <c r="N69" i="5"/>
  <c r="M71" i="5"/>
  <c r="M72" i="5"/>
  <c r="N73" i="5"/>
  <c r="J69" i="5"/>
  <c r="S66" i="5"/>
  <c r="S71" i="5"/>
  <c r="I72" i="5"/>
  <c r="J65" i="5"/>
  <c r="I63" i="5"/>
  <c r="I68" i="5"/>
  <c r="N66" i="5"/>
  <c r="M65" i="5"/>
  <c r="M63" i="5"/>
  <c r="S70" i="5"/>
  <c r="S73" i="5"/>
  <c r="M69" i="5"/>
  <c r="K67" i="5"/>
  <c r="I64" i="5"/>
  <c r="P62" i="5"/>
  <c r="M62" i="5"/>
  <c r="K71" i="5"/>
  <c r="N70" i="5"/>
  <c r="M67" i="5"/>
  <c r="W65" i="5"/>
  <c r="X65" i="5" s="1"/>
  <c r="N64" i="5"/>
  <c r="K62" i="5"/>
  <c r="P70" i="5"/>
  <c r="M73" i="5"/>
  <c r="X69" i="5"/>
  <c r="K66" i="5"/>
  <c r="N65" i="5"/>
  <c r="E69" i="6"/>
  <c r="T69" i="5" s="1"/>
  <c r="Q69" i="5" s="1"/>
  <c r="S67" i="5"/>
  <c r="I73" i="5"/>
  <c r="I70" i="5"/>
  <c r="N68" i="5"/>
  <c r="J67" i="5"/>
  <c r="K63" i="5"/>
  <c r="J62" i="5"/>
  <c r="S65" i="5"/>
  <c r="S69" i="5"/>
  <c r="J73" i="5"/>
  <c r="N72" i="5"/>
  <c r="J71" i="5"/>
  <c r="K70" i="5"/>
  <c r="P66" i="5"/>
  <c r="M66" i="5"/>
  <c r="I65" i="5"/>
  <c r="M64" i="5"/>
  <c r="J63" i="5"/>
  <c r="N62" i="5"/>
  <c r="U71" i="5"/>
  <c r="Q71" i="5"/>
  <c r="Q67" i="5"/>
  <c r="U67" i="5"/>
  <c r="J66" i="5"/>
  <c r="W64" i="5"/>
  <c r="X64" i="5" s="1"/>
  <c r="U72" i="5"/>
  <c r="U64" i="5"/>
  <c r="K64" i="5"/>
  <c r="P63" i="5"/>
  <c r="U73" i="5"/>
  <c r="K73" i="5"/>
  <c r="P72" i="5"/>
  <c r="J72" i="5"/>
  <c r="N71" i="5"/>
  <c r="I71" i="5"/>
  <c r="W70" i="5"/>
  <c r="X70" i="5" s="1"/>
  <c r="M70" i="5"/>
  <c r="K69" i="5"/>
  <c r="P68" i="5"/>
  <c r="J68" i="5"/>
  <c r="N67" i="5"/>
  <c r="I67" i="5"/>
  <c r="W66" i="5"/>
  <c r="X66" i="5" s="1"/>
  <c r="U65" i="5"/>
  <c r="K65" i="5"/>
  <c r="P64" i="5"/>
  <c r="J64" i="5"/>
  <c r="N63" i="5"/>
  <c r="W68" i="5"/>
  <c r="X68" i="5" s="1"/>
  <c r="K72" i="5"/>
  <c r="P71" i="5"/>
  <c r="U68" i="5"/>
  <c r="K68" i="5"/>
  <c r="P67" i="5"/>
  <c r="P73" i="5"/>
  <c r="X72" i="5"/>
  <c r="S72" i="5"/>
  <c r="W71" i="5"/>
  <c r="X71" i="5" s="1"/>
  <c r="U70" i="5"/>
  <c r="P69" i="5"/>
  <c r="S68" i="5"/>
  <c r="W67" i="5"/>
  <c r="X67" i="5" s="1"/>
  <c r="U66" i="5"/>
  <c r="P65" i="5"/>
  <c r="S64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U69" i="5" l="1"/>
  <c r="A60" i="6"/>
  <c r="B60" i="6"/>
  <c r="C60" i="6"/>
  <c r="D60" i="6"/>
  <c r="R60" i="5" s="1"/>
  <c r="F60" i="6"/>
  <c r="E60" i="6" s="1"/>
  <c r="T60" i="5" s="1"/>
  <c r="Q60" i="5" s="1"/>
  <c r="A61" i="6"/>
  <c r="B61" i="6"/>
  <c r="C61" i="6"/>
  <c r="D61" i="6"/>
  <c r="R61" i="5" s="1"/>
  <c r="F61" i="6"/>
  <c r="E61" i="6" s="1"/>
  <c r="T61" i="5" s="1"/>
  <c r="Q61" i="5" s="1"/>
  <c r="R62" i="5"/>
  <c r="S62" i="5" s="1"/>
  <c r="R63" i="5"/>
  <c r="S63" i="5" s="1"/>
  <c r="W63" i="5"/>
  <c r="X63" i="5" s="1"/>
  <c r="B59" i="5"/>
  <c r="C59" i="5"/>
  <c r="D59" i="5"/>
  <c r="E59" i="5"/>
  <c r="F59" i="5"/>
  <c r="G59" i="5"/>
  <c r="B60" i="5"/>
  <c r="C60" i="5"/>
  <c r="D60" i="5"/>
  <c r="E60" i="5"/>
  <c r="F60" i="5"/>
  <c r="G60" i="5"/>
  <c r="B61" i="5"/>
  <c r="C61" i="5"/>
  <c r="D61" i="5"/>
  <c r="E61" i="5"/>
  <c r="F61" i="5"/>
  <c r="G61" i="5"/>
  <c r="T62" i="5" l="1"/>
  <c r="W62" i="5"/>
  <c r="X62" i="5" s="1"/>
  <c r="P59" i="5"/>
  <c r="W61" i="5"/>
  <c r="X61" i="5" s="1"/>
  <c r="N61" i="5"/>
  <c r="M61" i="5"/>
  <c r="I60" i="5"/>
  <c r="J59" i="5"/>
  <c r="I61" i="5"/>
  <c r="K59" i="5"/>
  <c r="W60" i="5"/>
  <c r="X60" i="5" s="1"/>
  <c r="U60" i="5"/>
  <c r="K60" i="5"/>
  <c r="T63" i="5"/>
  <c r="M60" i="5"/>
  <c r="M59" i="5"/>
  <c r="U61" i="5"/>
  <c r="K61" i="5"/>
  <c r="P60" i="5"/>
  <c r="J60" i="5"/>
  <c r="N59" i="5"/>
  <c r="I59" i="5"/>
  <c r="P61" i="5"/>
  <c r="J61" i="5"/>
  <c r="S60" i="5"/>
  <c r="N60" i="5"/>
  <c r="S61" i="5"/>
  <c r="B56" i="5"/>
  <c r="C56" i="5"/>
  <c r="D56" i="5"/>
  <c r="E56" i="5"/>
  <c r="F56" i="5"/>
  <c r="G56" i="5"/>
  <c r="B57" i="5"/>
  <c r="C57" i="5"/>
  <c r="D57" i="5"/>
  <c r="E57" i="5"/>
  <c r="F57" i="5"/>
  <c r="G57" i="5"/>
  <c r="B58" i="5"/>
  <c r="C58" i="5"/>
  <c r="D58" i="5"/>
  <c r="E58" i="5"/>
  <c r="F58" i="5"/>
  <c r="G58" i="5"/>
  <c r="A55" i="6"/>
  <c r="B55" i="6"/>
  <c r="C55" i="6"/>
  <c r="D55" i="6"/>
  <c r="F55" i="6"/>
  <c r="E55" i="6" s="1"/>
  <c r="A56" i="6"/>
  <c r="B56" i="6"/>
  <c r="C56" i="6"/>
  <c r="D56" i="6"/>
  <c r="R56" i="5" s="1"/>
  <c r="F56" i="6"/>
  <c r="E56" i="6" s="1"/>
  <c r="T56" i="5" s="1"/>
  <c r="Q56" i="5" s="1"/>
  <c r="A57" i="6"/>
  <c r="B57" i="6"/>
  <c r="C57" i="6"/>
  <c r="D57" i="6"/>
  <c r="R57" i="5" s="1"/>
  <c r="F57" i="6"/>
  <c r="E57" i="6" s="1"/>
  <c r="T57" i="5" s="1"/>
  <c r="A58" i="6"/>
  <c r="B58" i="6"/>
  <c r="C58" i="6"/>
  <c r="D58" i="6"/>
  <c r="R58" i="5" s="1"/>
  <c r="F58" i="6"/>
  <c r="E58" i="6" s="1"/>
  <c r="T58" i="5" s="1"/>
  <c r="Q58" i="5" s="1"/>
  <c r="A59" i="6"/>
  <c r="B59" i="6"/>
  <c r="C59" i="6"/>
  <c r="D59" i="6"/>
  <c r="R59" i="5" s="1"/>
  <c r="S59" i="5" s="1"/>
  <c r="F59" i="6"/>
  <c r="Q63" i="5" l="1"/>
  <c r="U63" i="5"/>
  <c r="Q62" i="5"/>
  <c r="U62" i="5"/>
  <c r="E59" i="6"/>
  <c r="T59" i="5" s="1"/>
  <c r="W59" i="5"/>
  <c r="X59" i="5" s="1"/>
  <c r="J56" i="5"/>
  <c r="P56" i="5"/>
  <c r="K57" i="5"/>
  <c r="K56" i="5"/>
  <c r="N58" i="5"/>
  <c r="N56" i="5"/>
  <c r="I57" i="5"/>
  <c r="M58" i="5"/>
  <c r="M57" i="5"/>
  <c r="I58" i="5"/>
  <c r="M56" i="5"/>
  <c r="W58" i="5"/>
  <c r="X58" i="5" s="1"/>
  <c r="I56" i="5"/>
  <c r="Q57" i="5"/>
  <c r="U57" i="5"/>
  <c r="U58" i="5"/>
  <c r="K58" i="5"/>
  <c r="P57" i="5"/>
  <c r="J57" i="5"/>
  <c r="S56" i="5"/>
  <c r="P58" i="5"/>
  <c r="J58" i="5"/>
  <c r="S57" i="5"/>
  <c r="N57" i="5"/>
  <c r="W56" i="5"/>
  <c r="X56" i="5" s="1"/>
  <c r="S58" i="5"/>
  <c r="W57" i="5"/>
  <c r="X57" i="5" s="1"/>
  <c r="U56" i="5"/>
  <c r="Z53" i="7"/>
  <c r="X53" i="7"/>
  <c r="V53" i="7"/>
  <c r="T53" i="7"/>
  <c r="R53" i="7"/>
  <c r="P53" i="7"/>
  <c r="N53" i="7"/>
  <c r="L53" i="7"/>
  <c r="J53" i="7"/>
  <c r="H53" i="7"/>
  <c r="AA53" i="7" s="1"/>
  <c r="F52" i="7"/>
  <c r="D52" i="7"/>
  <c r="Q59" i="5" l="1"/>
  <c r="U59" i="5"/>
  <c r="AA52" i="7"/>
  <c r="B51" i="7"/>
  <c r="B53" i="5"/>
  <c r="D53" i="5"/>
  <c r="E53" i="5"/>
  <c r="F53" i="5"/>
  <c r="G53" i="5"/>
  <c r="B54" i="5"/>
  <c r="C54" i="5"/>
  <c r="D54" i="5"/>
  <c r="E54" i="5"/>
  <c r="F54" i="5"/>
  <c r="G54" i="5"/>
  <c r="B55" i="5"/>
  <c r="C55" i="5"/>
  <c r="D55" i="5"/>
  <c r="E55" i="5"/>
  <c r="F55" i="5"/>
  <c r="G55" i="5"/>
  <c r="R55" i="5"/>
  <c r="T55" i="5"/>
  <c r="Q55" i="5" s="1"/>
  <c r="W55" i="5"/>
  <c r="I54" i="5" l="1"/>
  <c r="I53" i="5"/>
  <c r="N53" i="5"/>
  <c r="I55" i="5"/>
  <c r="P53" i="5"/>
  <c r="M55" i="5"/>
  <c r="K53" i="5"/>
  <c r="M53" i="5"/>
  <c r="N55" i="5"/>
  <c r="M54" i="5"/>
  <c r="K54" i="5"/>
  <c r="J53" i="5"/>
  <c r="K55" i="5"/>
  <c r="U55" i="5"/>
  <c r="P54" i="5"/>
  <c r="J54" i="5"/>
  <c r="P55" i="5"/>
  <c r="J55" i="5"/>
  <c r="N54" i="5"/>
  <c r="X55" i="5"/>
  <c r="S55" i="5"/>
  <c r="A41" i="6"/>
  <c r="C41" i="6"/>
  <c r="D41" i="6"/>
  <c r="F41" i="6"/>
  <c r="E41" i="6" s="1"/>
  <c r="C42" i="6"/>
  <c r="D42" i="6"/>
  <c r="F42" i="6"/>
  <c r="E42" i="6" s="1"/>
  <c r="C43" i="6"/>
  <c r="D43" i="6"/>
  <c r="F43" i="6"/>
  <c r="E43" i="6" s="1"/>
  <c r="C44" i="6"/>
  <c r="D44" i="6"/>
  <c r="F44" i="6"/>
  <c r="E44" i="6" s="1"/>
  <c r="C45" i="6"/>
  <c r="D45" i="6"/>
  <c r="F45" i="6"/>
  <c r="E45" i="6" s="1"/>
  <c r="C46" i="6"/>
  <c r="D46" i="6"/>
  <c r="F46" i="6"/>
  <c r="E46" i="6" s="1"/>
  <c r="C47" i="6"/>
  <c r="D47" i="6"/>
  <c r="F47" i="6"/>
  <c r="E47" i="6" s="1"/>
  <c r="C48" i="6"/>
  <c r="D48" i="6"/>
  <c r="F48" i="6"/>
  <c r="E48" i="6" s="1"/>
  <c r="C49" i="6"/>
  <c r="D49" i="6"/>
  <c r="F49" i="6"/>
  <c r="E49" i="6" s="1"/>
  <c r="C50" i="6"/>
  <c r="D50" i="6"/>
  <c r="F50" i="6"/>
  <c r="E50" i="6" s="1"/>
  <c r="C51" i="6"/>
  <c r="D51" i="6"/>
  <c r="F51" i="6"/>
  <c r="E51" i="6" s="1"/>
  <c r="C52" i="6"/>
  <c r="D52" i="6"/>
  <c r="F52" i="6"/>
  <c r="E52" i="6" s="1"/>
  <c r="C53" i="6"/>
  <c r="D53" i="6"/>
  <c r="R53" i="5" s="1"/>
  <c r="S53" i="5" s="1"/>
  <c r="F53" i="6"/>
  <c r="C54" i="6"/>
  <c r="D54" i="6"/>
  <c r="R54" i="5" s="1"/>
  <c r="S54" i="5" s="1"/>
  <c r="F54" i="6"/>
  <c r="E53" i="6" l="1"/>
  <c r="T53" i="5" s="1"/>
  <c r="W53" i="5"/>
  <c r="X53" i="5" s="1"/>
  <c r="E54" i="6"/>
  <c r="T54" i="5" s="1"/>
  <c r="W54" i="5"/>
  <c r="X54" i="5" s="1"/>
  <c r="K25" i="9"/>
  <c r="K24" i="9"/>
  <c r="K23" i="9"/>
  <c r="K22" i="9"/>
  <c r="K21" i="9"/>
  <c r="C17" i="9"/>
  <c r="C18" i="9"/>
  <c r="C21" i="9"/>
  <c r="G21" i="9" s="1"/>
  <c r="C22" i="9"/>
  <c r="G22" i="9" s="1"/>
  <c r="Q54" i="5" l="1"/>
  <c r="U54" i="5"/>
  <c r="Q53" i="5"/>
  <c r="U53" i="5"/>
  <c r="A52" i="4"/>
  <c r="B52" i="4"/>
  <c r="C52" i="4"/>
  <c r="D52" i="4"/>
  <c r="G52" i="4" s="1"/>
  <c r="E52" i="4"/>
  <c r="N52" i="4"/>
  <c r="A53" i="4"/>
  <c r="B53" i="4"/>
  <c r="C53" i="4"/>
  <c r="D53" i="4"/>
  <c r="G53" i="4" s="1"/>
  <c r="E53" i="4"/>
  <c r="F53" i="4"/>
  <c r="N53" i="4"/>
  <c r="A54" i="4"/>
  <c r="B54" i="4"/>
  <c r="C54" i="4"/>
  <c r="F54" i="4" s="1"/>
  <c r="D54" i="4"/>
  <c r="G54" i="4" s="1"/>
  <c r="E54" i="4"/>
  <c r="N54" i="4"/>
  <c r="A55" i="4"/>
  <c r="B55" i="4"/>
  <c r="C55" i="4"/>
  <c r="D55" i="4"/>
  <c r="G55" i="4" s="1"/>
  <c r="E55" i="4"/>
  <c r="N55" i="4"/>
  <c r="A56" i="4"/>
  <c r="B56" i="4"/>
  <c r="C56" i="4"/>
  <c r="F56" i="4" s="1"/>
  <c r="D56" i="4"/>
  <c r="G56" i="4" s="1"/>
  <c r="E56" i="4"/>
  <c r="N56" i="4"/>
  <c r="A57" i="4"/>
  <c r="B57" i="4"/>
  <c r="C57" i="4"/>
  <c r="D57" i="4"/>
  <c r="G57" i="4" s="1"/>
  <c r="E57" i="4"/>
  <c r="F57" i="4" s="1"/>
  <c r="N57" i="4"/>
  <c r="A58" i="4"/>
  <c r="B58" i="4"/>
  <c r="C58" i="4"/>
  <c r="F58" i="4" s="1"/>
  <c r="D58" i="4"/>
  <c r="G58" i="4" s="1"/>
  <c r="E58" i="4"/>
  <c r="N58" i="4"/>
  <c r="A59" i="4"/>
  <c r="B59" i="4"/>
  <c r="C59" i="4"/>
  <c r="D59" i="4"/>
  <c r="G59" i="4" s="1"/>
  <c r="E59" i="4"/>
  <c r="F59" i="4" s="1"/>
  <c r="N59" i="4"/>
  <c r="A60" i="4"/>
  <c r="B60" i="4"/>
  <c r="C60" i="4"/>
  <c r="D60" i="4"/>
  <c r="G60" i="4" s="1"/>
  <c r="E60" i="4"/>
  <c r="N60" i="4"/>
  <c r="A61" i="4"/>
  <c r="B61" i="4"/>
  <c r="C61" i="4"/>
  <c r="D61" i="4"/>
  <c r="G61" i="4" s="1"/>
  <c r="E61" i="4"/>
  <c r="F61" i="4" s="1"/>
  <c r="N61" i="4"/>
  <c r="A62" i="4"/>
  <c r="B62" i="4"/>
  <c r="C62" i="4"/>
  <c r="D62" i="4"/>
  <c r="G62" i="4" s="1"/>
  <c r="E62" i="4"/>
  <c r="N62" i="4"/>
  <c r="A63" i="4"/>
  <c r="B63" i="4"/>
  <c r="C63" i="4"/>
  <c r="D63" i="4"/>
  <c r="G63" i="4" s="1"/>
  <c r="E63" i="4"/>
  <c r="F63" i="4" s="1"/>
  <c r="N63" i="4"/>
  <c r="F62" i="4" l="1"/>
  <c r="F60" i="4"/>
  <c r="F55" i="4"/>
  <c r="F52" i="4"/>
  <c r="Z47" i="7"/>
  <c r="X47" i="7"/>
  <c r="V47" i="7"/>
  <c r="T47" i="7"/>
  <c r="R47" i="7"/>
  <c r="P47" i="7"/>
  <c r="N47" i="7"/>
  <c r="L47" i="7"/>
  <c r="J47" i="7"/>
  <c r="AA47" i="7" s="1"/>
  <c r="H47" i="7"/>
  <c r="F46" i="7"/>
  <c r="D46" i="7"/>
  <c r="AA46" i="7" s="1"/>
  <c r="B45" i="7" l="1"/>
  <c r="Q41" i="3"/>
  <c r="A50" i="6"/>
  <c r="B50" i="6"/>
  <c r="A51" i="6"/>
  <c r="B51" i="6"/>
  <c r="A52" i="6"/>
  <c r="B52" i="6"/>
  <c r="A53" i="6"/>
  <c r="B53" i="6"/>
  <c r="A54" i="6"/>
  <c r="B54" i="6"/>
  <c r="Q40" i="3" l="1"/>
  <c r="B46" i="5" l="1"/>
  <c r="D46" i="5"/>
  <c r="E46" i="5"/>
  <c r="F46" i="5"/>
  <c r="G46" i="5"/>
  <c r="B47" i="5"/>
  <c r="D47" i="5"/>
  <c r="E47" i="5"/>
  <c r="F47" i="5"/>
  <c r="G47" i="5"/>
  <c r="B48" i="5"/>
  <c r="D48" i="5"/>
  <c r="E48" i="5"/>
  <c r="F48" i="5"/>
  <c r="G48" i="5"/>
  <c r="B49" i="5"/>
  <c r="D49" i="5"/>
  <c r="E49" i="5"/>
  <c r="F49" i="5"/>
  <c r="G49" i="5"/>
  <c r="B50" i="5"/>
  <c r="D50" i="5"/>
  <c r="E50" i="5"/>
  <c r="F50" i="5"/>
  <c r="G50" i="5"/>
  <c r="R50" i="5"/>
  <c r="T50" i="5"/>
  <c r="W50" i="5"/>
  <c r="B51" i="5"/>
  <c r="D51" i="5"/>
  <c r="E51" i="5"/>
  <c r="F51" i="5"/>
  <c r="G51" i="5"/>
  <c r="R51" i="5"/>
  <c r="T51" i="5"/>
  <c r="W51" i="5"/>
  <c r="B52" i="5"/>
  <c r="D52" i="5"/>
  <c r="E52" i="5"/>
  <c r="F52" i="5"/>
  <c r="G52" i="5"/>
  <c r="R52" i="5"/>
  <c r="T52" i="5"/>
  <c r="W52" i="5"/>
  <c r="Q52" i="5" l="1"/>
  <c r="Q51" i="5"/>
  <c r="Q50" i="5"/>
  <c r="X50" i="5"/>
  <c r="J46" i="5"/>
  <c r="I46" i="5"/>
  <c r="I49" i="5"/>
  <c r="M46" i="5"/>
  <c r="K51" i="5"/>
  <c r="N49" i="5"/>
  <c r="N48" i="5"/>
  <c r="N46" i="5"/>
  <c r="J47" i="5"/>
  <c r="P46" i="5"/>
  <c r="X51" i="5"/>
  <c r="I52" i="5"/>
  <c r="U51" i="5"/>
  <c r="N50" i="5"/>
  <c r="S51" i="5"/>
  <c r="P50" i="5"/>
  <c r="J49" i="5"/>
  <c r="N52" i="5"/>
  <c r="K50" i="5"/>
  <c r="M49" i="5"/>
  <c r="M47" i="5"/>
  <c r="I48" i="5"/>
  <c r="J51" i="5"/>
  <c r="J50" i="5"/>
  <c r="M50" i="5"/>
  <c r="K47" i="5"/>
  <c r="K46" i="5"/>
  <c r="M52" i="5"/>
  <c r="M51" i="5"/>
  <c r="I50" i="5"/>
  <c r="M48" i="5"/>
  <c r="U52" i="5"/>
  <c r="K52" i="5"/>
  <c r="P51" i="5"/>
  <c r="S50" i="5"/>
  <c r="K48" i="5"/>
  <c r="P47" i="5"/>
  <c r="P52" i="5"/>
  <c r="J52" i="5"/>
  <c r="N51" i="5"/>
  <c r="I51" i="5"/>
  <c r="K49" i="5"/>
  <c r="P48" i="5"/>
  <c r="J48" i="5"/>
  <c r="N47" i="5"/>
  <c r="I47" i="5"/>
  <c r="X52" i="5"/>
  <c r="S52" i="5"/>
  <c r="U50" i="5"/>
  <c r="P49" i="5"/>
  <c r="A44" i="6"/>
  <c r="B44" i="6"/>
  <c r="R44" i="5"/>
  <c r="T44" i="5"/>
  <c r="A45" i="6"/>
  <c r="B45" i="6"/>
  <c r="R45" i="5"/>
  <c r="T45" i="5"/>
  <c r="A46" i="6"/>
  <c r="B46" i="6"/>
  <c r="R46" i="5"/>
  <c r="S46" i="5" s="1"/>
  <c r="A47" i="6"/>
  <c r="B47" i="6"/>
  <c r="R47" i="5"/>
  <c r="S47" i="5" s="1"/>
  <c r="A48" i="6"/>
  <c r="B48" i="6"/>
  <c r="R48" i="5"/>
  <c r="S48" i="5" s="1"/>
  <c r="A49" i="6"/>
  <c r="B49" i="6"/>
  <c r="R49" i="5"/>
  <c r="S49" i="5" s="1"/>
  <c r="B43" i="5"/>
  <c r="D43" i="5"/>
  <c r="E43" i="5"/>
  <c r="F43" i="5"/>
  <c r="G43" i="5"/>
  <c r="B44" i="5"/>
  <c r="D44" i="5"/>
  <c r="E44" i="5"/>
  <c r="F44" i="5"/>
  <c r="G44" i="5"/>
  <c r="B45" i="5"/>
  <c r="D45" i="5"/>
  <c r="E45" i="5"/>
  <c r="F45" i="5"/>
  <c r="G45" i="5"/>
  <c r="A46" i="4"/>
  <c r="B46" i="4"/>
  <c r="C46" i="4"/>
  <c r="D46" i="4"/>
  <c r="G46" i="4" s="1"/>
  <c r="E46" i="4"/>
  <c r="N46" i="4"/>
  <c r="A47" i="4"/>
  <c r="B47" i="4"/>
  <c r="C47" i="4"/>
  <c r="D47" i="4"/>
  <c r="G47" i="4" s="1"/>
  <c r="E47" i="4"/>
  <c r="N47" i="4"/>
  <c r="A48" i="4"/>
  <c r="B48" i="4"/>
  <c r="C48" i="4"/>
  <c r="D48" i="4"/>
  <c r="G48" i="4" s="1"/>
  <c r="E48" i="4"/>
  <c r="N48" i="4"/>
  <c r="A49" i="4"/>
  <c r="B49" i="4"/>
  <c r="C49" i="4"/>
  <c r="D49" i="4"/>
  <c r="G49" i="4" s="1"/>
  <c r="E49" i="4"/>
  <c r="N49" i="4"/>
  <c r="A50" i="4"/>
  <c r="B50" i="4"/>
  <c r="C50" i="4"/>
  <c r="D50" i="4"/>
  <c r="G50" i="4" s="1"/>
  <c r="E50" i="4"/>
  <c r="N50" i="4"/>
  <c r="A51" i="4"/>
  <c r="B51" i="4"/>
  <c r="C51" i="4"/>
  <c r="D51" i="4"/>
  <c r="G51" i="4" s="1"/>
  <c r="E51" i="4"/>
  <c r="N51" i="4"/>
  <c r="Q45" i="5" l="1"/>
  <c r="Q44" i="5"/>
  <c r="T47" i="5"/>
  <c r="W47" i="5"/>
  <c r="X47" i="5" s="1"/>
  <c r="T46" i="5"/>
  <c r="W46" i="5"/>
  <c r="X46" i="5" s="1"/>
  <c r="T49" i="5"/>
  <c r="W49" i="5"/>
  <c r="X49" i="5" s="1"/>
  <c r="T48" i="5"/>
  <c r="W48" i="5"/>
  <c r="X48" i="5" s="1"/>
  <c r="F50" i="4"/>
  <c r="F48" i="4"/>
  <c r="F46" i="4"/>
  <c r="F51" i="4"/>
  <c r="F49" i="4"/>
  <c r="F47" i="4"/>
  <c r="J44" i="5"/>
  <c r="J43" i="5"/>
  <c r="M44" i="5"/>
  <c r="W44" i="5"/>
  <c r="X44" i="5" s="1"/>
  <c r="K44" i="5"/>
  <c r="P43" i="5"/>
  <c r="N45" i="5"/>
  <c r="N43" i="5"/>
  <c r="M43" i="5"/>
  <c r="W45" i="5"/>
  <c r="X45" i="5" s="1"/>
  <c r="M45" i="5"/>
  <c r="I43" i="5"/>
  <c r="I45" i="5"/>
  <c r="U44" i="5"/>
  <c r="S44" i="5"/>
  <c r="K43" i="5"/>
  <c r="U45" i="5"/>
  <c r="K45" i="5"/>
  <c r="P44" i="5"/>
  <c r="P45" i="5"/>
  <c r="J45" i="5"/>
  <c r="N44" i="5"/>
  <c r="I44" i="5"/>
  <c r="S45" i="5"/>
  <c r="Z41" i="7"/>
  <c r="X41" i="7"/>
  <c r="V41" i="7"/>
  <c r="T41" i="7"/>
  <c r="R41" i="7"/>
  <c r="P41" i="7"/>
  <c r="N41" i="7"/>
  <c r="L41" i="7"/>
  <c r="J41" i="7"/>
  <c r="H41" i="7"/>
  <c r="F40" i="7"/>
  <c r="D40" i="7"/>
  <c r="AA40" i="7" s="1"/>
  <c r="Q48" i="5" l="1"/>
  <c r="U48" i="5"/>
  <c r="Q46" i="5"/>
  <c r="U46" i="5"/>
  <c r="Q49" i="5"/>
  <c r="U49" i="5"/>
  <c r="Q47" i="5"/>
  <c r="U47" i="5"/>
  <c r="B39" i="7"/>
  <c r="AA41" i="7"/>
  <c r="Q38" i="3"/>
  <c r="A43" i="4" l="1"/>
  <c r="B43" i="4"/>
  <c r="C43" i="4"/>
  <c r="D43" i="4"/>
  <c r="G43" i="4" s="1"/>
  <c r="E43" i="4"/>
  <c r="N43" i="4"/>
  <c r="A44" i="4"/>
  <c r="B44" i="4"/>
  <c r="C44" i="4"/>
  <c r="D44" i="4"/>
  <c r="G44" i="4" s="1"/>
  <c r="E44" i="4"/>
  <c r="N44" i="4"/>
  <c r="A45" i="4"/>
  <c r="B45" i="4"/>
  <c r="C45" i="4"/>
  <c r="D45" i="4"/>
  <c r="G45" i="4" s="1"/>
  <c r="E45" i="4"/>
  <c r="N45" i="4"/>
  <c r="A34" i="6"/>
  <c r="B34" i="6"/>
  <c r="C34" i="6"/>
  <c r="D34" i="6"/>
  <c r="F34" i="6"/>
  <c r="E34" i="6" s="1"/>
  <c r="A35" i="6"/>
  <c r="B35" i="6"/>
  <c r="C35" i="6"/>
  <c r="D35" i="6"/>
  <c r="F35" i="6"/>
  <c r="E35" i="6" s="1"/>
  <c r="A36" i="6"/>
  <c r="B36" i="6"/>
  <c r="C36" i="6"/>
  <c r="D36" i="6"/>
  <c r="F36" i="6"/>
  <c r="E36" i="6" s="1"/>
  <c r="A37" i="6"/>
  <c r="B37" i="6"/>
  <c r="C37" i="6"/>
  <c r="D37" i="6"/>
  <c r="F37" i="6"/>
  <c r="E37" i="6" s="1"/>
  <c r="A38" i="6"/>
  <c r="B38" i="6"/>
  <c r="C38" i="6"/>
  <c r="D38" i="6"/>
  <c r="F38" i="6"/>
  <c r="E38" i="6" s="1"/>
  <c r="A39" i="6"/>
  <c r="B39" i="6"/>
  <c r="C39" i="6"/>
  <c r="D39" i="6"/>
  <c r="F39" i="6"/>
  <c r="E39" i="6" s="1"/>
  <c r="A40" i="6"/>
  <c r="B40" i="6"/>
  <c r="C40" i="6"/>
  <c r="D40" i="6"/>
  <c r="F40" i="6"/>
  <c r="E40" i="6" s="1"/>
  <c r="B41" i="6"/>
  <c r="R41" i="5"/>
  <c r="T41" i="5"/>
  <c r="A42" i="6"/>
  <c r="B42" i="6"/>
  <c r="R42" i="5"/>
  <c r="T42" i="5"/>
  <c r="A43" i="6"/>
  <c r="B43" i="6"/>
  <c r="R43" i="5"/>
  <c r="S43" i="5" s="1"/>
  <c r="B41" i="5"/>
  <c r="D41" i="5"/>
  <c r="E41" i="5"/>
  <c r="F41" i="5"/>
  <c r="G41" i="5"/>
  <c r="B42" i="5"/>
  <c r="D42" i="5"/>
  <c r="E42" i="5"/>
  <c r="F42" i="5"/>
  <c r="G42" i="5"/>
  <c r="Q42" i="5" l="1"/>
  <c r="Q41" i="5"/>
  <c r="F45" i="4"/>
  <c r="F43" i="4"/>
  <c r="F44" i="4"/>
  <c r="T43" i="5"/>
  <c r="W43" i="5"/>
  <c r="X43" i="5" s="1"/>
  <c r="W42" i="5"/>
  <c r="X42" i="5" s="1"/>
  <c r="J42" i="5"/>
  <c r="N41" i="5"/>
  <c r="M42" i="5"/>
  <c r="N42" i="5"/>
  <c r="S42" i="5"/>
  <c r="W41" i="5"/>
  <c r="X41" i="5" s="1"/>
  <c r="M41" i="5"/>
  <c r="I42" i="5"/>
  <c r="I41" i="5"/>
  <c r="U41" i="5"/>
  <c r="K41" i="5"/>
  <c r="U42" i="5"/>
  <c r="K42" i="5"/>
  <c r="P41" i="5"/>
  <c r="J41" i="5"/>
  <c r="P42" i="5"/>
  <c r="S41" i="5"/>
  <c r="Z35" i="7"/>
  <c r="X35" i="7"/>
  <c r="V35" i="7"/>
  <c r="T35" i="7"/>
  <c r="R35" i="7"/>
  <c r="P35" i="7"/>
  <c r="N35" i="7"/>
  <c r="L35" i="7"/>
  <c r="J35" i="7"/>
  <c r="H35" i="7"/>
  <c r="F34" i="7"/>
  <c r="D34" i="7"/>
  <c r="Q43" i="5" l="1"/>
  <c r="U43" i="5"/>
  <c r="AA34" i="7"/>
  <c r="AA35" i="7"/>
  <c r="B33" i="7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W34" i="5"/>
  <c r="B35" i="5"/>
  <c r="C35" i="5"/>
  <c r="D35" i="5"/>
  <c r="E35" i="5"/>
  <c r="F35" i="5"/>
  <c r="G35" i="5"/>
  <c r="R35" i="5"/>
  <c r="T35" i="5"/>
  <c r="W35" i="5"/>
  <c r="B36" i="5"/>
  <c r="C36" i="5"/>
  <c r="D36" i="5"/>
  <c r="E36" i="5"/>
  <c r="F36" i="5"/>
  <c r="G36" i="5"/>
  <c r="R36" i="5"/>
  <c r="T36" i="5"/>
  <c r="W36" i="5"/>
  <c r="B37" i="5"/>
  <c r="C37" i="5"/>
  <c r="D37" i="5"/>
  <c r="E37" i="5"/>
  <c r="F37" i="5"/>
  <c r="G37" i="5"/>
  <c r="R37" i="5"/>
  <c r="T37" i="5"/>
  <c r="W37" i="5"/>
  <c r="B38" i="5"/>
  <c r="C38" i="5"/>
  <c r="D38" i="5"/>
  <c r="E38" i="5"/>
  <c r="F38" i="5"/>
  <c r="G38" i="5"/>
  <c r="R38" i="5"/>
  <c r="T38" i="5"/>
  <c r="W38" i="5"/>
  <c r="B39" i="5"/>
  <c r="C39" i="5"/>
  <c r="D39" i="5"/>
  <c r="E39" i="5"/>
  <c r="F39" i="5"/>
  <c r="G39" i="5"/>
  <c r="R39" i="5"/>
  <c r="T39" i="5"/>
  <c r="W39" i="5"/>
  <c r="B40" i="5"/>
  <c r="C40" i="5"/>
  <c r="D40" i="5"/>
  <c r="E40" i="5"/>
  <c r="F40" i="5"/>
  <c r="G40" i="5"/>
  <c r="R40" i="5"/>
  <c r="T40" i="5"/>
  <c r="W40" i="5"/>
  <c r="Q38" i="5" l="1"/>
  <c r="Q40" i="5"/>
  <c r="Q39" i="5"/>
  <c r="Q37" i="5"/>
  <c r="Q34" i="5"/>
  <c r="Q36" i="5"/>
  <c r="Q35" i="5"/>
  <c r="I40" i="5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9" i="9"/>
  <c r="O39" i="9"/>
  <c r="Q26" i="9" l="1"/>
  <c r="N29" i="9" s="1"/>
  <c r="P26" i="9"/>
  <c r="O26" i="9"/>
  <c r="N26" i="9"/>
  <c r="N27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8" i="9"/>
  <c r="R43" i="9" s="1"/>
  <c r="Q36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3" i="9"/>
  <c r="P36" i="9"/>
  <c r="B21" i="7"/>
  <c r="N43" i="9"/>
  <c r="P37" i="9" l="1"/>
  <c r="P43" i="9"/>
  <c r="O38" i="9"/>
  <c r="O43" i="9" s="1"/>
  <c r="M39" i="9"/>
  <c r="M46" i="9" s="1"/>
  <c r="M43" i="9"/>
  <c r="P39" i="9" l="1"/>
  <c r="Q37" i="9"/>
  <c r="M40" i="9"/>
  <c r="M41" i="9" s="1"/>
  <c r="N39" i="9"/>
  <c r="N40" i="9" s="1"/>
  <c r="N41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9" i="9"/>
  <c r="P40" i="9"/>
  <c r="O40" i="9"/>
  <c r="B15" i="7"/>
  <c r="G3" i="5"/>
  <c r="Q40" i="9" l="1"/>
  <c r="Q41" i="9" s="1"/>
  <c r="P41" i="9"/>
  <c r="R40" i="9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8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6" i="4"/>
  <c r="C16" i="4"/>
  <c r="D16" i="4"/>
  <c r="G16" i="4" s="1"/>
  <c r="E16" i="4"/>
  <c r="N16" i="4"/>
  <c r="B17" i="4"/>
  <c r="C17" i="4"/>
  <c r="D17" i="4"/>
  <c r="G17" i="4" s="1"/>
  <c r="E17" i="4"/>
  <c r="N17" i="4"/>
  <c r="B18" i="4"/>
  <c r="C18" i="4"/>
  <c r="D18" i="4"/>
  <c r="G18" i="4" s="1"/>
  <c r="E18" i="4"/>
  <c r="N18" i="4"/>
  <c r="B19" i="4"/>
  <c r="C19" i="4"/>
  <c r="D19" i="4"/>
  <c r="G19" i="4" s="1"/>
  <c r="E19" i="4"/>
  <c r="N19" i="4"/>
  <c r="B20" i="4"/>
  <c r="C20" i="4"/>
  <c r="D20" i="4"/>
  <c r="G20" i="4" s="1"/>
  <c r="E20" i="4"/>
  <c r="N20" i="4"/>
  <c r="B21" i="4"/>
  <c r="C21" i="4"/>
  <c r="D21" i="4"/>
  <c r="G21" i="4" s="1"/>
  <c r="E21" i="4"/>
  <c r="N21" i="4"/>
  <c r="B22" i="4"/>
  <c r="C22" i="4"/>
  <c r="D22" i="4"/>
  <c r="G22" i="4" s="1"/>
  <c r="E22" i="4"/>
  <c r="N22" i="4"/>
  <c r="B23" i="4"/>
  <c r="C23" i="4"/>
  <c r="D23" i="4"/>
  <c r="G23" i="4" s="1"/>
  <c r="E23" i="4"/>
  <c r="N23" i="4"/>
  <c r="B24" i="4"/>
  <c r="C24" i="4"/>
  <c r="D24" i="4"/>
  <c r="G24" i="4" s="1"/>
  <c r="E24" i="4"/>
  <c r="N24" i="4"/>
  <c r="B25" i="4"/>
  <c r="C25" i="4"/>
  <c r="D25" i="4"/>
  <c r="G25" i="4" s="1"/>
  <c r="E25" i="4"/>
  <c r="N25" i="4"/>
  <c r="B26" i="4"/>
  <c r="C26" i="4"/>
  <c r="D26" i="4"/>
  <c r="G26" i="4" s="1"/>
  <c r="E26" i="4"/>
  <c r="N26" i="4"/>
  <c r="B27" i="4"/>
  <c r="C27" i="4"/>
  <c r="D27" i="4"/>
  <c r="G27" i="4" s="1"/>
  <c r="E27" i="4"/>
  <c r="N27" i="4"/>
  <c r="B28" i="4"/>
  <c r="C28" i="4"/>
  <c r="D28" i="4"/>
  <c r="G28" i="4" s="1"/>
  <c r="E28" i="4"/>
  <c r="N28" i="4"/>
  <c r="B29" i="4"/>
  <c r="C29" i="4"/>
  <c r="D29" i="4"/>
  <c r="G29" i="4" s="1"/>
  <c r="E29" i="4"/>
  <c r="N29" i="4"/>
  <c r="B30" i="4"/>
  <c r="C30" i="4"/>
  <c r="D30" i="4"/>
  <c r="G30" i="4" s="1"/>
  <c r="E30" i="4"/>
  <c r="N30" i="4"/>
  <c r="B31" i="4"/>
  <c r="C31" i="4"/>
  <c r="D31" i="4"/>
  <c r="G31" i="4" s="1"/>
  <c r="E31" i="4"/>
  <c r="N31" i="4"/>
  <c r="B32" i="4"/>
  <c r="C32" i="4"/>
  <c r="D32" i="4"/>
  <c r="G32" i="4" s="1"/>
  <c r="E32" i="4"/>
  <c r="N32" i="4"/>
  <c r="B33" i="4"/>
  <c r="C33" i="4"/>
  <c r="D33" i="4"/>
  <c r="G33" i="4" s="1"/>
  <c r="E33" i="4"/>
  <c r="N33" i="4"/>
  <c r="B34" i="4"/>
  <c r="C34" i="4"/>
  <c r="D34" i="4"/>
  <c r="G34" i="4" s="1"/>
  <c r="E34" i="4"/>
  <c r="N34" i="4"/>
  <c r="B35" i="4"/>
  <c r="C35" i="4"/>
  <c r="D35" i="4"/>
  <c r="G35" i="4" s="1"/>
  <c r="E35" i="4"/>
  <c r="N35" i="4"/>
  <c r="B36" i="4"/>
  <c r="C36" i="4"/>
  <c r="D36" i="4"/>
  <c r="G36" i="4" s="1"/>
  <c r="E36" i="4"/>
  <c r="N36" i="4"/>
  <c r="B37" i="4"/>
  <c r="C37" i="4"/>
  <c r="D37" i="4"/>
  <c r="G37" i="4" s="1"/>
  <c r="E37" i="4"/>
  <c r="N37" i="4"/>
  <c r="B38" i="4"/>
  <c r="C38" i="4"/>
  <c r="D38" i="4"/>
  <c r="G38" i="4" s="1"/>
  <c r="E38" i="4"/>
  <c r="N38" i="4"/>
  <c r="B39" i="4"/>
  <c r="C39" i="4"/>
  <c r="D39" i="4"/>
  <c r="G39" i="4" s="1"/>
  <c r="E39" i="4"/>
  <c r="N39" i="4"/>
  <c r="B40" i="4"/>
  <c r="C40" i="4"/>
  <c r="D40" i="4"/>
  <c r="G40" i="4" s="1"/>
  <c r="E40" i="4"/>
  <c r="N40" i="4"/>
  <c r="B41" i="4"/>
  <c r="C41" i="4"/>
  <c r="D41" i="4"/>
  <c r="G41" i="4" s="1"/>
  <c r="E41" i="4"/>
  <c r="N41" i="4"/>
  <c r="B42" i="4"/>
  <c r="C42" i="4"/>
  <c r="D42" i="4"/>
  <c r="G42" i="4" s="1"/>
  <c r="E42" i="4"/>
  <c r="N42" i="4"/>
  <c r="N15" i="4"/>
  <c r="E15" i="4"/>
  <c r="D15" i="4"/>
  <c r="G15" i="4" s="1"/>
  <c r="C15" i="4"/>
  <c r="B15" i="4"/>
  <c r="N14" i="4"/>
  <c r="E14" i="4"/>
  <c r="D14" i="4"/>
  <c r="C14" i="4"/>
  <c r="B14" i="4"/>
  <c r="F36" i="4" l="1"/>
  <c r="F24" i="4"/>
  <c r="F41" i="4"/>
  <c r="F17" i="4"/>
  <c r="F33" i="4"/>
  <c r="F31" i="4"/>
  <c r="F23" i="4"/>
  <c r="F19" i="4"/>
  <c r="F34" i="4"/>
  <c r="F30" i="4"/>
  <c r="F26" i="4"/>
  <c r="F39" i="4"/>
  <c r="F35" i="4"/>
  <c r="F32" i="4"/>
  <c r="F22" i="4"/>
  <c r="F18" i="4"/>
  <c r="F38" i="4"/>
  <c r="F40" i="4"/>
  <c r="F37" i="4"/>
  <c r="F42" i="4"/>
  <c r="F20" i="4"/>
  <c r="F29" i="4"/>
  <c r="F28" i="4"/>
  <c r="F27" i="4"/>
  <c r="F25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1" i="4"/>
  <c r="F16" i="4"/>
  <c r="F14" i="4"/>
  <c r="F15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I27" i="9"/>
  <c r="C25" i="9"/>
  <c r="G25" i="9" s="1"/>
  <c r="C24" i="9"/>
  <c r="G24" i="9" s="1"/>
  <c r="C23" i="9"/>
  <c r="G23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3" i="4"/>
  <c r="C13" i="4"/>
  <c r="D13" i="4"/>
  <c r="G13" i="4" s="1"/>
  <c r="E13" i="4"/>
  <c r="N13" i="4"/>
  <c r="B9" i="4"/>
  <c r="C9" i="4"/>
  <c r="D9" i="4"/>
  <c r="G9" i="4" s="1"/>
  <c r="E9" i="4"/>
  <c r="N9" i="4"/>
  <c r="B10" i="4"/>
  <c r="C10" i="4"/>
  <c r="F10" i="4" s="1"/>
  <c r="D10" i="4"/>
  <c r="G10" i="4" s="1"/>
  <c r="E10" i="4"/>
  <c r="N10" i="4"/>
  <c r="B11" i="4"/>
  <c r="C11" i="4"/>
  <c r="D11" i="4"/>
  <c r="G11" i="4" s="1"/>
  <c r="E11" i="4"/>
  <c r="N11" i="4"/>
  <c r="B12" i="4"/>
  <c r="C12" i="4"/>
  <c r="D12" i="4"/>
  <c r="G12" i="4" s="1"/>
  <c r="E12" i="4"/>
  <c r="N12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9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1" i="3"/>
  <c r="Q62" i="3"/>
  <c r="Q60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3" i="3"/>
  <c r="F11" i="4" l="1"/>
  <c r="F9" i="4"/>
  <c r="F12" i="4"/>
  <c r="F13" i="4"/>
  <c r="P3" i="5"/>
  <c r="P4" i="5"/>
  <c r="P5" i="5"/>
  <c r="A93" i="3"/>
  <c r="A94" i="3"/>
  <c r="A95" i="3"/>
  <c r="A96" i="3"/>
  <c r="A97" i="3"/>
  <c r="A98" i="3"/>
  <c r="A99" i="3"/>
  <c r="A100" i="3"/>
  <c r="A101" i="3"/>
  <c r="A102" i="3"/>
  <c r="A103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4" i="4" l="1"/>
  <c r="A88" i="3" l="1"/>
  <c r="A89" i="3"/>
  <c r="A90" i="3"/>
  <c r="A91" i="3"/>
  <c r="A92" i="3"/>
  <c r="A82" i="3" l="1"/>
  <c r="A83" i="3"/>
  <c r="A84" i="3"/>
  <c r="A85" i="3"/>
  <c r="A86" i="3"/>
  <c r="A87" i="3"/>
  <c r="A73" i="3" l="1"/>
  <c r="A72" i="3"/>
  <c r="A68" i="3" l="1"/>
  <c r="A69" i="3"/>
  <c r="A70" i="3"/>
  <c r="A74" i="3" l="1"/>
  <c r="A75" i="3"/>
  <c r="A76" i="3"/>
  <c r="A77" i="3"/>
  <c r="A78" i="3"/>
  <c r="A79" i="3"/>
  <c r="A80" i="3"/>
  <c r="A81" i="3"/>
  <c r="A65" i="3" l="1"/>
  <c r="A66" i="3"/>
  <c r="A67" i="3"/>
  <c r="A71" i="3"/>
  <c r="A62" i="3" l="1"/>
  <c r="A60" i="3"/>
  <c r="A63" i="3"/>
  <c r="A64" i="3"/>
  <c r="A53" i="3" l="1"/>
  <c r="D27" i="9" l="1"/>
  <c r="F27" i="9"/>
  <c r="A54" i="3" l="1"/>
  <c r="A55" i="3"/>
  <c r="A56" i="3"/>
  <c r="A57" i="3"/>
  <c r="A58" i="3"/>
  <c r="A59" i="3"/>
  <c r="A61" i="3"/>
  <c r="E27" i="9" l="1"/>
  <c r="A47" i="3" l="1"/>
  <c r="A48" i="3"/>
  <c r="A49" i="3"/>
  <c r="A50" i="3"/>
  <c r="A51" i="3"/>
  <c r="A52" i="3"/>
  <c r="V10" i="3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8" i="4"/>
  <c r="E8" i="4"/>
  <c r="D8" i="4"/>
  <c r="G8" i="4" s="1"/>
  <c r="C8" i="4"/>
  <c r="B8" i="4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8" i="4" l="1"/>
  <c r="F12" i="9" l="1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7" i="9"/>
  <c r="I14" i="9"/>
  <c r="D7" i="9"/>
  <c r="C27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24" i="5" l="1"/>
  <c r="Q18" i="5"/>
  <c r="U25" i="5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  <c r="J27" i="9"/>
  <c r="K27" i="9"/>
</calcChain>
</file>

<file path=xl/sharedStrings.xml><?xml version="1.0" encoding="utf-8"?>
<sst xmlns="http://schemas.openxmlformats.org/spreadsheetml/2006/main" count="1273" uniqueCount="426">
  <si>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</si>
  <si>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</si>
  <si>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</si>
  <si>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</si>
  <si>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</si>
  <si>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</si>
  <si>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</si>
  <si>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</si>
  <si>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</si>
  <si>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</si>
  <si>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</si>
  <si>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</si>
  <si>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</si>
  <si>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</si>
  <si>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</si>
  <si>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</si>
  <si>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</si>
  <si>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</si>
  <si>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</si>
  <si>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</si>
  <si>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</si>
  <si>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</si>
  <si>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</si>
  <si>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</si>
  <si>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</si>
  <si>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</si>
  <si>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</si>
  <si>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</si>
  <si>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</si>
  <si>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</si>
  <si>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</si>
  <si>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</si>
  <si>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</si>
  <si>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</si>
  <si>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</si>
  <si>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</si>
  <si>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</si>
  <si>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</si>
  <si>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</si>
  <si>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</si>
  <si>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</si>
  <si>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</si>
  <si>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</si>
  <si>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</si>
  <si>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</si>
  <si>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</si>
  <si>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</si>
  <si>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</si>
  <si>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</si>
  <si>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</si>
  <si>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</si>
  <si>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</si>
  <si>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</si>
  <si>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</si>
  <si>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</si>
  <si>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</si>
  <si>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</si>
  <si>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</si>
  <si>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</si>
  <si>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</si>
  <si>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</si>
  <si>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</si>
  <si>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</si>
  <si>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</si>
  <si>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</si>
  <si>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</si>
  <si>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</si>
  <si>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</si>
  <si>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</si>
  <si>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</si>
  <si>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</si>
  <si>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</si>
  <si>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</si>
  <si>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</si>
  <si>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</si>
  <si>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</si>
  <si>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</si>
  <si>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</si>
  <si>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</si>
  <si>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</si>
  <si>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</si>
  <si>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</si>
  <si>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</si>
  <si>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</si>
  <si>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</si>
  <si>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</si>
  <si>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</si>
  <si>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</si>
  <si>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</si>
  <si>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</si>
  <si>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</si>
  <si>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</si>
  <si>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</si>
  <si>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</si>
  <si>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</si>
  <si>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</si>
  <si>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</si>
  <si>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</si>
  <si>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</si>
  <si>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</si>
  <si>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</si>
  <si>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</si>
  <si>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</si>
  <si>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</si>
  <si>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</si>
  <si>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</si>
  <si>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</si>
  <si>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</si>
  <si>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</si>
  <si>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</si>
  <si>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</si>
  <si>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</si>
  <si>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</si>
  <si>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</si>
  <si>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</si>
  <si>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</si>
  <si>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</si>
  <si>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</si>
  <si>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</si>
  <si>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</si>
  <si>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</si>
  <si>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</si>
  <si>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</si>
  <si>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</si>
  <si>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</si>
  <si>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</si>
  <si>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</si>
  <si>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</si>
  <si>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</si>
  <si>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</si>
  <si>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</si>
  <si>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</si>
  <si>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</si>
  <si>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</si>
  <si>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</si>
  <si>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</si>
  <si>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</si>
  <si>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</si>
  <si>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</si>
  <si>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</si>
  <si>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</si>
  <si>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</si>
  <si>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</si>
  <si>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</si>
  <si>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</si>
  <si>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</si>
  <si>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</si>
  <si>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</si>
  <si>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</si>
  <si>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</si>
  <si>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</si>
  <si>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</si>
  <si>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</si>
  <si>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</si>
  <si>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</si>
  <si>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</si>
  <si>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</si>
  <si>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</si>
  <si>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</si>
  <si>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</si>
  <si>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</si>
  <si>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</si>
  <si>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</si>
  <si>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</si>
  <si>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</si>
  <si>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</si>
  <si>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</si>
  <si>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</si>
  <si>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</si>
  <si>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</si>
  <si>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</si>
  <si>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</si>
  <si>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</si>
  <si>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</si>
  <si>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</si>
  <si>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</si>
  <si>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</si>
  <si>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</si>
  <si>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</si>
  <si>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</si>
  <si>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</si>
  <si>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</si>
  <si>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</si>
  <si>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</si>
  <si>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</si>
  <si>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</si>
  <si>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</si>
  <si>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</si>
  <si>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</si>
  <si>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</si>
  <si>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</si>
  <si>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</si>
  <si>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</si>
  <si>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</si>
  <si>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</si>
  <si>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</si>
  <si>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</si>
  <si>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</si>
  <si>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</si>
  <si>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</si>
  <si>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</si>
  <si>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</si>
  <si>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</si>
  <si>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</si>
  <si>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</si>
  <si>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</si>
  <si>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</si>
  <si>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</si>
  <si>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</si>
  <si>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</si>
  <si>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</si>
  <si>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</si>
  <si>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</si>
  <si>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</si>
  <si>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</si>
  <si>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</si>
  <si>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</si>
  <si>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</si>
  <si>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</si>
  <si>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</si>
  <si>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</si>
  <si>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</si>
  <si>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</si>
  <si>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</si>
  <si>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</si>
  <si>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</si>
  <si>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</si>
  <si>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</si>
  <si>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</si>
  <si>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</si>
  <si>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</si>
  <si>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</si>
  <si>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</si>
  <si>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</si>
  <si>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</si>
  <si>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</si>
  <si>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</si>
  <si>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</si>
  <si>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</si>
  <si>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</si>
  <si>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</si>
  <si>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</si>
  <si>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</si>
  <si>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</si>
  <si>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</si>
  <si>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</si>
  <si>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</si>
  <si>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</si>
  <si>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</si>
  <si>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</si>
  <si>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</si>
  <si>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</si>
  <si>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</si>
  <si>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</si>
  <si>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</si>
  <si>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</si>
  <si>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</si>
  <si>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</si>
  <si>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</si>
  <si>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</si>
  <si>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</si>
  <si>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</si>
  <si>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補欠当選(落選)</t>
  </si>
  <si>
    <t>補欠当選(落選)</t>
    <rPh sb="0" eb="2">
      <t>ホケツ</t>
    </rPh>
    <rPh sb="2" eb="4">
      <t>トウセン</t>
    </rPh>
    <rPh sb="5" eb="7">
      <t>ラクセン</t>
    </rPh>
    <phoneticPr fontId="2"/>
  </si>
  <si>
    <t>38万</t>
    <rPh sb="2" eb="3">
      <t>マン</t>
    </rPh>
    <phoneticPr fontId="8"/>
  </si>
  <si>
    <t>貸付金(優)</t>
    <rPh sb="0" eb="2">
      <t>カシツケ</t>
    </rPh>
    <rPh sb="2" eb="3">
      <t>キン</t>
    </rPh>
    <rPh sb="4" eb="5">
      <t>ユウ</t>
    </rPh>
    <phoneticPr fontId="8"/>
  </si>
  <si>
    <t>株時価損失-80万,仮想通貨損失-50万(父から10万預かり中)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</si>
  <si>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5万</t>
    <rPh sb="1" eb="2">
      <t>マン</t>
    </rPh>
    <phoneticPr fontId="8"/>
  </si>
  <si>
    <t>ラクスル</t>
    <phoneticPr fontId="2"/>
  </si>
  <si>
    <t>-</t>
    <phoneticPr fontId="2"/>
  </si>
  <si>
    <t>メルカリ</t>
  </si>
  <si>
    <t>-</t>
  </si>
  <si>
    <t>ログリー</t>
    <phoneticPr fontId="2"/>
  </si>
  <si>
    <t>コーア商事HD</t>
    <phoneticPr fontId="2"/>
  </si>
  <si>
    <t>三菱UFJ・MS証券</t>
  </si>
  <si>
    <t>ＳＩＧ</t>
    <phoneticPr fontId="2"/>
  </si>
  <si>
    <t>ZUU</t>
    <phoneticPr fontId="2"/>
  </si>
  <si>
    <t>ライトアップ</t>
    <phoneticPr fontId="2"/>
  </si>
  <si>
    <t>-</t>
    <phoneticPr fontId="2"/>
  </si>
  <si>
    <t>国際紙パルプ商事</t>
    <phoneticPr fontId="2"/>
  </si>
  <si>
    <t>-</t>
    <phoneticPr fontId="2"/>
  </si>
  <si>
    <t>エーアイ</t>
    <phoneticPr fontId="2"/>
  </si>
  <si>
    <t>プロパティデータバンク</t>
    <phoneticPr fontId="2"/>
  </si>
  <si>
    <t>-</t>
    <phoneticPr fontId="2"/>
  </si>
  <si>
    <t>IPS</t>
    <phoneticPr fontId="2"/>
  </si>
  <si>
    <t>スプリックス</t>
    <phoneticPr fontId="2"/>
  </si>
  <si>
    <t>16万</t>
    <rPh sb="2" eb="3">
      <t>マン</t>
    </rPh>
    <phoneticPr fontId="8"/>
  </si>
  <si>
    <t>仮想通貨窃盗被害(時価総額15万程),株時価損失-20万</t>
    <rPh sb="0" eb="2">
      <t>カソウ</t>
    </rPh>
    <rPh sb="2" eb="4">
      <t>ツウカ</t>
    </rPh>
    <rPh sb="4" eb="6">
      <t>セットウ</t>
    </rPh>
    <rPh sb="6" eb="8">
      <t>ヒガイ</t>
    </rPh>
    <rPh sb="9" eb="11">
      <t>ジカ</t>
    </rPh>
    <rPh sb="11" eb="13">
      <t>ソウガク</t>
    </rPh>
    <rPh sb="15" eb="16">
      <t>マン</t>
    </rPh>
    <rPh sb="16" eb="17">
      <t>ホド</t>
    </rPh>
    <rPh sb="19" eb="20">
      <t>カブ</t>
    </rPh>
    <rPh sb="20" eb="22">
      <t>ジカ</t>
    </rPh>
    <rPh sb="22" eb="24">
      <t>ソンシツ</t>
    </rPh>
    <rPh sb="27" eb="28">
      <t>マン</t>
    </rPh>
    <phoneticPr fontId="2"/>
  </si>
  <si>
    <t>窃盗により全消失</t>
    <rPh sb="0" eb="2">
      <t>セットウ</t>
    </rPh>
    <rPh sb="5" eb="6">
      <t>ゼン</t>
    </rPh>
    <rPh sb="6" eb="8">
      <t>ショウシツ</t>
    </rPh>
    <phoneticPr fontId="2"/>
  </si>
  <si>
    <t>ＭＴＧ</t>
  </si>
  <si>
    <t>ロジザード</t>
    <phoneticPr fontId="2"/>
  </si>
  <si>
    <t>キャンディル</t>
    <phoneticPr fontId="2"/>
  </si>
  <si>
    <t>マネジメントソリューションズ</t>
    <phoneticPr fontId="2"/>
  </si>
  <si>
    <t>バンク・オブ・イノベーション</t>
    <phoneticPr fontId="2"/>
  </si>
  <si>
    <t>ga technologies</t>
    <phoneticPr fontId="2"/>
  </si>
  <si>
    <t>エクスモーション</t>
    <phoneticPr fontId="2"/>
  </si>
  <si>
    <t>20187/9</t>
    <phoneticPr fontId="2"/>
  </si>
  <si>
    <t>不参加</t>
    <rPh sb="0" eb="3">
      <t>フサンカ</t>
    </rPh>
    <phoneticPr fontId="2"/>
  </si>
  <si>
    <t>-</t>
    <phoneticPr fontId="2"/>
  </si>
  <si>
    <t>アクリート</t>
    <phoneticPr fontId="2"/>
  </si>
  <si>
    <t>プロレド・パートナーズ</t>
    <phoneticPr fontId="2"/>
  </si>
  <si>
    <t>-</t>
    <phoneticPr fontId="2"/>
  </si>
  <si>
    <t>261万</t>
    <rPh sb="3" eb="4">
      <t>マン</t>
    </rPh>
    <phoneticPr fontId="8"/>
  </si>
  <si>
    <t>賞与をSBIに追加(+60),株時価損失-90万</t>
    <rPh sb="0" eb="2">
      <t>ショウヨ</t>
    </rPh>
    <rPh sb="7" eb="9">
      <t>ツイカ</t>
    </rPh>
    <rPh sb="15" eb="16">
      <t>カブ</t>
    </rPh>
    <rPh sb="16" eb="18">
      <t>ジカ</t>
    </rPh>
    <rPh sb="18" eb="20">
      <t>ソンシツ</t>
    </rPh>
    <rPh sb="23" eb="24">
      <t>マン</t>
    </rPh>
    <phoneticPr fontId="2"/>
  </si>
  <si>
    <t>配当額</t>
    <rPh sb="0" eb="2">
      <t>ハイトウ</t>
    </rPh>
    <rPh sb="2" eb="3">
      <t>ガク</t>
    </rPh>
    <phoneticPr fontId="2"/>
  </si>
  <si>
    <t>配当額</t>
    <rPh sb="0" eb="2">
      <t>ハイトウ</t>
    </rPh>
    <rPh sb="2" eb="3">
      <t>ガク</t>
    </rPh>
    <phoneticPr fontId="2"/>
  </si>
  <si>
    <t>元本</t>
    <rPh sb="0" eb="2">
      <t>ガンポン</t>
    </rPh>
    <phoneticPr fontId="2"/>
  </si>
  <si>
    <t>出資総額</t>
    <rPh sb="0" eb="2">
      <t>シュッシ</t>
    </rPh>
    <rPh sb="2" eb="4">
      <t>ソウガク</t>
    </rPh>
    <phoneticPr fontId="2"/>
  </si>
  <si>
    <t>システムサポート</t>
    <phoneticPr fontId="2"/>
  </si>
  <si>
    <t>イボキン</t>
    <phoneticPr fontId="2"/>
  </si>
  <si>
    <t>不参加</t>
    <rPh sb="0" eb="3">
      <t>フサンカ</t>
    </rPh>
    <phoneticPr fontId="2"/>
  </si>
  <si>
    <t>マザーズ</t>
    <phoneticPr fontId="2"/>
  </si>
  <si>
    <t>チームスピリット</t>
    <phoneticPr fontId="2"/>
  </si>
  <si>
    <t>株時価損失-80万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</si>
  <si>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ナルミヤ・インターナショナル</t>
    <phoneticPr fontId="2"/>
  </si>
  <si>
    <t>マリオン</t>
    <phoneticPr fontId="2"/>
  </si>
  <si>
    <t>香陵住販</t>
    <phoneticPr fontId="2"/>
  </si>
  <si>
    <t>不参加</t>
    <rPh sb="0" eb="3">
      <t>フサンカ</t>
    </rPh>
    <phoneticPr fontId="2"/>
  </si>
  <si>
    <t>-</t>
    <phoneticPr fontId="2"/>
  </si>
  <si>
    <t>-</t>
    <phoneticPr fontId="2"/>
  </si>
  <si>
    <t>-</t>
    <phoneticPr fontId="2"/>
  </si>
  <si>
    <t>アズーム</t>
    <phoneticPr fontId="2"/>
  </si>
  <si>
    <t>テノ．HD</t>
    <phoneticPr fontId="2"/>
  </si>
  <si>
    <t>イーエムネットジャパン</t>
    <phoneticPr fontId="2"/>
  </si>
  <si>
    <t>-</t>
    <phoneticPr fontId="2"/>
  </si>
  <si>
    <t>応募中</t>
    <rPh sb="0" eb="2">
      <t>オウボ</t>
    </rPh>
    <rPh sb="2" eb="3">
      <t>チュウ</t>
    </rPh>
    <phoneticPr fontId="2"/>
  </si>
  <si>
    <t>アイリックコーポレーション</t>
    <phoneticPr fontId="2"/>
  </si>
  <si>
    <t>ブロードバンドセキュリティ</t>
    <phoneticPr fontId="2"/>
  </si>
  <si>
    <t>ＳＢＩインシュアランスグループ</t>
    <phoneticPr fontId="2"/>
  </si>
  <si>
    <t>ワールド</t>
    <phoneticPr fontId="2"/>
  </si>
  <si>
    <t>不参加</t>
    <rPh sb="0" eb="3">
      <t>フサンカ</t>
    </rPh>
    <phoneticPr fontId="2"/>
  </si>
  <si>
    <t>and factory</t>
    <phoneticPr fontId="2"/>
  </si>
  <si>
    <t>極東産機</t>
    <phoneticPr fontId="2"/>
  </si>
  <si>
    <t>フロンティア・マネジメント</t>
    <phoneticPr fontId="2"/>
  </si>
  <si>
    <t>21万</t>
    <rPh sb="2" eb="3">
      <t>マン</t>
    </rPh>
    <phoneticPr fontId="8"/>
  </si>
  <si>
    <t>株時価損失-120万</t>
    <rPh sb="0" eb="1">
      <t>カブ</t>
    </rPh>
    <rPh sb="1" eb="3">
      <t>ジカ</t>
    </rPh>
    <rPh sb="3" eb="5">
      <t>ソンシツ</t>
    </rPh>
    <rPh sb="9" eb="10">
      <t>マン</t>
    </rPh>
    <phoneticPr fontId="2"/>
  </si>
  <si>
    <t>東証2部</t>
    <phoneticPr fontId="2"/>
  </si>
  <si>
    <t>(株)エヌリンクス</t>
    <phoneticPr fontId="2"/>
  </si>
  <si>
    <t>(株)フェイスネットワーク</t>
    <phoneticPr fontId="2"/>
  </si>
  <si>
    <t>(株)キャンディル</t>
    <phoneticPr fontId="2"/>
  </si>
  <si>
    <t>(株)ＳＥＲＩＯホールディングス</t>
    <phoneticPr fontId="2"/>
  </si>
  <si>
    <t>[1:2]（18/08/29）</t>
    <phoneticPr fontId="2"/>
  </si>
  <si>
    <t>(株)ファイバーゲート</t>
    <phoneticPr fontId="2"/>
  </si>
  <si>
    <t>なし</t>
    <phoneticPr fontId="3"/>
  </si>
  <si>
    <t>(株)アズ企画設計</t>
    <phoneticPr fontId="2"/>
  </si>
  <si>
    <t>日本リビング保証(株)</t>
    <phoneticPr fontId="2"/>
  </si>
  <si>
    <t>マザーズ</t>
    <phoneticPr fontId="2"/>
  </si>
  <si>
    <t>(株)コンヴァノ</t>
    <phoneticPr fontId="2"/>
  </si>
  <si>
    <t>なし</t>
    <phoneticPr fontId="2"/>
  </si>
  <si>
    <t>なし</t>
    <phoneticPr fontId="2"/>
  </si>
  <si>
    <t>国際紙パルプ商事(株)</t>
    <phoneticPr fontId="2"/>
  </si>
  <si>
    <t>(株)ＭＴＧ</t>
    <phoneticPr fontId="2"/>
  </si>
  <si>
    <t>(株)イボキン</t>
    <phoneticPr fontId="2"/>
  </si>
  <si>
    <t>ブリッジインターナショナル</t>
    <phoneticPr fontId="2"/>
  </si>
  <si>
    <t>ＣＲＧHD</t>
    <phoneticPr fontId="2"/>
  </si>
  <si>
    <t>Delta-Fly Pharma</t>
    <phoneticPr fontId="2"/>
  </si>
  <si>
    <t>イーソル</t>
    <phoneticPr fontId="2"/>
  </si>
  <si>
    <t>応募予定</t>
    <rPh sb="0" eb="2">
      <t>オウボ</t>
    </rPh>
    <rPh sb="2" eb="4">
      <t>ヨテイ</t>
    </rPh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</si>
  <si>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</si>
  <si>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</si>
  <si>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</si>
  <si>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</si>
  <si>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東証JQS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</si>
  <si>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</si>
  <si>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</si>
  <si>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</si>
  <si>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(株)Ｍマート</t>
    <phoneticPr fontId="2"/>
  </si>
  <si>
    <t>(株)ジェイテックコーポレーション</t>
    <phoneticPr fontId="2"/>
  </si>
  <si>
    <t>なし</t>
    <phoneticPr fontId="2"/>
  </si>
  <si>
    <t>神戸天然物化学(株)</t>
    <phoneticPr fontId="2"/>
  </si>
  <si>
    <t>マザーズ</t>
    <phoneticPr fontId="2"/>
  </si>
  <si>
    <t>日総工産(株)</t>
    <phoneticPr fontId="2"/>
  </si>
  <si>
    <t>東証1部</t>
    <phoneticPr fontId="2"/>
  </si>
  <si>
    <t>[1:2]（18/08/17）</t>
    <phoneticPr fontId="2"/>
  </si>
  <si>
    <t>(株)共和コーポレーション</t>
    <phoneticPr fontId="2"/>
  </si>
  <si>
    <t>信和(株)</t>
    <phoneticPr fontId="2"/>
  </si>
  <si>
    <t>(株)ＳＯＵ</t>
    <phoneticPr fontId="2"/>
  </si>
  <si>
    <t>キュービーネットホールディングス(株)</t>
    <phoneticPr fontId="2"/>
  </si>
  <si>
    <t>[1:2]（18/08/29）</t>
    <phoneticPr fontId="2"/>
  </si>
  <si>
    <t>ＲＰＡホールディングス(株)</t>
    <phoneticPr fontId="2"/>
  </si>
  <si>
    <t>なし</t>
    <phoneticPr fontId="2"/>
  </si>
  <si>
    <t>アジャイルメディア・ネットワーク(株)</t>
    <phoneticPr fontId="2"/>
  </si>
  <si>
    <t>[1:3]（18/08/29）</t>
    <phoneticPr fontId="2"/>
  </si>
  <si>
    <t>東証JQS</t>
    <phoneticPr fontId="2"/>
  </si>
  <si>
    <t>(株)和心</t>
    <phoneticPr fontId="2"/>
  </si>
  <si>
    <t>ブティックス(株)</t>
    <phoneticPr fontId="2"/>
  </si>
  <si>
    <t>なし</t>
    <phoneticPr fontId="2"/>
  </si>
  <si>
    <t>ビープラッツ(株)</t>
    <phoneticPr fontId="2"/>
  </si>
  <si>
    <t>ヒューマン・アソシエイツ・ホールディングス(株)</t>
    <phoneticPr fontId="2"/>
  </si>
  <si>
    <t>なし</t>
    <phoneticPr fontId="2"/>
  </si>
  <si>
    <t>ＨＥＲＯＺ(株)</t>
    <phoneticPr fontId="2"/>
  </si>
  <si>
    <t>(株)ベストワンドットコム</t>
    <phoneticPr fontId="2"/>
  </si>
  <si>
    <t>なし</t>
    <phoneticPr fontId="2"/>
  </si>
  <si>
    <t>アイペット損害保険(株)</t>
    <phoneticPr fontId="2"/>
  </si>
  <si>
    <t>東証JQS</t>
    <phoneticPr fontId="2"/>
  </si>
  <si>
    <t>ラクスル(株)</t>
    <phoneticPr fontId="2"/>
  </si>
  <si>
    <t>(株)メルカリ</t>
    <phoneticPr fontId="2"/>
  </si>
  <si>
    <t>ログリー(株)</t>
    <phoneticPr fontId="2"/>
  </si>
  <si>
    <t>(株)ＳＩＧ</t>
    <phoneticPr fontId="2"/>
  </si>
  <si>
    <t>なし</t>
    <phoneticPr fontId="2"/>
  </si>
  <si>
    <t>コーア商事ホールディングス(株)</t>
    <phoneticPr fontId="2"/>
  </si>
  <si>
    <t>(株)ＺＵＵ</t>
    <phoneticPr fontId="2"/>
  </si>
  <si>
    <t>マザーズ</t>
    <phoneticPr fontId="2"/>
  </si>
  <si>
    <t>なし</t>
    <phoneticPr fontId="2"/>
  </si>
  <si>
    <t>(株)ライトアップ</t>
    <phoneticPr fontId="2"/>
  </si>
  <si>
    <t>(株)エーアイ</t>
    <phoneticPr fontId="2"/>
  </si>
  <si>
    <t>プロパティデータバンク(株)</t>
    <phoneticPr fontId="2"/>
  </si>
  <si>
    <t>(株)アイ・ピー・エス</t>
    <phoneticPr fontId="2"/>
  </si>
  <si>
    <t>(株)スプリックス</t>
    <phoneticPr fontId="2"/>
  </si>
  <si>
    <t>ロジザード(株)</t>
    <phoneticPr fontId="2"/>
  </si>
  <si>
    <t>(株)マネジメントソリューションズ</t>
    <phoneticPr fontId="2"/>
  </si>
  <si>
    <t>なし</t>
    <phoneticPr fontId="2"/>
  </si>
  <si>
    <t>(株)バンク・オブ・イノベーション</t>
    <phoneticPr fontId="2"/>
  </si>
  <si>
    <t>(株)ＧＡ　ｔｅｃｈｎｏｌｏｇｉｅｓ</t>
    <phoneticPr fontId="2"/>
  </si>
  <si>
    <t>[1:2]（18/09/26）</t>
    <phoneticPr fontId="2"/>
  </si>
  <si>
    <t>(株)エクスモーション</t>
    <phoneticPr fontId="2"/>
  </si>
  <si>
    <t>(株)アクリート</t>
    <phoneticPr fontId="2"/>
  </si>
  <si>
    <t>(株)プロレド・パートナーズ</t>
    <phoneticPr fontId="2"/>
  </si>
  <si>
    <t>(株)システムサポート</t>
    <phoneticPr fontId="2"/>
  </si>
  <si>
    <t>なし</t>
    <phoneticPr fontId="2"/>
  </si>
  <si>
    <t>(株)チームスピリット</t>
    <phoneticPr fontId="2"/>
  </si>
  <si>
    <t>ａｎｄ　ｆａｃｔｏｒｙ(株)</t>
    <phoneticPr fontId="2"/>
  </si>
  <si>
    <t>マザーズ</t>
    <phoneticPr fontId="2"/>
  </si>
  <si>
    <t>なし</t>
    <phoneticPr fontId="2"/>
  </si>
  <si>
    <t>(株)ナルミヤ・インターナショナル</t>
    <phoneticPr fontId="2"/>
  </si>
  <si>
    <t>東証2部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</si>
</sst>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1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1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2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3" borderId="7" xfId="3" applyNumberFormat="1" applyFont="1" applyFill="1" applyBorder="1">
      <alignment vertical="center"/>
    </xf>
    <xf numFmtId="38" fontId="7" fillId="13" borderId="8" xfId="3" applyNumberFormat="1" applyFont="1" applyFill="1" applyBorder="1">
      <alignment vertical="center"/>
    </xf>
    <xf numFmtId="38" fontId="7" fillId="13" borderId="10" xfId="3" applyNumberFormat="1" applyFont="1" applyFill="1" applyBorder="1">
      <alignment vertical="center"/>
    </xf>
    <xf numFmtId="38" fontId="7" fillId="13" borderId="7" xfId="7" applyFont="1" applyFill="1" applyBorder="1">
      <alignment vertical="center"/>
    </xf>
    <xf numFmtId="38" fontId="7" fillId="13" borderId="8" xfId="7" applyFont="1" applyFill="1" applyBorder="1">
      <alignment vertical="center"/>
    </xf>
    <xf numFmtId="38" fontId="7" fillId="13" borderId="10" xfId="7" applyFont="1" applyFill="1" applyBorder="1">
      <alignment vertical="center"/>
    </xf>
    <xf numFmtId="3" fontId="7" fillId="13" borderId="7" xfId="3" applyNumberFormat="1" applyFont="1" applyFill="1" applyBorder="1">
      <alignment vertical="center"/>
    </xf>
    <xf numFmtId="3" fontId="7" fillId="13" borderId="8" xfId="3" applyNumberFormat="1" applyFont="1" applyFill="1" applyBorder="1">
      <alignment vertical="center"/>
    </xf>
    <xf numFmtId="3" fontId="7" fillId="13" borderId="10" xfId="3" applyNumberFormat="1" applyFont="1" applyFill="1" applyBorder="1">
      <alignment vertical="center"/>
    </xf>
    <xf numFmtId="0" fontId="9" fillId="13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3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4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5" borderId="11" xfId="3" applyFont="1" applyFill="1" applyBorder="1" applyAlignment="1">
      <alignment horizontal="center" vertical="center"/>
    </xf>
    <xf numFmtId="179" fontId="9" fillId="15" borderId="11" xfId="3" applyNumberFormat="1" applyFont="1" applyFill="1" applyBorder="1" applyAlignment="1">
      <alignment horizontal="center" vertical="center"/>
    </xf>
    <xf numFmtId="14" fontId="9" fillId="15" borderId="11" xfId="3" applyNumberFormat="1" applyFont="1" applyFill="1" applyBorder="1" applyAlignment="1">
      <alignment horizontal="center" vertical="center"/>
    </xf>
    <xf numFmtId="38" fontId="9" fillId="15" borderId="11" xfId="3" applyNumberFormat="1" applyFont="1" applyFill="1" applyBorder="1" applyAlignment="1">
      <alignment horizontal="center" vertical="center"/>
    </xf>
    <xf numFmtId="181" fontId="9" fillId="15" borderId="11" xfId="3" applyNumberFormat="1" applyFont="1" applyFill="1" applyBorder="1" applyAlignment="1">
      <alignment horizontal="center" vertical="center"/>
    </xf>
    <xf numFmtId="0" fontId="7" fillId="15" borderId="8" xfId="3" applyFont="1" applyFill="1" applyBorder="1" applyAlignment="1">
      <alignment horizontal="center" vertical="center"/>
    </xf>
    <xf numFmtId="179" fontId="7" fillId="15" borderId="8" xfId="3" applyNumberFormat="1" applyFont="1" applyFill="1" applyBorder="1" applyAlignment="1">
      <alignment horizontal="center" vertical="center"/>
    </xf>
    <xf numFmtId="14" fontId="7" fillId="15" borderId="8" xfId="3" applyNumberFormat="1" applyFont="1" applyFill="1" applyBorder="1" applyAlignment="1">
      <alignment horizontal="center" vertical="center"/>
    </xf>
    <xf numFmtId="38" fontId="7" fillId="15" borderId="8" xfId="3" applyNumberFormat="1" applyFont="1" applyFill="1" applyBorder="1" applyAlignment="1">
      <alignment horizontal="center" vertical="center"/>
    </xf>
    <xf numFmtId="181" fontId="7" fillId="15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3" borderId="36" xfId="7" applyFont="1" applyFill="1" applyBorder="1">
      <alignment vertical="center"/>
    </xf>
    <xf numFmtId="38" fontId="7" fillId="13" borderId="45" xfId="7" applyFont="1" applyFill="1" applyBorder="1">
      <alignment vertical="center"/>
    </xf>
    <xf numFmtId="3" fontId="7" fillId="13" borderId="22" xfId="3" applyNumberFormat="1" applyFont="1" applyFill="1" applyBorder="1">
      <alignment vertical="center"/>
    </xf>
    <xf numFmtId="3" fontId="7" fillId="13" borderId="25" xfId="3" applyNumberFormat="1" applyFont="1" applyFill="1" applyBorder="1">
      <alignment vertical="center"/>
    </xf>
    <xf numFmtId="38" fontId="7" fillId="13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6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7" fillId="17" borderId="7" xfId="3" applyFont="1" applyFill="1" applyBorder="1" applyAlignment="1">
      <alignment horizontal="center" vertical="center"/>
    </xf>
    <xf numFmtId="10" fontId="7" fillId="17" borderId="8" xfId="8" applyNumberFormat="1" applyFont="1" applyFill="1" applyBorder="1" applyAlignment="1">
      <alignment horizontal="center" vertical="center"/>
    </xf>
    <xf numFmtId="10" fontId="7" fillId="17" borderId="8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38" fontId="7" fillId="17" borderId="8" xfId="7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38" fontId="7" fillId="17" borderId="8" xfId="7" applyNumberFormat="1" applyFont="1" applyFill="1" applyBorder="1" applyAlignment="1">
      <alignment horizontal="center" vertical="center"/>
    </xf>
    <xf numFmtId="183" fontId="7" fillId="17" borderId="11" xfId="8" applyNumberFormat="1" applyFont="1" applyFill="1" applyBorder="1" applyAlignment="1">
      <alignment horizontal="center" vertical="center"/>
    </xf>
    <xf numFmtId="0" fontId="7" fillId="17" borderId="11" xfId="3" applyFont="1" applyFill="1" applyBorder="1" applyAlignment="1">
      <alignment horizontal="center" vertical="center"/>
    </xf>
    <xf numFmtId="184" fontId="7" fillId="17" borderId="0" xfId="3" applyNumberFormat="1" applyFont="1" applyFill="1" applyAlignment="1">
      <alignment horizontal="center" vertical="center"/>
    </xf>
    <xf numFmtId="185" fontId="7" fillId="17" borderId="0" xfId="3" applyNumberFormat="1" applyFont="1" applyFill="1" applyAlignment="1">
      <alignment horizontal="center" vertical="center"/>
    </xf>
    <xf numFmtId="38" fontId="7" fillId="17" borderId="0" xfId="7" applyFont="1" applyFill="1" applyAlignment="1">
      <alignment horizontal="center" vertical="center"/>
    </xf>
    <xf numFmtId="0" fontId="12" fillId="0" borderId="0" xfId="3" applyFont="1">
      <alignment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4" fontId="7" fillId="17" borderId="1" xfId="3" applyNumberFormat="1" applyFont="1" applyFill="1" applyBorder="1" applyAlignment="1">
      <alignment horizontal="center" vertical="center"/>
    </xf>
    <xf numFmtId="184" fontId="7" fillId="17" borderId="46" xfId="3" applyNumberFormat="1" applyFont="1" applyFill="1" applyBorder="1" applyAlignment="1">
      <alignment horizontal="center" vertical="center"/>
    </xf>
    <xf numFmtId="184" fontId="7" fillId="17" borderId="2" xfId="3" applyNumberFormat="1" applyFont="1" applyFill="1" applyBorder="1" applyAlignment="1">
      <alignment horizontal="center" vertical="center"/>
    </xf>
    <xf numFmtId="184" fontId="7" fillId="13" borderId="1" xfId="3" applyNumberFormat="1" applyFont="1" applyFill="1" applyBorder="1" applyAlignment="1">
      <alignment horizontal="center" vertical="center"/>
    </xf>
    <xf numFmtId="184" fontId="7" fillId="13" borderId="46" xfId="3" applyNumberFormat="1" applyFont="1" applyFill="1" applyBorder="1" applyAlignment="1">
      <alignment horizontal="center" vertical="center"/>
    </xf>
    <xf numFmtId="184" fontId="7" fillId="1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69"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31</xdr:row>
      <xdr:rowOff>123265</xdr:rowOff>
    </xdr:from>
    <xdr:to>
      <xdr:col>7</xdr:col>
      <xdr:colOff>627530</xdr:colOff>
      <xdr:row>43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hyperlink" Target="https://stocks.finance.yahoo.co.jp/stocks/detail/?code=7323" TargetMode="External"/><Relationship Id="rId39" Type="http://schemas.openxmlformats.org/officeDocument/2006/relationships/hyperlink" Target="https://stocks.finance.yahoo.co.jp/stocks/detail/?code=7030" TargetMode="External"/><Relationship Id="rId21" Type="http://schemas.openxmlformats.org/officeDocument/2006/relationships/hyperlink" Target="https://stocks.finance.yahoo.co.jp/stocks/detail/?code=4381" TargetMode="External"/><Relationship Id="rId34" Type="http://schemas.openxmlformats.org/officeDocument/2006/relationships/hyperlink" Target="https://stocks.finance.yahoo.co.jp/stocks/detail/?code=6580" TargetMode="External"/><Relationship Id="rId42" Type="http://schemas.openxmlformats.org/officeDocument/2006/relationships/hyperlink" Target="https://stocks.finance.yahoo.co.jp/stocks/detail/?code=7806" TargetMode="External"/><Relationship Id="rId47" Type="http://schemas.openxmlformats.org/officeDocument/2006/relationships/hyperlink" Target="https://stocks.finance.yahoo.co.jp/stocks/detail/?code=4395" TargetMode="External"/><Relationship Id="rId50" Type="http://schemas.openxmlformats.org/officeDocument/2006/relationships/hyperlink" Target="https://stocks.finance.yahoo.co.jp/stocks/detail/?code=5699" TargetMode="External"/><Relationship Id="rId55" Type="http://schemas.openxmlformats.org/officeDocument/2006/relationships/vmlDrawing" Target="../drawings/vmlDrawing1.vml"/><Relationship Id="rId7" Type="http://schemas.openxmlformats.org/officeDocument/2006/relationships/hyperlink" Target="https://stocks.finance.yahoo.co.jp/stocks/detail/?code=6568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hyperlink" Target="https://stocks.finance.yahoo.co.jp/stocks/detail/?code=6577" TargetMode="External"/><Relationship Id="rId33" Type="http://schemas.openxmlformats.org/officeDocument/2006/relationships/hyperlink" Target="https://stocks.finance.yahoo.co.jp/stocks/detail/?code=4387" TargetMode="External"/><Relationship Id="rId38" Type="http://schemas.openxmlformats.org/officeDocument/2006/relationships/hyperlink" Target="https://stocks.finance.yahoo.co.jp/stocks/detail/?code=4390" TargetMode="External"/><Relationship Id="rId46" Type="http://schemas.openxmlformats.org/officeDocument/2006/relationships/hyperlink" Target="https://stocks.finance.yahoo.co.jp/stocks/detail/?code=4394" TargetMode="Externa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0" Type="http://schemas.openxmlformats.org/officeDocument/2006/relationships/hyperlink" Target="https://stocks.finance.yahoo.co.jp/stocks/detail/?code=9272" TargetMode="External"/><Relationship Id="rId29" Type="http://schemas.openxmlformats.org/officeDocument/2006/relationships/hyperlink" Target="https://stocks.finance.yahoo.co.jp/stocks/detail/?code=4385" TargetMode="External"/><Relationship Id="rId41" Type="http://schemas.openxmlformats.org/officeDocument/2006/relationships/hyperlink" Target="https://stocks.finance.yahoo.co.jp/stocks/detail/?code=1446" TargetMode="External"/><Relationship Id="rId54" Type="http://schemas.openxmlformats.org/officeDocument/2006/relationships/drawing" Target="../drawings/drawing1.xm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hyperlink" Target="https://stocks.finance.yahoo.co.jp/stocks/detail/?code=4382" TargetMode="External"/><Relationship Id="rId32" Type="http://schemas.openxmlformats.org/officeDocument/2006/relationships/hyperlink" Target="https://stocks.finance.yahoo.co.jp/stocks/detail/?code=9273" TargetMode="External"/><Relationship Id="rId37" Type="http://schemas.openxmlformats.org/officeDocument/2006/relationships/hyperlink" Target="https://stocks.finance.yahoo.co.jp/stocks/detail/?code=4389" TargetMode="External"/><Relationship Id="rId40" Type="http://schemas.openxmlformats.org/officeDocument/2006/relationships/hyperlink" Target="https://stocks.finance.yahoo.co.jp/stocks/detail/?code=4391" TargetMode="External"/><Relationship Id="rId45" Type="http://schemas.openxmlformats.org/officeDocument/2006/relationships/hyperlink" Target="https://stocks.finance.yahoo.co.jp/stocks/detail/?code=3491" TargetMode="External"/><Relationship Id="rId53" Type="http://schemas.openxmlformats.org/officeDocument/2006/relationships/hyperlink" Target="https://stocks.finance.yahoo.co.jp/stocks/detail/?code=9275" TargetMode="External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28" Type="http://schemas.openxmlformats.org/officeDocument/2006/relationships/hyperlink" Target="https://stocks.finance.yahoo.co.jp/stocks/detail/?code=4384" TargetMode="External"/><Relationship Id="rId36" Type="http://schemas.openxmlformats.org/officeDocument/2006/relationships/hyperlink" Target="https://stocks.finance.yahoo.co.jp/stocks/detail/?code=4388" TargetMode="External"/><Relationship Id="rId49" Type="http://schemas.openxmlformats.org/officeDocument/2006/relationships/hyperlink" Target="https://stocks.finance.yahoo.co.jp/stocks/detail/?code=4396" TargetMode="External"/><Relationship Id="rId57" Type="http://schemas.openxmlformats.org/officeDocument/2006/relationships/image" Target="../media/image1.emf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31" Type="http://schemas.openxmlformats.org/officeDocument/2006/relationships/hyperlink" Target="https://stocks.finance.yahoo.co.jp/stocks/detail/?code=4386" TargetMode="External"/><Relationship Id="rId44" Type="http://schemas.openxmlformats.org/officeDocument/2006/relationships/hyperlink" Target="https://stocks.finance.yahoo.co.jp/stocks/detail/?code=4393" TargetMode="External"/><Relationship Id="rId52" Type="http://schemas.openxmlformats.org/officeDocument/2006/relationships/hyperlink" Target="https://stocks.finance.yahoo.co.jp/stocks/detail/?code=7035" TargetMode="Externa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hyperlink" Target="https://stocks.finance.yahoo.co.jp/stocks/detail/?code=6578" TargetMode="External"/><Relationship Id="rId30" Type="http://schemas.openxmlformats.org/officeDocument/2006/relationships/hyperlink" Target="https://stocks.finance.yahoo.co.jp/stocks/detail/?code=6579" TargetMode="External"/><Relationship Id="rId35" Type="http://schemas.openxmlformats.org/officeDocument/2006/relationships/hyperlink" Target="https://stocks.finance.yahoo.co.jp/stocks/detail/?code=9274" TargetMode="External"/><Relationship Id="rId43" Type="http://schemas.openxmlformats.org/officeDocument/2006/relationships/hyperlink" Target="https://stocks.finance.yahoo.co.jp/stocks/detail/?code=7033" TargetMode="External"/><Relationship Id="rId48" Type="http://schemas.openxmlformats.org/officeDocument/2006/relationships/hyperlink" Target="https://stocks.finance.yahoo.co.jp/stocks/detail/?code=7034" TargetMode="External"/><Relationship Id="rId56" Type="http://schemas.openxmlformats.org/officeDocument/2006/relationships/control" Target="../activeX/activeX1.xml"/><Relationship Id="rId8" Type="http://schemas.openxmlformats.org/officeDocument/2006/relationships/hyperlink" Target="https://stocks.finance.yahoo.co.jp/stocks/detail/?code=6569" TargetMode="External"/><Relationship Id="rId51" Type="http://schemas.openxmlformats.org/officeDocument/2006/relationships/hyperlink" Target="https://stocks.finance.yahoo.co.jp/stocks/detail/?code=4397" TargetMode="External"/><Relationship Id="rId3" Type="http://schemas.openxmlformats.org/officeDocument/2006/relationships/hyperlink" Target="https://stocks.finance.yahoo.co.jp/stocks/detail/?code=4597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3"/>
  <sheetViews>
    <sheetView tabSelected="1" zoomScale="70" zoomScaleNormal="70" workbookViewId="0">
      <pane ySplit="2" topLeftCell="A27" activePane="bottomLeft" state="frozen"/>
      <selection activeCell="U183" sqref="U183"/>
      <selection pane="bottomLeft" activeCell="B52" sqref="B52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40" t="s">
        <v>14</v>
      </c>
      <c r="B1" s="240"/>
      <c r="D1" s="13" t="s">
        <v>15</v>
      </c>
      <c r="E1" s="14" t="s">
        <v>16</v>
      </c>
      <c r="H1" s="134"/>
      <c r="I1" s="134"/>
      <c r="J1" s="134"/>
      <c r="K1" s="134"/>
      <c r="L1" s="134"/>
      <c r="M1" s="134"/>
      <c r="N1" s="16" t="s">
        <v>129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6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165</v>
      </c>
      <c r="C3" s="155">
        <v>43137</v>
      </c>
      <c r="D3" s="155">
        <v>43144</v>
      </c>
      <c r="E3" s="155">
        <v>43145</v>
      </c>
      <c r="F3" s="63" t="s">
        <v>40</v>
      </c>
      <c r="G3" s="156">
        <v>1240</v>
      </c>
      <c r="H3" s="157" t="s">
        <v>60</v>
      </c>
      <c r="I3" s="63" t="s">
        <v>166</v>
      </c>
      <c r="J3" s="63" t="s">
        <v>166</v>
      </c>
      <c r="K3" s="63" t="s">
        <v>182</v>
      </c>
      <c r="L3" s="63" t="s">
        <v>166</v>
      </c>
      <c r="M3" s="63" t="s">
        <v>166</v>
      </c>
      <c r="N3" s="63" t="s">
        <v>62</v>
      </c>
      <c r="O3" s="155">
        <v>43154</v>
      </c>
      <c r="P3" s="158">
        <v>5380</v>
      </c>
      <c r="Q3" s="151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1" si="0">COUNTIF(N:N,U3)</f>
        <v>8</v>
      </c>
      <c r="W3" s="26" t="s">
        <v>38</v>
      </c>
      <c r="X3" s="26" t="s">
        <v>39</v>
      </c>
    </row>
    <row r="4" spans="1:24" x14ac:dyDescent="0.25">
      <c r="A4" s="12">
        <f t="shared" ref="A4:A65" si="1">ROW()-2</f>
        <v>2</v>
      </c>
      <c r="B4" s="49" t="s">
        <v>171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166</v>
      </c>
      <c r="J4" s="49" t="s">
        <v>166</v>
      </c>
      <c r="K4" s="49" t="s">
        <v>172</v>
      </c>
      <c r="L4" s="49" t="s">
        <v>166</v>
      </c>
      <c r="M4" s="49" t="s">
        <v>182</v>
      </c>
      <c r="N4" s="159" t="s">
        <v>47</v>
      </c>
      <c r="O4" s="52">
        <v>43159</v>
      </c>
      <c r="P4" s="50">
        <v>9700</v>
      </c>
      <c r="Q4" s="151" t="str">
        <f t="shared" ref="Q4:Q65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12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173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172</v>
      </c>
      <c r="J5" s="49" t="s">
        <v>166</v>
      </c>
      <c r="K5" s="49" t="s">
        <v>182</v>
      </c>
      <c r="L5" s="49" t="s">
        <v>166</v>
      </c>
      <c r="M5" s="49" t="s">
        <v>182</v>
      </c>
      <c r="N5" s="49" t="s">
        <v>53</v>
      </c>
      <c r="O5" s="52">
        <v>43161</v>
      </c>
      <c r="P5" s="50">
        <v>4100</v>
      </c>
      <c r="Q5" s="151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7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174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172</v>
      </c>
      <c r="J6" s="49" t="s">
        <v>166</v>
      </c>
      <c r="K6" s="49" t="s">
        <v>172</v>
      </c>
      <c r="L6" s="49" t="s">
        <v>166</v>
      </c>
      <c r="M6" s="49" t="s">
        <v>172</v>
      </c>
      <c r="N6" s="159" t="s">
        <v>47</v>
      </c>
      <c r="O6" s="52">
        <v>43174</v>
      </c>
      <c r="P6" s="50">
        <v>3665</v>
      </c>
      <c r="Q6" s="151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1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175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166</v>
      </c>
      <c r="J7" s="49" t="s">
        <v>172</v>
      </c>
      <c r="K7" s="49" t="s">
        <v>172</v>
      </c>
      <c r="L7" s="49" t="s">
        <v>166</v>
      </c>
      <c r="M7" s="49" t="s">
        <v>182</v>
      </c>
      <c r="N7" s="49" t="s">
        <v>62</v>
      </c>
      <c r="O7" s="52">
        <v>43175</v>
      </c>
      <c r="P7" s="50">
        <v>4020</v>
      </c>
      <c r="Q7" s="151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2</v>
      </c>
      <c r="W7" s="28" t="s">
        <v>59</v>
      </c>
    </row>
    <row r="8" spans="1:24" x14ac:dyDescent="0.25">
      <c r="A8" s="12">
        <f t="shared" si="1"/>
        <v>6</v>
      </c>
      <c r="B8" s="49" t="s">
        <v>176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166</v>
      </c>
      <c r="J8" s="49" t="s">
        <v>166</v>
      </c>
      <c r="K8" s="49" t="s">
        <v>172</v>
      </c>
      <c r="L8" s="49" t="s">
        <v>166</v>
      </c>
      <c r="M8" s="49" t="s">
        <v>182</v>
      </c>
      <c r="N8" s="49" t="s">
        <v>53</v>
      </c>
      <c r="O8" s="52">
        <v>43175</v>
      </c>
      <c r="P8" s="50">
        <v>3200</v>
      </c>
      <c r="Q8" s="151" t="str">
        <f t="shared" si="2"/>
        <v>128.57%</v>
      </c>
      <c r="R8" s="49"/>
      <c r="T8" s="28" t="s">
        <v>157</v>
      </c>
      <c r="U8" s="28" t="s">
        <v>62</v>
      </c>
      <c r="V8" s="26">
        <f t="shared" si="0"/>
        <v>17</v>
      </c>
      <c r="W8" s="29" t="s">
        <v>63</v>
      </c>
    </row>
    <row r="9" spans="1:24" x14ac:dyDescent="0.25">
      <c r="A9" s="12">
        <f t="shared" si="1"/>
        <v>7</v>
      </c>
      <c r="B9" s="49" t="s">
        <v>183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185</v>
      </c>
      <c r="J9" s="49" t="s">
        <v>184</v>
      </c>
      <c r="K9" s="49" t="s">
        <v>185</v>
      </c>
      <c r="L9" s="49" t="s">
        <v>184</v>
      </c>
      <c r="M9" s="49" t="s">
        <v>185</v>
      </c>
      <c r="N9" s="49" t="s">
        <v>53</v>
      </c>
      <c r="O9" s="52">
        <v>43178</v>
      </c>
      <c r="P9" s="50">
        <v>2511</v>
      </c>
      <c r="Q9" s="151" t="str">
        <f t="shared" si="2"/>
        <v>57.92%</v>
      </c>
      <c r="R9" s="49"/>
      <c r="T9" s="28" t="s">
        <v>156</v>
      </c>
      <c r="U9" s="28" t="s">
        <v>53</v>
      </c>
      <c r="V9" s="28">
        <f t="shared" si="0"/>
        <v>17</v>
      </c>
    </row>
    <row r="10" spans="1:24" x14ac:dyDescent="0.25">
      <c r="A10" s="12">
        <f t="shared" si="1"/>
        <v>8</v>
      </c>
      <c r="B10" s="49" t="s">
        <v>186</v>
      </c>
      <c r="C10" s="52">
        <v>43161</v>
      </c>
      <c r="D10" s="52">
        <v>43167</v>
      </c>
      <c r="E10" s="52">
        <v>43168</v>
      </c>
      <c r="F10" s="49" t="s">
        <v>42</v>
      </c>
      <c r="G10" s="160">
        <v>1150</v>
      </c>
      <c r="H10" s="49" t="s">
        <v>52</v>
      </c>
      <c r="I10" s="49" t="s">
        <v>188</v>
      </c>
      <c r="J10" s="49" t="s">
        <v>187</v>
      </c>
      <c r="K10" s="49" t="s">
        <v>182</v>
      </c>
      <c r="L10" s="49" t="s">
        <v>187</v>
      </c>
      <c r="M10" s="49" t="s">
        <v>182</v>
      </c>
      <c r="N10" s="49" t="s">
        <v>53</v>
      </c>
      <c r="O10" s="52">
        <v>43179</v>
      </c>
      <c r="P10" s="50">
        <v>1106</v>
      </c>
      <c r="Q10" s="164" t="str">
        <f t="shared" si="2"/>
        <v>-3.83%</v>
      </c>
      <c r="R10" s="49" t="s">
        <v>245</v>
      </c>
      <c r="T10" s="29" t="s">
        <v>61</v>
      </c>
      <c r="U10" s="31" t="s">
        <v>131</v>
      </c>
      <c r="V10" s="31">
        <f t="shared" si="0"/>
        <v>0</v>
      </c>
    </row>
    <row r="11" spans="1:24" x14ac:dyDescent="0.25">
      <c r="A11" s="12">
        <f t="shared" si="1"/>
        <v>9</v>
      </c>
      <c r="B11" s="49" t="s">
        <v>189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172</v>
      </c>
      <c r="J11" s="49" t="s">
        <v>190</v>
      </c>
      <c r="K11" s="49" t="s">
        <v>172</v>
      </c>
      <c r="L11" s="49" t="s">
        <v>190</v>
      </c>
      <c r="M11" s="49" t="s">
        <v>182</v>
      </c>
      <c r="N11" s="159" t="s">
        <v>47</v>
      </c>
      <c r="O11" s="52">
        <v>43181</v>
      </c>
      <c r="P11" s="50">
        <v>4100</v>
      </c>
      <c r="Q11" s="151" t="str">
        <f t="shared" si="2"/>
        <v>24.24%</v>
      </c>
      <c r="R11" s="49"/>
      <c r="U11" s="29" t="s">
        <v>64</v>
      </c>
      <c r="V11" s="29">
        <f t="shared" si="0"/>
        <v>1</v>
      </c>
    </row>
    <row r="12" spans="1:24" x14ac:dyDescent="0.25">
      <c r="A12" s="12">
        <f t="shared" si="1"/>
        <v>10</v>
      </c>
      <c r="B12" s="49" t="s">
        <v>191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166</v>
      </c>
      <c r="J12" s="49" t="s">
        <v>166</v>
      </c>
      <c r="K12" s="49" t="s">
        <v>262</v>
      </c>
      <c r="L12" s="49" t="s">
        <v>166</v>
      </c>
      <c r="M12" s="49" t="s">
        <v>182</v>
      </c>
      <c r="N12" s="159" t="s">
        <v>36</v>
      </c>
      <c r="O12" s="52">
        <v>43182</v>
      </c>
      <c r="P12" s="50">
        <v>2115</v>
      </c>
      <c r="Q12" s="164" t="str">
        <f t="shared" si="2"/>
        <v>-6%</v>
      </c>
      <c r="R12" s="49" t="s">
        <v>245</v>
      </c>
    </row>
    <row r="13" spans="1:24" x14ac:dyDescent="0.25">
      <c r="A13" s="12">
        <f t="shared" si="1"/>
        <v>11</v>
      </c>
      <c r="B13" s="49" t="s">
        <v>192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193</v>
      </c>
      <c r="J13" s="49" t="s">
        <v>166</v>
      </c>
      <c r="K13" s="49" t="s">
        <v>193</v>
      </c>
      <c r="L13" s="49" t="s">
        <v>166</v>
      </c>
      <c r="M13" s="49" t="s">
        <v>182</v>
      </c>
      <c r="N13" s="159" t="s">
        <v>47</v>
      </c>
      <c r="O13" s="52">
        <v>43182</v>
      </c>
      <c r="P13" s="50">
        <v>2388</v>
      </c>
      <c r="Q13" s="151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194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195</v>
      </c>
      <c r="J14" s="49" t="s">
        <v>195</v>
      </c>
      <c r="K14" s="49" t="s">
        <v>182</v>
      </c>
      <c r="L14" s="49" t="s">
        <v>195</v>
      </c>
      <c r="M14" s="49" t="s">
        <v>182</v>
      </c>
      <c r="N14" s="159" t="s">
        <v>49</v>
      </c>
      <c r="O14" s="52">
        <v>43186</v>
      </c>
      <c r="P14" s="50">
        <v>14280</v>
      </c>
      <c r="Q14" s="151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196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197</v>
      </c>
      <c r="J15" s="49" t="s">
        <v>166</v>
      </c>
      <c r="K15" s="49" t="s">
        <v>197</v>
      </c>
      <c r="L15" s="49" t="s">
        <v>166</v>
      </c>
      <c r="M15" s="49" t="s">
        <v>182</v>
      </c>
      <c r="N15" s="49" t="s">
        <v>62</v>
      </c>
      <c r="O15" s="52">
        <v>43187</v>
      </c>
      <c r="P15" s="50">
        <v>15470</v>
      </c>
      <c r="Q15" s="151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198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202</v>
      </c>
      <c r="J16" s="49" t="s">
        <v>202</v>
      </c>
      <c r="K16" s="49" t="s">
        <v>202</v>
      </c>
      <c r="L16" s="49" t="s">
        <v>201</v>
      </c>
      <c r="M16" s="49" t="s">
        <v>182</v>
      </c>
      <c r="N16" s="49" t="s">
        <v>62</v>
      </c>
      <c r="O16" s="52">
        <v>43188</v>
      </c>
      <c r="P16" s="50">
        <v>4705</v>
      </c>
      <c r="Q16" s="151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199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201</v>
      </c>
      <c r="J17" s="49" t="s">
        <v>201</v>
      </c>
      <c r="K17" s="49" t="s">
        <v>202</v>
      </c>
      <c r="L17" s="49" t="s">
        <v>201</v>
      </c>
      <c r="M17" s="49" t="s">
        <v>202</v>
      </c>
      <c r="N17" s="159" t="s">
        <v>47</v>
      </c>
      <c r="O17" s="52">
        <v>43188</v>
      </c>
      <c r="P17" s="50">
        <v>4555</v>
      </c>
      <c r="Q17" s="151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200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201</v>
      </c>
      <c r="J18" s="49" t="s">
        <v>201</v>
      </c>
      <c r="K18" s="49" t="s">
        <v>202</v>
      </c>
      <c r="L18" s="49" t="s">
        <v>201</v>
      </c>
      <c r="M18" s="49" t="s">
        <v>182</v>
      </c>
      <c r="N18" s="49" t="s">
        <v>62</v>
      </c>
      <c r="O18" s="52">
        <v>43189</v>
      </c>
      <c r="P18" s="50">
        <v>5100</v>
      </c>
      <c r="Q18" s="151" t="str">
        <f t="shared" si="2"/>
        <v>189.77%</v>
      </c>
      <c r="R18" s="49"/>
    </row>
    <row r="19" spans="1:20" x14ac:dyDescent="0.25">
      <c r="A19" s="12">
        <f t="shared" si="1"/>
        <v>17</v>
      </c>
      <c r="B19" s="49" t="s">
        <v>206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166</v>
      </c>
      <c r="J19" s="49" t="s">
        <v>166</v>
      </c>
      <c r="K19" s="49" t="s">
        <v>172</v>
      </c>
      <c r="L19" s="49" t="s">
        <v>166</v>
      </c>
      <c r="M19" s="49" t="s">
        <v>172</v>
      </c>
      <c r="N19" s="49" t="s">
        <v>53</v>
      </c>
      <c r="O19" s="52">
        <v>43193</v>
      </c>
      <c r="P19" s="50">
        <v>3210</v>
      </c>
      <c r="Q19" s="151" t="str">
        <f t="shared" si="2"/>
        <v>137.78%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220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166</v>
      </c>
      <c r="J20" s="49" t="s">
        <v>166</v>
      </c>
      <c r="K20" s="49" t="s">
        <v>172</v>
      </c>
      <c r="L20" s="49" t="s">
        <v>166</v>
      </c>
      <c r="M20" s="49" t="s">
        <v>172</v>
      </c>
      <c r="N20" s="49" t="s">
        <v>53</v>
      </c>
      <c r="O20" s="52">
        <v>43194</v>
      </c>
      <c r="P20" s="50">
        <v>10000</v>
      </c>
      <c r="Q20" s="151" t="str">
        <f t="shared" si="2"/>
        <v>354.55%</v>
      </c>
      <c r="R20" s="49"/>
      <c r="T20" s="114" t="s">
        <v>150</v>
      </c>
    </row>
    <row r="21" spans="1:20" x14ac:dyDescent="0.25">
      <c r="A21" s="12">
        <f t="shared" si="1"/>
        <v>19</v>
      </c>
      <c r="B21" s="49" t="s">
        <v>225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243</v>
      </c>
      <c r="J21" s="49" t="s">
        <v>244</v>
      </c>
      <c r="K21" s="49" t="s">
        <v>182</v>
      </c>
      <c r="L21" s="49" t="s">
        <v>244</v>
      </c>
      <c r="M21" s="49" t="s">
        <v>182</v>
      </c>
      <c r="N21" s="159" t="s">
        <v>36</v>
      </c>
      <c r="O21" s="52">
        <v>43200</v>
      </c>
      <c r="P21" s="50">
        <v>3600</v>
      </c>
      <c r="Q21" s="151" t="str">
        <f t="shared" si="2"/>
        <v>207.69%</v>
      </c>
      <c r="R21" s="49"/>
    </row>
    <row r="22" spans="1:20" x14ac:dyDescent="0.25">
      <c r="A22" s="12">
        <f t="shared" si="1"/>
        <v>20</v>
      </c>
      <c r="B22" s="49" t="s">
        <v>226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227</v>
      </c>
      <c r="J22" s="49" t="s">
        <v>227</v>
      </c>
      <c r="K22" s="49" t="s">
        <v>182</v>
      </c>
      <c r="L22" s="49" t="s">
        <v>227</v>
      </c>
      <c r="M22" s="49" t="s">
        <v>228</v>
      </c>
      <c r="N22" s="49" t="s">
        <v>53</v>
      </c>
      <c r="O22" s="52">
        <v>43201</v>
      </c>
      <c r="P22" s="50">
        <v>2189</v>
      </c>
      <c r="Q22" s="151" t="str">
        <f t="shared" si="2"/>
        <v>135.38%</v>
      </c>
      <c r="R22" s="49"/>
      <c r="T22" s="12" t="s">
        <v>69</v>
      </c>
    </row>
    <row r="23" spans="1:20" x14ac:dyDescent="0.25">
      <c r="A23" s="12">
        <f t="shared" si="1"/>
        <v>21</v>
      </c>
      <c r="B23" s="151" t="s">
        <v>242</v>
      </c>
      <c r="C23" s="161">
        <v>43195</v>
      </c>
      <c r="D23" s="161">
        <v>43201</v>
      </c>
      <c r="E23" s="52">
        <v>43202</v>
      </c>
      <c r="F23" s="49" t="s">
        <v>40</v>
      </c>
      <c r="G23" s="162">
        <v>4500</v>
      </c>
      <c r="H23" s="151" t="s">
        <v>60</v>
      </c>
      <c r="I23" s="49" t="s">
        <v>166</v>
      </c>
      <c r="J23" s="49" t="s">
        <v>166</v>
      </c>
      <c r="K23" s="49" t="s">
        <v>188</v>
      </c>
      <c r="L23" s="49" t="s">
        <v>166</v>
      </c>
      <c r="M23" s="49" t="s">
        <v>228</v>
      </c>
      <c r="N23" s="164" t="s">
        <v>47</v>
      </c>
      <c r="O23" s="161">
        <v>43210</v>
      </c>
      <c r="P23" s="163">
        <v>49000</v>
      </c>
      <c r="Q23" s="151" t="str">
        <f t="shared" si="2"/>
        <v>988.89%</v>
      </c>
      <c r="R23" s="151"/>
      <c r="T23" s="114" t="s">
        <v>125</v>
      </c>
    </row>
    <row r="24" spans="1:20" x14ac:dyDescent="0.25">
      <c r="A24" s="12">
        <f t="shared" si="1"/>
        <v>22</v>
      </c>
      <c r="B24" s="151" t="s">
        <v>246</v>
      </c>
      <c r="C24" s="52">
        <v>43200</v>
      </c>
      <c r="D24" s="52">
        <v>43206</v>
      </c>
      <c r="E24" s="161">
        <v>43207</v>
      </c>
      <c r="F24" s="49" t="s">
        <v>40</v>
      </c>
      <c r="G24" s="162">
        <v>4330</v>
      </c>
      <c r="H24" s="151" t="s">
        <v>60</v>
      </c>
      <c r="I24" s="49" t="s">
        <v>166</v>
      </c>
      <c r="J24" s="49" t="s">
        <v>166</v>
      </c>
      <c r="K24" s="49" t="s">
        <v>166</v>
      </c>
      <c r="L24" s="49" t="s">
        <v>166</v>
      </c>
      <c r="M24" s="49" t="s">
        <v>228</v>
      </c>
      <c r="N24" s="164" t="s">
        <v>47</v>
      </c>
      <c r="O24" s="161">
        <v>43215</v>
      </c>
      <c r="P24" s="163">
        <v>14830</v>
      </c>
      <c r="Q24" s="151" t="str">
        <f t="shared" si="2"/>
        <v>242.49%</v>
      </c>
      <c r="R24" s="49"/>
    </row>
    <row r="25" spans="1:20" x14ac:dyDescent="0.25">
      <c r="A25" s="12">
        <f t="shared" si="1"/>
        <v>23</v>
      </c>
      <c r="B25" s="49" t="s">
        <v>247</v>
      </c>
      <c r="C25" s="52">
        <v>43200</v>
      </c>
      <c r="D25" s="52">
        <v>43206</v>
      </c>
      <c r="E25" s="161">
        <v>43207</v>
      </c>
      <c r="F25" s="49" t="s">
        <v>40</v>
      </c>
      <c r="G25" s="51">
        <v>2850</v>
      </c>
      <c r="H25" s="49" t="s">
        <v>46</v>
      </c>
      <c r="I25" s="49" t="s">
        <v>166</v>
      </c>
      <c r="J25" s="49" t="s">
        <v>166</v>
      </c>
      <c r="K25" s="49" t="s">
        <v>263</v>
      </c>
      <c r="L25" s="49" t="s">
        <v>166</v>
      </c>
      <c r="M25" s="49" t="s">
        <v>182</v>
      </c>
      <c r="N25" s="159" t="s">
        <v>36</v>
      </c>
      <c r="O25" s="161">
        <v>43215</v>
      </c>
      <c r="P25" s="50">
        <v>4500</v>
      </c>
      <c r="Q25" s="151" t="str">
        <f t="shared" si="2"/>
        <v>57.89%</v>
      </c>
      <c r="R25" s="49"/>
    </row>
    <row r="26" spans="1:20" x14ac:dyDescent="0.25">
      <c r="A26" s="12">
        <f t="shared" si="1"/>
        <v>24</v>
      </c>
      <c r="B26" s="49" t="s">
        <v>248</v>
      </c>
      <c r="C26" s="52">
        <v>43201</v>
      </c>
      <c r="D26" s="52">
        <v>43207</v>
      </c>
      <c r="E26" s="161">
        <v>43208</v>
      </c>
      <c r="F26" s="49" t="s">
        <v>35</v>
      </c>
      <c r="G26" s="51">
        <v>1810</v>
      </c>
      <c r="H26" s="49" t="s">
        <v>46</v>
      </c>
      <c r="I26" s="49" t="s">
        <v>250</v>
      </c>
      <c r="J26" s="49" t="s">
        <v>250</v>
      </c>
      <c r="K26" s="49" t="s">
        <v>250</v>
      </c>
      <c r="L26" s="49" t="s">
        <v>249</v>
      </c>
      <c r="M26" s="49" t="s">
        <v>182</v>
      </c>
      <c r="N26" s="159" t="s">
        <v>49</v>
      </c>
      <c r="O26" s="161">
        <v>43217</v>
      </c>
      <c r="P26" s="50">
        <v>3780</v>
      </c>
      <c r="Q26" s="151" t="str">
        <f t="shared" si="2"/>
        <v>108.84%</v>
      </c>
      <c r="R26" s="49"/>
    </row>
    <row r="27" spans="1:20" x14ac:dyDescent="0.25">
      <c r="A27" s="12">
        <f t="shared" si="1"/>
        <v>25</v>
      </c>
      <c r="B27" s="151" t="s">
        <v>268</v>
      </c>
      <c r="C27" s="52">
        <v>43236</v>
      </c>
      <c r="D27" s="52">
        <v>43242</v>
      </c>
      <c r="E27" s="161">
        <v>43243</v>
      </c>
      <c r="F27" s="49" t="s">
        <v>40</v>
      </c>
      <c r="G27" s="162">
        <v>1500</v>
      </c>
      <c r="H27" s="151" t="s">
        <v>52</v>
      </c>
      <c r="I27" s="49" t="s">
        <v>166</v>
      </c>
      <c r="J27" s="49" t="s">
        <v>166</v>
      </c>
      <c r="K27" s="49" t="s">
        <v>263</v>
      </c>
      <c r="L27" s="49" t="s">
        <v>166</v>
      </c>
      <c r="M27" s="49" t="s">
        <v>269</v>
      </c>
      <c r="N27" s="164" t="s">
        <v>36</v>
      </c>
      <c r="O27" s="161">
        <v>43251</v>
      </c>
      <c r="P27" s="163">
        <v>1645</v>
      </c>
      <c r="Q27" s="151" t="str">
        <f t="shared" si="2"/>
        <v>9.67%</v>
      </c>
      <c r="R27" s="151"/>
    </row>
    <row r="28" spans="1:20" x14ac:dyDescent="0.25">
      <c r="A28" s="12">
        <f t="shared" si="1"/>
        <v>26</v>
      </c>
      <c r="B28" s="49" t="s">
        <v>270</v>
      </c>
      <c r="C28" s="52">
        <v>43255</v>
      </c>
      <c r="D28" s="52">
        <v>43259</v>
      </c>
      <c r="E28" s="161">
        <v>43262</v>
      </c>
      <c r="F28" s="49" t="s">
        <v>40</v>
      </c>
      <c r="G28" s="51">
        <v>3000</v>
      </c>
      <c r="H28" s="49" t="s">
        <v>46</v>
      </c>
      <c r="I28" s="49" t="s">
        <v>166</v>
      </c>
      <c r="J28" s="49" t="s">
        <v>166</v>
      </c>
      <c r="K28" s="49" t="s">
        <v>182</v>
      </c>
      <c r="L28" s="49" t="s">
        <v>166</v>
      </c>
      <c r="M28" s="49" t="s">
        <v>271</v>
      </c>
      <c r="N28" s="159" t="s">
        <v>36</v>
      </c>
      <c r="O28" s="161">
        <v>43270</v>
      </c>
      <c r="P28" s="50">
        <v>5000</v>
      </c>
      <c r="Q28" s="151" t="str">
        <f t="shared" si="2"/>
        <v>66.67%</v>
      </c>
      <c r="R28" s="49"/>
    </row>
    <row r="29" spans="1:20" x14ac:dyDescent="0.25">
      <c r="A29" s="12">
        <f t="shared" si="1"/>
        <v>27</v>
      </c>
      <c r="B29" s="49" t="s">
        <v>272</v>
      </c>
      <c r="C29" s="52">
        <v>43256</v>
      </c>
      <c r="D29" s="52">
        <v>43262</v>
      </c>
      <c r="E29" s="52">
        <v>43263</v>
      </c>
      <c r="F29" s="49" t="s">
        <v>40</v>
      </c>
      <c r="G29" s="51">
        <v>1860</v>
      </c>
      <c r="H29" s="49" t="s">
        <v>60</v>
      </c>
      <c r="I29" s="49" t="s">
        <v>278</v>
      </c>
      <c r="J29" s="49" t="s">
        <v>166</v>
      </c>
      <c r="K29" s="49" t="s">
        <v>278</v>
      </c>
      <c r="L29" s="49" t="s">
        <v>166</v>
      </c>
      <c r="M29" s="49" t="s">
        <v>182</v>
      </c>
      <c r="N29" s="159" t="s">
        <v>47</v>
      </c>
      <c r="O29" s="161">
        <v>43271</v>
      </c>
      <c r="P29" s="50">
        <v>4635</v>
      </c>
      <c r="Q29" s="151" t="str">
        <f t="shared" si="2"/>
        <v>149.19%</v>
      </c>
      <c r="R29" s="49"/>
    </row>
    <row r="30" spans="1:20" x14ac:dyDescent="0.25">
      <c r="A30" s="12">
        <f t="shared" si="1"/>
        <v>28</v>
      </c>
      <c r="B30" s="151" t="s">
        <v>275</v>
      </c>
      <c r="C30" s="52">
        <v>43255</v>
      </c>
      <c r="D30" s="52">
        <v>43259</v>
      </c>
      <c r="E30" s="161">
        <v>43262</v>
      </c>
      <c r="F30" s="49" t="s">
        <v>35</v>
      </c>
      <c r="G30" s="162">
        <v>2000</v>
      </c>
      <c r="H30" s="49" t="s">
        <v>60</v>
      </c>
      <c r="I30" s="49" t="s">
        <v>278</v>
      </c>
      <c r="J30" s="49" t="s">
        <v>166</v>
      </c>
      <c r="K30" s="49" t="s">
        <v>278</v>
      </c>
      <c r="L30" s="49" t="s">
        <v>166</v>
      </c>
      <c r="M30" s="49" t="s">
        <v>182</v>
      </c>
      <c r="N30" s="151" t="s">
        <v>64</v>
      </c>
      <c r="O30" s="161">
        <v>43272</v>
      </c>
      <c r="P30" s="163">
        <v>4665</v>
      </c>
      <c r="Q30" s="151" t="str">
        <f t="shared" si="2"/>
        <v>133.25%</v>
      </c>
      <c r="R30" s="151"/>
    </row>
    <row r="31" spans="1:20" x14ac:dyDescent="0.25">
      <c r="A31" s="12">
        <f t="shared" si="1"/>
        <v>29</v>
      </c>
      <c r="B31" s="49" t="s">
        <v>273</v>
      </c>
      <c r="C31" s="52">
        <v>43256</v>
      </c>
      <c r="D31" s="52">
        <v>43262</v>
      </c>
      <c r="E31" s="52">
        <v>43263</v>
      </c>
      <c r="F31" s="49" t="s">
        <v>42</v>
      </c>
      <c r="G31" s="51">
        <v>2620</v>
      </c>
      <c r="H31" s="49" t="s">
        <v>41</v>
      </c>
      <c r="I31" s="49" t="s">
        <v>278</v>
      </c>
      <c r="J31" s="49" t="s">
        <v>278</v>
      </c>
      <c r="K31" s="49" t="s">
        <v>278</v>
      </c>
      <c r="L31" s="49" t="s">
        <v>166</v>
      </c>
      <c r="M31" s="49" t="s">
        <v>278</v>
      </c>
      <c r="N31" s="49" t="s">
        <v>274</v>
      </c>
      <c r="O31" s="161">
        <v>43272</v>
      </c>
      <c r="P31" s="50">
        <v>4000</v>
      </c>
      <c r="Q31" s="151" t="str">
        <f t="shared" si="2"/>
        <v>52.67%</v>
      </c>
      <c r="R31" s="49"/>
    </row>
    <row r="32" spans="1:20" x14ac:dyDescent="0.25">
      <c r="A32" s="12">
        <f t="shared" si="1"/>
        <v>30</v>
      </c>
      <c r="B32" s="151" t="s">
        <v>276</v>
      </c>
      <c r="C32" s="52">
        <v>43256</v>
      </c>
      <c r="D32" s="52">
        <v>43262</v>
      </c>
      <c r="E32" s="52">
        <v>43263</v>
      </c>
      <c r="F32" s="49" t="s">
        <v>40</v>
      </c>
      <c r="G32" s="162">
        <v>1600</v>
      </c>
      <c r="H32" s="49" t="s">
        <v>60</v>
      </c>
      <c r="I32" s="49" t="s">
        <v>166</v>
      </c>
      <c r="J32" s="151" t="s">
        <v>278</v>
      </c>
      <c r="K32" s="151" t="s">
        <v>278</v>
      </c>
      <c r="L32" s="49" t="s">
        <v>166</v>
      </c>
      <c r="M32" s="49" t="s">
        <v>182</v>
      </c>
      <c r="N32" s="151" t="s">
        <v>53</v>
      </c>
      <c r="O32" s="161">
        <v>43272</v>
      </c>
      <c r="P32" s="163">
        <v>5550</v>
      </c>
      <c r="Q32" s="151" t="str">
        <f t="shared" si="2"/>
        <v>246.88%</v>
      </c>
      <c r="R32" s="151"/>
    </row>
    <row r="33" spans="1:18" x14ac:dyDescent="0.25">
      <c r="A33" s="12">
        <f t="shared" si="1"/>
        <v>31</v>
      </c>
      <c r="B33" s="49" t="s">
        <v>277</v>
      </c>
      <c r="C33" s="52">
        <v>43257</v>
      </c>
      <c r="D33" s="52">
        <v>43263</v>
      </c>
      <c r="E33" s="52">
        <v>43264</v>
      </c>
      <c r="F33" s="49" t="s">
        <v>40</v>
      </c>
      <c r="G33" s="51">
        <v>2820</v>
      </c>
      <c r="H33" s="49" t="s">
        <v>46</v>
      </c>
      <c r="I33" s="49" t="s">
        <v>166</v>
      </c>
      <c r="J33" s="49" t="s">
        <v>166</v>
      </c>
      <c r="K33" s="151" t="s">
        <v>278</v>
      </c>
      <c r="L33" s="49" t="s">
        <v>166</v>
      </c>
      <c r="M33" s="151" t="s">
        <v>278</v>
      </c>
      <c r="N33" s="159" t="s">
        <v>49</v>
      </c>
      <c r="O33" s="52">
        <v>43273</v>
      </c>
      <c r="P33" s="50">
        <v>3725</v>
      </c>
      <c r="Q33" s="151" t="str">
        <f t="shared" si="2"/>
        <v>32.09%</v>
      </c>
      <c r="R33" s="49"/>
    </row>
    <row r="34" spans="1:18" x14ac:dyDescent="0.25">
      <c r="A34" s="12">
        <f t="shared" si="1"/>
        <v>32</v>
      </c>
      <c r="B34" s="49" t="s">
        <v>279</v>
      </c>
      <c r="C34" s="52">
        <v>43258</v>
      </c>
      <c r="D34" s="52">
        <v>43264</v>
      </c>
      <c r="E34" s="52">
        <v>43265</v>
      </c>
      <c r="F34" s="49" t="s">
        <v>37</v>
      </c>
      <c r="G34" s="51">
        <v>344</v>
      </c>
      <c r="H34" s="49" t="s">
        <v>52</v>
      </c>
      <c r="I34" s="151" t="s">
        <v>280</v>
      </c>
      <c r="J34" s="49" t="s">
        <v>166</v>
      </c>
      <c r="K34" s="151" t="s">
        <v>280</v>
      </c>
      <c r="L34" s="49" t="s">
        <v>166</v>
      </c>
      <c r="M34" s="49" t="s">
        <v>182</v>
      </c>
      <c r="N34" s="49" t="s">
        <v>62</v>
      </c>
      <c r="O34" s="52">
        <v>43277</v>
      </c>
      <c r="P34" s="50">
        <v>450</v>
      </c>
      <c r="Q34" s="151" t="str">
        <f t="shared" si="2"/>
        <v>30.81%</v>
      </c>
      <c r="R34" s="49"/>
    </row>
    <row r="35" spans="1:18" x14ac:dyDescent="0.25">
      <c r="A35" s="12">
        <f t="shared" si="1"/>
        <v>33</v>
      </c>
      <c r="B35" s="49" t="s">
        <v>281</v>
      </c>
      <c r="C35" s="52">
        <v>43262</v>
      </c>
      <c r="D35" s="52">
        <v>43266</v>
      </c>
      <c r="E35" s="52">
        <v>43269</v>
      </c>
      <c r="F35" s="49" t="s">
        <v>40</v>
      </c>
      <c r="G35" s="51">
        <v>1000</v>
      </c>
      <c r="H35" s="49" t="s">
        <v>60</v>
      </c>
      <c r="I35" s="151" t="s">
        <v>283</v>
      </c>
      <c r="J35" s="49" t="s">
        <v>166</v>
      </c>
      <c r="K35" s="151" t="s">
        <v>283</v>
      </c>
      <c r="L35" s="49" t="s">
        <v>166</v>
      </c>
      <c r="M35" s="151" t="s">
        <v>283</v>
      </c>
      <c r="N35" s="159" t="s">
        <v>49</v>
      </c>
      <c r="O35" s="52">
        <v>43278</v>
      </c>
      <c r="P35" s="50">
        <v>3500</v>
      </c>
      <c r="Q35" s="151" t="str">
        <f t="shared" si="2"/>
        <v>250%</v>
      </c>
      <c r="R35" s="49"/>
    </row>
    <row r="36" spans="1:18" x14ac:dyDescent="0.25">
      <c r="A36" s="12">
        <f t="shared" si="1"/>
        <v>34</v>
      </c>
      <c r="B36" s="151" t="s">
        <v>282</v>
      </c>
      <c r="C36" s="52">
        <v>43262</v>
      </c>
      <c r="D36" s="52">
        <v>43266</v>
      </c>
      <c r="E36" s="52">
        <v>43269</v>
      </c>
      <c r="F36" s="49" t="s">
        <v>40</v>
      </c>
      <c r="G36" s="162">
        <v>1780</v>
      </c>
      <c r="H36" s="49" t="s">
        <v>60</v>
      </c>
      <c r="I36" s="151" t="s">
        <v>283</v>
      </c>
      <c r="J36" s="49" t="s">
        <v>166</v>
      </c>
      <c r="K36" s="151" t="s">
        <v>283</v>
      </c>
      <c r="L36" s="49" t="s">
        <v>166</v>
      </c>
      <c r="M36" s="151" t="s">
        <v>283</v>
      </c>
      <c r="N36" s="151" t="s">
        <v>274</v>
      </c>
      <c r="O36" s="161">
        <v>43278</v>
      </c>
      <c r="P36" s="163">
        <v>4100</v>
      </c>
      <c r="Q36" s="151" t="str">
        <f t="shared" si="2"/>
        <v>130.34%</v>
      </c>
      <c r="R36" s="151"/>
    </row>
    <row r="37" spans="1:18" x14ac:dyDescent="0.25">
      <c r="A37" s="12">
        <f t="shared" si="1"/>
        <v>35</v>
      </c>
      <c r="B37" s="49" t="s">
        <v>284</v>
      </c>
      <c r="C37" s="52">
        <v>43262</v>
      </c>
      <c r="D37" s="52">
        <v>43266</v>
      </c>
      <c r="E37" s="52">
        <v>43269</v>
      </c>
      <c r="F37" s="49" t="s">
        <v>40</v>
      </c>
      <c r="G37" s="51">
        <v>3900</v>
      </c>
      <c r="H37" s="49" t="s">
        <v>46</v>
      </c>
      <c r="I37" s="49" t="s">
        <v>166</v>
      </c>
      <c r="J37" s="49" t="s">
        <v>166</v>
      </c>
      <c r="K37" s="151" t="s">
        <v>283</v>
      </c>
      <c r="L37" s="49" t="s">
        <v>166</v>
      </c>
      <c r="M37" s="49" t="s">
        <v>182</v>
      </c>
      <c r="N37" s="49" t="s">
        <v>62</v>
      </c>
      <c r="O37" s="161">
        <v>43278</v>
      </c>
      <c r="P37" s="50">
        <v>6670</v>
      </c>
      <c r="Q37" s="151" t="str">
        <f t="shared" si="2"/>
        <v>71.03%</v>
      </c>
      <c r="R37" s="49"/>
    </row>
    <row r="38" spans="1:18" x14ac:dyDescent="0.25">
      <c r="A38" s="12">
        <f t="shared" si="1"/>
        <v>36</v>
      </c>
      <c r="B38" s="151" t="s">
        <v>285</v>
      </c>
      <c r="C38" s="161">
        <v>43263</v>
      </c>
      <c r="D38" s="161">
        <v>43269</v>
      </c>
      <c r="E38" s="161">
        <v>43270</v>
      </c>
      <c r="F38" s="49" t="s">
        <v>37</v>
      </c>
      <c r="G38" s="162">
        <v>2400</v>
      </c>
      <c r="H38" s="49" t="s">
        <v>52</v>
      </c>
      <c r="I38" s="151" t="s">
        <v>172</v>
      </c>
      <c r="J38" s="49" t="s">
        <v>166</v>
      </c>
      <c r="K38" s="49" t="s">
        <v>182</v>
      </c>
      <c r="L38" s="49" t="s">
        <v>166</v>
      </c>
      <c r="M38" s="151" t="s">
        <v>172</v>
      </c>
      <c r="N38" s="151" t="s">
        <v>53</v>
      </c>
      <c r="O38" s="161">
        <v>43280</v>
      </c>
      <c r="P38" s="163">
        <v>2587</v>
      </c>
      <c r="Q38" s="151" t="str">
        <f t="shared" ref="Q38" si="3">IF(ISERROR(CONCATENATE(ROUND((IF(ISBLANK(P38),0,P38)-IF(ISBLANK(G38),0,G38))/IF(ISBLANK(G38),0,G38),4)*100,"%")),"",CONCATENATE(ROUND((IF(ISBLANK(P38),0,P38)-IF(ISBLANK(G38),0,G38))/IF(ISBLANK(G38),0,G38),4)*100,"%"))</f>
        <v>7.79%</v>
      </c>
      <c r="R38" s="49"/>
    </row>
    <row r="39" spans="1:18" x14ac:dyDescent="0.25">
      <c r="A39" s="12">
        <f t="shared" si="1"/>
        <v>37</v>
      </c>
      <c r="B39" s="49" t="s">
        <v>290</v>
      </c>
      <c r="C39" s="52">
        <v>43269</v>
      </c>
      <c r="D39" s="52">
        <v>43273</v>
      </c>
      <c r="E39" s="52">
        <v>43276</v>
      </c>
      <c r="F39" s="49" t="s">
        <v>40</v>
      </c>
      <c r="G39" s="51">
        <v>900</v>
      </c>
      <c r="H39" s="49" t="s">
        <v>60</v>
      </c>
      <c r="I39" s="49" t="s">
        <v>271</v>
      </c>
      <c r="J39" s="49" t="s">
        <v>166</v>
      </c>
      <c r="K39" s="49" t="s">
        <v>271</v>
      </c>
      <c r="L39" s="49" t="s">
        <v>166</v>
      </c>
      <c r="M39" s="49" t="s">
        <v>182</v>
      </c>
      <c r="N39" s="49" t="s">
        <v>53</v>
      </c>
      <c r="O39" s="52">
        <v>43285</v>
      </c>
      <c r="P39" s="50">
        <v>2500</v>
      </c>
      <c r="Q39" s="151" t="str">
        <f t="shared" si="2"/>
        <v>177.78%</v>
      </c>
      <c r="R39" s="49"/>
    </row>
    <row r="40" spans="1:18" x14ac:dyDescent="0.25">
      <c r="A40" s="12">
        <f t="shared" si="1"/>
        <v>38</v>
      </c>
      <c r="B40" s="151" t="s">
        <v>291</v>
      </c>
      <c r="C40" s="52">
        <v>43270</v>
      </c>
      <c r="D40" s="52">
        <v>43276</v>
      </c>
      <c r="E40" s="52">
        <v>43277</v>
      </c>
      <c r="F40" s="49" t="s">
        <v>40</v>
      </c>
      <c r="G40" s="162">
        <v>1180</v>
      </c>
      <c r="H40" s="49" t="s">
        <v>60</v>
      </c>
      <c r="I40" s="49" t="s">
        <v>172</v>
      </c>
      <c r="J40" s="49" t="s">
        <v>166</v>
      </c>
      <c r="K40" s="49" t="s">
        <v>172</v>
      </c>
      <c r="L40" s="49" t="s">
        <v>166</v>
      </c>
      <c r="M40" s="49" t="s">
        <v>182</v>
      </c>
      <c r="N40" s="151" t="s">
        <v>53</v>
      </c>
      <c r="O40" s="52">
        <v>43286</v>
      </c>
      <c r="P40" s="163">
        <v>1800</v>
      </c>
      <c r="Q40" s="151" t="str">
        <f t="shared" si="2"/>
        <v>52.54%</v>
      </c>
      <c r="R40" s="151"/>
    </row>
    <row r="41" spans="1:18" x14ac:dyDescent="0.25">
      <c r="A41" s="12">
        <f t="shared" si="1"/>
        <v>39</v>
      </c>
      <c r="B41" s="49" t="s">
        <v>289</v>
      </c>
      <c r="C41" s="52">
        <v>43273</v>
      </c>
      <c r="D41" s="52">
        <v>43279</v>
      </c>
      <c r="E41" s="52">
        <v>43280</v>
      </c>
      <c r="F41" s="49" t="s">
        <v>40</v>
      </c>
      <c r="G41" s="51">
        <v>5800</v>
      </c>
      <c r="H41" s="49" t="s">
        <v>41</v>
      </c>
      <c r="I41" s="49" t="s">
        <v>166</v>
      </c>
      <c r="J41" s="49" t="s">
        <v>166</v>
      </c>
      <c r="K41" s="49" t="s">
        <v>166</v>
      </c>
      <c r="L41" s="49" t="s">
        <v>166</v>
      </c>
      <c r="M41" s="49" t="s">
        <v>182</v>
      </c>
      <c r="N41" s="49" t="s">
        <v>53</v>
      </c>
      <c r="O41" s="52">
        <v>43291</v>
      </c>
      <c r="P41" s="50">
        <v>7050</v>
      </c>
      <c r="Q41" s="151" t="str">
        <f t="shared" si="2"/>
        <v>21.55%</v>
      </c>
      <c r="R41" s="49"/>
    </row>
    <row r="42" spans="1:18" x14ac:dyDescent="0.25">
      <c r="A42" s="12">
        <f t="shared" si="1"/>
        <v>40</v>
      </c>
      <c r="B42" s="151" t="s">
        <v>292</v>
      </c>
      <c r="C42" s="161">
        <v>43285</v>
      </c>
      <c r="D42" s="161">
        <v>43291</v>
      </c>
      <c r="E42" s="161">
        <v>43292</v>
      </c>
      <c r="F42" s="49" t="s">
        <v>40</v>
      </c>
      <c r="G42" s="162">
        <v>2100</v>
      </c>
      <c r="H42" s="49" t="s">
        <v>60</v>
      </c>
      <c r="I42" s="49" t="s">
        <v>297</v>
      </c>
      <c r="J42" s="49" t="s">
        <v>298</v>
      </c>
      <c r="K42" s="49" t="s">
        <v>298</v>
      </c>
      <c r="L42" s="49" t="s">
        <v>166</v>
      </c>
      <c r="M42" s="49" t="s">
        <v>182</v>
      </c>
      <c r="N42" s="151" t="s">
        <v>62</v>
      </c>
      <c r="O42" s="161">
        <v>43304</v>
      </c>
      <c r="P42" s="163">
        <v>4500</v>
      </c>
      <c r="Q42" s="151" t="str">
        <f t="shared" si="2"/>
        <v>114.29%</v>
      </c>
      <c r="R42" s="151"/>
    </row>
    <row r="43" spans="1:18" x14ac:dyDescent="0.25">
      <c r="A43" s="12">
        <f t="shared" si="1"/>
        <v>41</v>
      </c>
      <c r="B43" s="49" t="s">
        <v>293</v>
      </c>
      <c r="C43" s="52">
        <v>43287</v>
      </c>
      <c r="D43" s="52">
        <v>43293</v>
      </c>
      <c r="E43" s="52">
        <v>43294</v>
      </c>
      <c r="F43" s="49" t="s">
        <v>40</v>
      </c>
      <c r="G43" s="51">
        <v>960</v>
      </c>
      <c r="H43" s="49" t="s">
        <v>60</v>
      </c>
      <c r="I43" s="151" t="s">
        <v>298</v>
      </c>
      <c r="J43" s="151" t="s">
        <v>298</v>
      </c>
      <c r="K43" s="49" t="s">
        <v>182</v>
      </c>
      <c r="L43" s="49" t="s">
        <v>166</v>
      </c>
      <c r="M43" s="151" t="s">
        <v>298</v>
      </c>
      <c r="N43" s="159" t="s">
        <v>36</v>
      </c>
      <c r="O43" s="161">
        <v>43305</v>
      </c>
      <c r="P43" s="50">
        <v>2000</v>
      </c>
      <c r="Q43" s="151" t="str">
        <f t="shared" si="2"/>
        <v>108.33%</v>
      </c>
      <c r="R43" s="49"/>
    </row>
    <row r="44" spans="1:18" x14ac:dyDescent="0.25">
      <c r="A44" s="12">
        <f t="shared" si="1"/>
        <v>42</v>
      </c>
      <c r="B44" s="151" t="s">
        <v>294</v>
      </c>
      <c r="C44" s="52">
        <v>43287</v>
      </c>
      <c r="D44" s="52">
        <v>43293</v>
      </c>
      <c r="E44" s="52">
        <v>43294</v>
      </c>
      <c r="F44" s="49" t="s">
        <v>40</v>
      </c>
      <c r="G44" s="162">
        <v>2510</v>
      </c>
      <c r="H44" s="49" t="s">
        <v>60</v>
      </c>
      <c r="I44" s="151" t="s">
        <v>298</v>
      </c>
      <c r="J44" s="49" t="s">
        <v>297</v>
      </c>
      <c r="K44" s="49" t="s">
        <v>182</v>
      </c>
      <c r="L44" s="49" t="s">
        <v>166</v>
      </c>
      <c r="M44" s="49" t="s">
        <v>298</v>
      </c>
      <c r="N44" s="164" t="s">
        <v>49</v>
      </c>
      <c r="O44" s="161">
        <v>43306</v>
      </c>
      <c r="P44" s="163">
        <v>5780</v>
      </c>
      <c r="Q44" s="151" t="str">
        <f t="shared" si="2"/>
        <v>130.28%</v>
      </c>
      <c r="R44" s="151"/>
    </row>
    <row r="45" spans="1:18" x14ac:dyDescent="0.25">
      <c r="A45" s="12">
        <f t="shared" si="1"/>
        <v>43</v>
      </c>
      <c r="B45" s="49" t="s">
        <v>295</v>
      </c>
      <c r="C45" s="52" t="s">
        <v>296</v>
      </c>
      <c r="D45" s="161">
        <v>43294</v>
      </c>
      <c r="E45" s="161">
        <v>43298</v>
      </c>
      <c r="F45" s="49" t="s">
        <v>40</v>
      </c>
      <c r="G45" s="51">
        <v>3340</v>
      </c>
      <c r="H45" s="49" t="s">
        <v>46</v>
      </c>
      <c r="I45" s="49" t="s">
        <v>166</v>
      </c>
      <c r="J45" s="49" t="s">
        <v>166</v>
      </c>
      <c r="K45" s="49" t="s">
        <v>301</v>
      </c>
      <c r="L45" s="49" t="s">
        <v>166</v>
      </c>
      <c r="M45" s="49" t="s">
        <v>182</v>
      </c>
      <c r="N45" s="159" t="s">
        <v>49</v>
      </c>
      <c r="O45" s="161">
        <v>43307</v>
      </c>
      <c r="P45" s="50">
        <v>5000</v>
      </c>
      <c r="Q45" s="151" t="str">
        <f t="shared" si="2"/>
        <v>49.7%</v>
      </c>
      <c r="R45" s="49"/>
    </row>
    <row r="46" spans="1:18" x14ac:dyDescent="0.25">
      <c r="A46" s="12">
        <f t="shared" si="1"/>
        <v>44</v>
      </c>
      <c r="B46" s="151" t="s">
        <v>299</v>
      </c>
      <c r="C46" s="52">
        <v>43291</v>
      </c>
      <c r="D46" s="161">
        <v>43298</v>
      </c>
      <c r="E46" s="161">
        <v>43299</v>
      </c>
      <c r="F46" s="49" t="s">
        <v>40</v>
      </c>
      <c r="G46" s="162">
        <v>770</v>
      </c>
      <c r="H46" s="49" t="s">
        <v>60</v>
      </c>
      <c r="I46" s="49" t="s">
        <v>166</v>
      </c>
      <c r="J46" s="49" t="s">
        <v>166</v>
      </c>
      <c r="K46" s="49" t="s">
        <v>301</v>
      </c>
      <c r="L46" s="49" t="s">
        <v>166</v>
      </c>
      <c r="M46" s="49" t="s">
        <v>182</v>
      </c>
      <c r="N46" s="164" t="s">
        <v>47</v>
      </c>
      <c r="O46" s="161">
        <v>43307</v>
      </c>
      <c r="P46" s="163">
        <v>1542</v>
      </c>
      <c r="Q46" s="151" t="str">
        <f t="shared" si="2"/>
        <v>100.26%</v>
      </c>
      <c r="R46" s="151"/>
    </row>
    <row r="47" spans="1:18" x14ac:dyDescent="0.25">
      <c r="A47" s="12">
        <f t="shared" si="1"/>
        <v>45</v>
      </c>
      <c r="B47" s="151" t="s">
        <v>300</v>
      </c>
      <c r="C47" s="52">
        <v>43291</v>
      </c>
      <c r="D47" s="161">
        <v>43298</v>
      </c>
      <c r="E47" s="161">
        <v>43299</v>
      </c>
      <c r="F47" s="49" t="s">
        <v>311</v>
      </c>
      <c r="G47" s="162">
        <v>4250</v>
      </c>
      <c r="H47" s="49" t="s">
        <v>46</v>
      </c>
      <c r="I47" s="49" t="s">
        <v>166</v>
      </c>
      <c r="J47" s="49" t="s">
        <v>166</v>
      </c>
      <c r="K47" s="49" t="s">
        <v>301</v>
      </c>
      <c r="L47" s="49" t="s">
        <v>166</v>
      </c>
      <c r="M47" s="49" t="s">
        <v>182</v>
      </c>
      <c r="N47" s="151" t="s">
        <v>62</v>
      </c>
      <c r="O47" s="161">
        <v>43308</v>
      </c>
      <c r="P47" s="163">
        <v>7170</v>
      </c>
      <c r="Q47" s="151" t="str">
        <f t="shared" si="2"/>
        <v>68.71%</v>
      </c>
      <c r="R47" s="151"/>
    </row>
    <row r="48" spans="1:18" x14ac:dyDescent="0.25">
      <c r="A48" s="12">
        <f t="shared" si="1"/>
        <v>46</v>
      </c>
      <c r="B48" s="151" t="s">
        <v>308</v>
      </c>
      <c r="C48" s="161">
        <v>43299</v>
      </c>
      <c r="D48" s="161">
        <v>43305</v>
      </c>
      <c r="E48" s="161">
        <v>43306</v>
      </c>
      <c r="F48" s="49" t="s">
        <v>40</v>
      </c>
      <c r="G48" s="162">
        <v>1750</v>
      </c>
      <c r="H48" s="49" t="s">
        <v>60</v>
      </c>
      <c r="I48" s="49" t="s">
        <v>172</v>
      </c>
      <c r="J48" s="49" t="s">
        <v>172</v>
      </c>
      <c r="K48" s="49" t="s">
        <v>263</v>
      </c>
      <c r="L48" s="151" t="s">
        <v>310</v>
      </c>
      <c r="M48" s="49" t="s">
        <v>172</v>
      </c>
      <c r="N48" s="164" t="s">
        <v>36</v>
      </c>
      <c r="O48" s="161">
        <v>43314</v>
      </c>
      <c r="P48" s="163">
        <v>4000</v>
      </c>
      <c r="Q48" s="151" t="str">
        <f t="shared" si="2"/>
        <v>128.57%</v>
      </c>
      <c r="R48" s="151"/>
    </row>
    <row r="49" spans="1:18" x14ac:dyDescent="0.25">
      <c r="A49" s="12">
        <f t="shared" si="1"/>
        <v>47</v>
      </c>
      <c r="B49" s="151" t="s">
        <v>309</v>
      </c>
      <c r="C49" s="161">
        <v>43298</v>
      </c>
      <c r="D49" s="161">
        <v>43304</v>
      </c>
      <c r="E49" s="161">
        <v>43305</v>
      </c>
      <c r="F49" s="49" t="s">
        <v>35</v>
      </c>
      <c r="G49" s="162">
        <v>1930</v>
      </c>
      <c r="H49" s="49" t="s">
        <v>41</v>
      </c>
      <c r="I49" s="49" t="s">
        <v>172</v>
      </c>
      <c r="J49" s="151" t="s">
        <v>310</v>
      </c>
      <c r="K49" s="49" t="s">
        <v>172</v>
      </c>
      <c r="L49" s="151" t="s">
        <v>310</v>
      </c>
      <c r="M49" s="49" t="s">
        <v>172</v>
      </c>
      <c r="N49" s="151" t="s">
        <v>54</v>
      </c>
      <c r="O49" s="161">
        <v>43314</v>
      </c>
      <c r="P49" s="163">
        <v>2310</v>
      </c>
      <c r="Q49" s="151" t="str">
        <f t="shared" si="2"/>
        <v>19.69%</v>
      </c>
      <c r="R49" s="151"/>
    </row>
    <row r="50" spans="1:18" x14ac:dyDescent="0.25">
      <c r="A50" s="12">
        <f t="shared" si="1"/>
        <v>48</v>
      </c>
      <c r="B50" s="151" t="s">
        <v>312</v>
      </c>
      <c r="C50" s="161">
        <v>43318</v>
      </c>
      <c r="D50" s="161">
        <v>43322</v>
      </c>
      <c r="E50" s="161">
        <v>43325</v>
      </c>
      <c r="F50" s="49" t="s">
        <v>40</v>
      </c>
      <c r="G50" s="162">
        <v>1200</v>
      </c>
      <c r="H50" s="49" t="s">
        <v>60</v>
      </c>
      <c r="I50" s="49" t="s">
        <v>172</v>
      </c>
      <c r="J50" s="151" t="s">
        <v>166</v>
      </c>
      <c r="K50" s="49" t="s">
        <v>172</v>
      </c>
      <c r="L50" s="151" t="s">
        <v>166</v>
      </c>
      <c r="M50" s="49" t="s">
        <v>172</v>
      </c>
      <c r="N50" s="151" t="s">
        <v>53</v>
      </c>
      <c r="O50" s="161">
        <v>43334</v>
      </c>
      <c r="P50" s="163">
        <v>2417</v>
      </c>
      <c r="Q50" s="151" t="str">
        <f t="shared" si="2"/>
        <v>101.42%</v>
      </c>
      <c r="R50" s="49"/>
    </row>
    <row r="51" spans="1:18" x14ac:dyDescent="0.25">
      <c r="A51" s="12">
        <f t="shared" si="1"/>
        <v>49</v>
      </c>
      <c r="B51" s="151" t="s">
        <v>331</v>
      </c>
      <c r="C51" s="161">
        <v>43333</v>
      </c>
      <c r="D51" s="161">
        <v>43339</v>
      </c>
      <c r="E51" s="161">
        <v>43340</v>
      </c>
      <c r="F51" s="49" t="s">
        <v>40</v>
      </c>
      <c r="G51" s="162">
        <v>2570</v>
      </c>
      <c r="H51" s="49" t="s">
        <v>60</v>
      </c>
      <c r="I51" s="49" t="s">
        <v>172</v>
      </c>
      <c r="J51" s="49" t="s">
        <v>172</v>
      </c>
      <c r="K51" s="151" t="s">
        <v>182</v>
      </c>
      <c r="L51" s="151" t="s">
        <v>166</v>
      </c>
      <c r="M51" s="49" t="s">
        <v>172</v>
      </c>
      <c r="N51" s="151" t="s">
        <v>62</v>
      </c>
      <c r="O51" s="161">
        <v>43349</v>
      </c>
      <c r="P51" s="163">
        <v>4010</v>
      </c>
      <c r="Q51" s="151" t="str">
        <f t="shared" si="2"/>
        <v>56.03%</v>
      </c>
      <c r="R51" s="166"/>
    </row>
    <row r="52" spans="1:18" x14ac:dyDescent="0.25">
      <c r="A52" s="12">
        <f t="shared" si="1"/>
        <v>50</v>
      </c>
      <c r="B52" s="151" t="s">
        <v>314</v>
      </c>
      <c r="C52" s="161">
        <v>43334</v>
      </c>
      <c r="D52" s="161">
        <v>43340</v>
      </c>
      <c r="E52" s="161">
        <v>43341</v>
      </c>
      <c r="F52" s="49" t="s">
        <v>42</v>
      </c>
      <c r="G52" s="162">
        <v>1560</v>
      </c>
      <c r="H52" s="49" t="s">
        <v>52</v>
      </c>
      <c r="I52" s="49" t="s">
        <v>318</v>
      </c>
      <c r="J52" s="49" t="s">
        <v>317</v>
      </c>
      <c r="K52" s="49" t="s">
        <v>182</v>
      </c>
      <c r="L52" s="49" t="s">
        <v>317</v>
      </c>
      <c r="M52" s="151" t="s">
        <v>320</v>
      </c>
      <c r="N52" s="164" t="s">
        <v>47</v>
      </c>
      <c r="O52" s="161">
        <v>43349</v>
      </c>
      <c r="P52" s="163">
        <v>1501</v>
      </c>
      <c r="Q52" s="151" t="str">
        <f t="shared" si="2"/>
        <v>-3.78%</v>
      </c>
      <c r="R52" s="151"/>
    </row>
    <row r="53" spans="1:18" x14ac:dyDescent="0.25">
      <c r="A53" s="12">
        <f t="shared" si="1"/>
        <v>51</v>
      </c>
      <c r="B53" s="151" t="s">
        <v>315</v>
      </c>
      <c r="C53" s="161">
        <v>43339</v>
      </c>
      <c r="D53" s="161">
        <v>43343</v>
      </c>
      <c r="E53" s="161">
        <v>43346</v>
      </c>
      <c r="F53" s="49" t="s">
        <v>35</v>
      </c>
      <c r="G53" s="162">
        <v>2380</v>
      </c>
      <c r="H53" s="49" t="s">
        <v>60</v>
      </c>
      <c r="I53" s="151" t="s">
        <v>318</v>
      </c>
      <c r="J53" s="151" t="s">
        <v>317</v>
      </c>
      <c r="K53" s="49" t="s">
        <v>318</v>
      </c>
      <c r="L53" s="151" t="s">
        <v>317</v>
      </c>
      <c r="M53" s="151" t="s">
        <v>319</v>
      </c>
      <c r="N53" s="164" t="s">
        <v>49</v>
      </c>
      <c r="O53" s="161">
        <v>43356</v>
      </c>
      <c r="P53" s="163"/>
      <c r="Q53" s="151" t="str">
        <f t="shared" si="2"/>
        <v>-100%</v>
      </c>
      <c r="R53" s="151"/>
    </row>
    <row r="54" spans="1:18" x14ac:dyDescent="0.25">
      <c r="A54" s="12">
        <f t="shared" si="1"/>
        <v>52</v>
      </c>
      <c r="B54" s="151" t="s">
        <v>316</v>
      </c>
      <c r="C54" s="161">
        <v>43340</v>
      </c>
      <c r="D54" s="161">
        <v>43346</v>
      </c>
      <c r="E54" s="161">
        <v>43347</v>
      </c>
      <c r="F54" s="49" t="s">
        <v>35</v>
      </c>
      <c r="G54" s="162">
        <v>1700</v>
      </c>
      <c r="H54" s="49" t="s">
        <v>41</v>
      </c>
      <c r="I54" s="151" t="s">
        <v>317</v>
      </c>
      <c r="J54" s="151" t="s">
        <v>317</v>
      </c>
      <c r="K54" s="49" t="s">
        <v>182</v>
      </c>
      <c r="L54" s="151" t="s">
        <v>318</v>
      </c>
      <c r="M54" s="49" t="s">
        <v>182</v>
      </c>
      <c r="N54" s="151" t="s">
        <v>62</v>
      </c>
      <c r="O54" s="161">
        <v>43356</v>
      </c>
      <c r="P54" s="163"/>
      <c r="Q54" s="151" t="str">
        <f t="shared" si="2"/>
        <v>-100%</v>
      </c>
      <c r="R54" s="151"/>
    </row>
    <row r="55" spans="1:18" x14ac:dyDescent="0.25">
      <c r="A55" s="12">
        <f t="shared" si="1"/>
        <v>53</v>
      </c>
      <c r="B55" s="151" t="s">
        <v>321</v>
      </c>
      <c r="C55" s="161">
        <v>43346</v>
      </c>
      <c r="D55" s="161">
        <v>43350</v>
      </c>
      <c r="E55" s="161">
        <v>43353</v>
      </c>
      <c r="F55" s="49" t="s">
        <v>40</v>
      </c>
      <c r="G55" s="162">
        <v>3000</v>
      </c>
      <c r="H55" s="49" t="s">
        <v>60</v>
      </c>
      <c r="I55" s="151" t="s">
        <v>166</v>
      </c>
      <c r="J55" s="151" t="s">
        <v>324</v>
      </c>
      <c r="K55" s="151" t="s">
        <v>324</v>
      </c>
      <c r="L55" s="151" t="s">
        <v>166</v>
      </c>
      <c r="M55" s="151" t="s">
        <v>324</v>
      </c>
      <c r="N55" s="151" t="s">
        <v>62</v>
      </c>
      <c r="O55" s="161">
        <v>43363</v>
      </c>
      <c r="P55" s="163"/>
      <c r="Q55" s="151" t="str">
        <f t="shared" si="2"/>
        <v>-100%</v>
      </c>
      <c r="R55" s="151"/>
    </row>
    <row r="56" spans="1:18" x14ac:dyDescent="0.25">
      <c r="A56" s="12">
        <f t="shared" si="1"/>
        <v>54</v>
      </c>
      <c r="B56" s="151" t="s">
        <v>322</v>
      </c>
      <c r="C56" s="161">
        <v>43346</v>
      </c>
      <c r="D56" s="161">
        <v>43350</v>
      </c>
      <c r="E56" s="161">
        <v>43353</v>
      </c>
      <c r="F56" s="49" t="s">
        <v>40</v>
      </c>
      <c r="G56" s="162">
        <v>4600</v>
      </c>
      <c r="H56" s="49" t="s">
        <v>41</v>
      </c>
      <c r="I56" s="151" t="s">
        <v>166</v>
      </c>
      <c r="J56" s="151" t="s">
        <v>324</v>
      </c>
      <c r="K56" s="151" t="s">
        <v>324</v>
      </c>
      <c r="L56" s="151" t="s">
        <v>166</v>
      </c>
      <c r="M56" s="151" t="s">
        <v>325</v>
      </c>
      <c r="N56" s="151" t="s">
        <v>53</v>
      </c>
      <c r="O56" s="161">
        <v>43363</v>
      </c>
      <c r="P56" s="163"/>
      <c r="Q56" s="151" t="str">
        <f t="shared" si="2"/>
        <v>-100%</v>
      </c>
      <c r="R56" s="151"/>
    </row>
    <row r="57" spans="1:18" x14ac:dyDescent="0.25">
      <c r="A57" s="12">
        <f t="shared" si="1"/>
        <v>55</v>
      </c>
      <c r="B57" s="151" t="s">
        <v>323</v>
      </c>
      <c r="C57" s="161">
        <v>43347</v>
      </c>
      <c r="D57" s="161">
        <v>43353</v>
      </c>
      <c r="E57" s="161">
        <v>43354</v>
      </c>
      <c r="F57" s="49" t="s">
        <v>40</v>
      </c>
      <c r="G57" s="162">
        <v>3000</v>
      </c>
      <c r="H57" s="49" t="s">
        <v>46</v>
      </c>
      <c r="I57" s="151" t="s">
        <v>166</v>
      </c>
      <c r="J57" s="151" t="s">
        <v>324</v>
      </c>
      <c r="K57" s="151" t="s">
        <v>324</v>
      </c>
      <c r="L57" s="151" t="s">
        <v>166</v>
      </c>
      <c r="M57" s="151" t="s">
        <v>324</v>
      </c>
      <c r="N57" s="151" t="s">
        <v>62</v>
      </c>
      <c r="O57" s="161">
        <v>43364</v>
      </c>
      <c r="P57" s="163"/>
      <c r="Q57" s="151" t="str">
        <f t="shared" si="2"/>
        <v>-100%</v>
      </c>
      <c r="R57" s="151"/>
    </row>
    <row r="58" spans="1:18" x14ac:dyDescent="0.25">
      <c r="A58" s="12">
        <f t="shared" si="1"/>
        <v>56</v>
      </c>
      <c r="B58" s="151" t="s">
        <v>326</v>
      </c>
      <c r="C58" s="161">
        <v>43348</v>
      </c>
      <c r="D58" s="161">
        <v>43354</v>
      </c>
      <c r="E58" s="161">
        <v>43355</v>
      </c>
      <c r="F58" s="49" t="s">
        <v>40</v>
      </c>
      <c r="G58" s="162">
        <v>1770</v>
      </c>
      <c r="H58" s="49" t="s">
        <v>46</v>
      </c>
      <c r="I58" s="151" t="s">
        <v>166</v>
      </c>
      <c r="J58" s="151" t="s">
        <v>172</v>
      </c>
      <c r="K58" s="151" t="s">
        <v>172</v>
      </c>
      <c r="L58" s="151" t="s">
        <v>166</v>
      </c>
      <c r="M58" s="151" t="s">
        <v>172</v>
      </c>
      <c r="N58" s="151" t="s">
        <v>53</v>
      </c>
      <c r="O58" s="161">
        <v>43368</v>
      </c>
      <c r="P58" s="163"/>
      <c r="Q58" s="151" t="str">
        <f t="shared" si="2"/>
        <v>-100%</v>
      </c>
      <c r="R58" s="151"/>
    </row>
    <row r="59" spans="1:18" x14ac:dyDescent="0.25">
      <c r="A59" s="12">
        <f t="shared" si="1"/>
        <v>57</v>
      </c>
      <c r="B59" s="151" t="s">
        <v>327</v>
      </c>
      <c r="C59" s="161">
        <v>43348</v>
      </c>
      <c r="D59" s="161">
        <v>43354</v>
      </c>
      <c r="E59" s="161">
        <v>43355</v>
      </c>
      <c r="F59" s="49" t="s">
        <v>35</v>
      </c>
      <c r="G59" s="162">
        <v>750</v>
      </c>
      <c r="H59" s="49" t="s">
        <v>60</v>
      </c>
      <c r="I59" s="151" t="s">
        <v>172</v>
      </c>
      <c r="J59" s="151" t="s">
        <v>172</v>
      </c>
      <c r="K59" s="151" t="s">
        <v>172</v>
      </c>
      <c r="L59" s="151" t="s">
        <v>166</v>
      </c>
      <c r="M59" s="151" t="s">
        <v>172</v>
      </c>
      <c r="N59" s="151" t="s">
        <v>62</v>
      </c>
      <c r="O59" s="161">
        <v>43369</v>
      </c>
      <c r="P59" s="163"/>
      <c r="Q59" s="151" t="str">
        <f t="shared" si="2"/>
        <v>-100%</v>
      </c>
      <c r="R59" s="151"/>
    </row>
    <row r="60" spans="1:18" x14ac:dyDescent="0.25">
      <c r="A60" s="12">
        <f t="shared" si="1"/>
        <v>58</v>
      </c>
      <c r="B60" s="151" t="s">
        <v>332</v>
      </c>
      <c r="C60" s="161">
        <v>43353</v>
      </c>
      <c r="D60" s="161">
        <v>43357</v>
      </c>
      <c r="E60" s="161">
        <v>43361</v>
      </c>
      <c r="F60" s="49" t="s">
        <v>35</v>
      </c>
      <c r="G60" s="162"/>
      <c r="H60" s="49" t="s">
        <v>41</v>
      </c>
      <c r="I60" s="151" t="s">
        <v>172</v>
      </c>
      <c r="J60" s="151" t="s">
        <v>166</v>
      </c>
      <c r="K60" s="151" t="s">
        <v>172</v>
      </c>
      <c r="L60" s="151" t="s">
        <v>166</v>
      </c>
      <c r="M60" s="151" t="s">
        <v>172</v>
      </c>
      <c r="N60" s="164" t="s">
        <v>47</v>
      </c>
      <c r="O60" s="161">
        <v>43370</v>
      </c>
      <c r="P60" s="163"/>
      <c r="Q60" s="151" t="str">
        <f>IF(ISERROR(CONCATENATE(ROUND((IF(ISBLANK(P60),0,P60)-IF(ISBLANK(G60),0,G60))/IF(ISBLANK(G60),0,G60),4)*100,"%")),"",CONCATENATE(ROUND((IF(ISBLANK(P60),0,P60)-IF(ISBLANK(G60),0,G60))/IF(ISBLANK(G60),0,G60),4)*100,"%"))</f>
        <v/>
      </c>
      <c r="R60" s="151"/>
    </row>
    <row r="61" spans="1:18" x14ac:dyDescent="0.25">
      <c r="A61" s="12">
        <f t="shared" si="1"/>
        <v>59</v>
      </c>
      <c r="B61" s="151" t="s">
        <v>328</v>
      </c>
      <c r="C61" s="161">
        <v>43350</v>
      </c>
      <c r="D61" s="161">
        <v>43356</v>
      </c>
      <c r="E61" s="161">
        <v>43357</v>
      </c>
      <c r="F61" s="49" t="s">
        <v>40</v>
      </c>
      <c r="G61" s="162"/>
      <c r="H61" s="49" t="s">
        <v>52</v>
      </c>
      <c r="I61" s="151" t="s">
        <v>172</v>
      </c>
      <c r="J61" s="151" t="s">
        <v>172</v>
      </c>
      <c r="K61" s="151" t="s">
        <v>172</v>
      </c>
      <c r="L61" s="151" t="s">
        <v>166</v>
      </c>
      <c r="M61" s="151" t="s">
        <v>172</v>
      </c>
      <c r="N61" s="151" t="s">
        <v>62</v>
      </c>
      <c r="O61" s="161">
        <v>43370</v>
      </c>
      <c r="P61" s="163"/>
      <c r="Q61" s="151" t="str">
        <f t="shared" si="2"/>
        <v/>
      </c>
      <c r="R61" s="151"/>
    </row>
    <row r="62" spans="1:18" x14ac:dyDescent="0.25">
      <c r="A62" s="12">
        <f t="shared" si="1"/>
        <v>60</v>
      </c>
      <c r="B62" s="151" t="s">
        <v>329</v>
      </c>
      <c r="C62" s="161">
        <v>43354</v>
      </c>
      <c r="D62" s="161">
        <v>43357</v>
      </c>
      <c r="E62" s="161">
        <v>43361</v>
      </c>
      <c r="F62" s="49"/>
      <c r="G62" s="162"/>
      <c r="H62" s="49" t="s">
        <v>52</v>
      </c>
      <c r="I62" s="151" t="s">
        <v>172</v>
      </c>
      <c r="J62" s="151" t="s">
        <v>330</v>
      </c>
      <c r="K62" s="151" t="s">
        <v>172</v>
      </c>
      <c r="L62" s="151" t="s">
        <v>330</v>
      </c>
      <c r="M62" s="151" t="s">
        <v>172</v>
      </c>
      <c r="N62" s="151" t="s">
        <v>53</v>
      </c>
      <c r="O62" s="161">
        <v>43371</v>
      </c>
      <c r="P62" s="163"/>
      <c r="Q62" s="151" t="str">
        <f t="shared" si="2"/>
        <v/>
      </c>
      <c r="R62" s="151"/>
    </row>
    <row r="63" spans="1:18" x14ac:dyDescent="0.25">
      <c r="A63" s="12">
        <f t="shared" si="1"/>
        <v>61</v>
      </c>
      <c r="B63" s="151" t="s">
        <v>333</v>
      </c>
      <c r="C63" s="161">
        <v>43353</v>
      </c>
      <c r="D63" s="161">
        <v>43357</v>
      </c>
      <c r="E63" s="161">
        <v>43361</v>
      </c>
      <c r="F63" s="49" t="s">
        <v>40</v>
      </c>
      <c r="G63" s="162"/>
      <c r="H63" s="49" t="s">
        <v>46</v>
      </c>
      <c r="I63" s="151" t="s">
        <v>172</v>
      </c>
      <c r="J63" s="151" t="s">
        <v>166</v>
      </c>
      <c r="K63" s="151" t="s">
        <v>172</v>
      </c>
      <c r="L63" s="151" t="s">
        <v>166</v>
      </c>
      <c r="M63" s="151" t="s">
        <v>172</v>
      </c>
      <c r="N63" s="151" t="s">
        <v>62</v>
      </c>
      <c r="O63" s="161">
        <v>43371</v>
      </c>
      <c r="P63" s="163"/>
      <c r="Q63" s="151" t="str">
        <f t="shared" si="2"/>
        <v/>
      </c>
      <c r="R63" s="151"/>
    </row>
    <row r="64" spans="1:18" x14ac:dyDescent="0.25">
      <c r="A64" s="12">
        <f t="shared" si="1"/>
        <v>62</v>
      </c>
      <c r="B64" s="151" t="s">
        <v>353</v>
      </c>
      <c r="C64" s="161">
        <v>43357</v>
      </c>
      <c r="D64" s="161">
        <v>43364</v>
      </c>
      <c r="E64" s="161">
        <v>43368</v>
      </c>
      <c r="F64" s="49" t="s">
        <v>40</v>
      </c>
      <c r="G64" s="162"/>
      <c r="H64" s="49" t="s">
        <v>60</v>
      </c>
      <c r="I64" s="151" t="s">
        <v>166</v>
      </c>
      <c r="J64" s="151" t="s">
        <v>166</v>
      </c>
      <c r="K64" s="151" t="s">
        <v>172</v>
      </c>
      <c r="L64" s="151" t="s">
        <v>166</v>
      </c>
      <c r="M64" s="151" t="s">
        <v>172</v>
      </c>
      <c r="N64" s="164" t="s">
        <v>47</v>
      </c>
      <c r="O64" s="161">
        <v>43376</v>
      </c>
      <c r="P64" s="163"/>
      <c r="Q64" s="151" t="str">
        <f t="shared" si="2"/>
        <v/>
      </c>
      <c r="R64" s="151"/>
    </row>
    <row r="65" spans="1:18" x14ac:dyDescent="0.25">
      <c r="A65" s="12">
        <f t="shared" si="1"/>
        <v>63</v>
      </c>
      <c r="B65" s="151" t="s">
        <v>354</v>
      </c>
      <c r="C65" s="161">
        <v>43364</v>
      </c>
      <c r="D65" s="161">
        <v>43371</v>
      </c>
      <c r="E65" s="161">
        <v>43374</v>
      </c>
      <c r="F65" s="49" t="s">
        <v>40</v>
      </c>
      <c r="G65" s="162"/>
      <c r="H65" s="49" t="s">
        <v>46</v>
      </c>
      <c r="I65" s="151" t="s">
        <v>166</v>
      </c>
      <c r="J65" s="151" t="s">
        <v>172</v>
      </c>
      <c r="K65" s="151" t="s">
        <v>357</v>
      </c>
      <c r="L65" s="151" t="s">
        <v>166</v>
      </c>
      <c r="M65" s="151" t="s">
        <v>172</v>
      </c>
      <c r="N65" s="164" t="s">
        <v>36</v>
      </c>
      <c r="O65" s="161">
        <v>43383</v>
      </c>
      <c r="P65" s="163"/>
      <c r="Q65" s="151" t="str">
        <f t="shared" si="2"/>
        <v/>
      </c>
      <c r="R65" s="151"/>
    </row>
    <row r="66" spans="1:18" x14ac:dyDescent="0.25">
      <c r="A66" s="12">
        <f t="shared" ref="A66:A103" si="4">ROW()-2</f>
        <v>64</v>
      </c>
      <c r="B66" s="151" t="s">
        <v>355</v>
      </c>
      <c r="C66" s="161">
        <v>43368</v>
      </c>
      <c r="D66" s="161">
        <v>43374</v>
      </c>
      <c r="E66" s="161">
        <v>43375</v>
      </c>
      <c r="F66" s="49" t="s">
        <v>40</v>
      </c>
      <c r="G66" s="162"/>
      <c r="H66" s="49" t="s">
        <v>52</v>
      </c>
      <c r="I66" s="151" t="s">
        <v>172</v>
      </c>
      <c r="J66" s="151" t="s">
        <v>166</v>
      </c>
      <c r="K66" s="151" t="s">
        <v>172</v>
      </c>
      <c r="L66" s="151" t="s">
        <v>166</v>
      </c>
      <c r="M66" s="151" t="s">
        <v>172</v>
      </c>
      <c r="N66" s="151" t="s">
        <v>62</v>
      </c>
      <c r="O66" s="161">
        <v>43385</v>
      </c>
      <c r="P66" s="163"/>
      <c r="Q66" s="151" t="str">
        <f t="shared" ref="Q66:Q103" si="5">IF(ISERROR(CONCATENATE(ROUND((IF(ISBLANK(P66),0,P66)-IF(ISBLANK(G66),0,G66))/IF(ISBLANK(G66),0,G66),4)*100,"%")),"",CONCATENATE(ROUND((IF(ISBLANK(P66),0,P66)-IF(ISBLANK(G66),0,G66))/IF(ISBLANK(G66),0,G66),4)*100,"%"))</f>
        <v/>
      </c>
      <c r="R66" s="151"/>
    </row>
    <row r="67" spans="1:18" x14ac:dyDescent="0.25">
      <c r="A67" s="12">
        <f t="shared" si="4"/>
        <v>65</v>
      </c>
      <c r="B67" s="151" t="s">
        <v>356</v>
      </c>
      <c r="C67" s="161">
        <v>43368</v>
      </c>
      <c r="D67" s="161">
        <v>43374</v>
      </c>
      <c r="E67" s="161">
        <v>43375</v>
      </c>
      <c r="F67" s="49" t="s">
        <v>40</v>
      </c>
      <c r="G67" s="162"/>
      <c r="H67" s="49" t="s">
        <v>46</v>
      </c>
      <c r="I67" s="151" t="s">
        <v>172</v>
      </c>
      <c r="J67" s="151" t="s">
        <v>172</v>
      </c>
      <c r="K67" s="151" t="s">
        <v>172</v>
      </c>
      <c r="L67" s="151" t="s">
        <v>166</v>
      </c>
      <c r="M67" s="151" t="s">
        <v>172</v>
      </c>
      <c r="N67" s="151" t="s">
        <v>53</v>
      </c>
      <c r="O67" s="161">
        <v>43385</v>
      </c>
      <c r="P67" s="163"/>
      <c r="Q67" s="151" t="str">
        <f t="shared" si="5"/>
        <v/>
      </c>
      <c r="R67" s="151"/>
    </row>
    <row r="68" spans="1:18" x14ac:dyDescent="0.25">
      <c r="A68" s="12">
        <f t="shared" si="4"/>
        <v>66</v>
      </c>
      <c r="B68" s="151"/>
      <c r="C68" s="161"/>
      <c r="D68" s="161"/>
      <c r="E68" s="161"/>
      <c r="F68" s="49"/>
      <c r="G68" s="162"/>
      <c r="H68" s="49"/>
      <c r="I68" s="151"/>
      <c r="J68" s="151"/>
      <c r="K68" s="151"/>
      <c r="L68" s="151"/>
      <c r="M68" s="151"/>
      <c r="N68" s="164"/>
      <c r="O68" s="161"/>
      <c r="P68" s="163"/>
      <c r="Q68" s="151" t="str">
        <f t="shared" si="5"/>
        <v/>
      </c>
      <c r="R68" s="151"/>
    </row>
    <row r="69" spans="1:18" x14ac:dyDescent="0.25">
      <c r="A69" s="12">
        <f t="shared" si="4"/>
        <v>67</v>
      </c>
      <c r="B69" s="151"/>
      <c r="C69" s="161"/>
      <c r="D69" s="161"/>
      <c r="E69" s="161"/>
      <c r="F69" s="49"/>
      <c r="G69" s="162"/>
      <c r="H69" s="49"/>
      <c r="I69" s="151"/>
      <c r="J69" s="151"/>
      <c r="K69" s="164"/>
      <c r="L69" s="151"/>
      <c r="M69" s="151"/>
      <c r="N69" s="164"/>
      <c r="O69" s="161"/>
      <c r="P69" s="163"/>
      <c r="Q69" s="151" t="str">
        <f t="shared" si="5"/>
        <v/>
      </c>
      <c r="R69" s="151"/>
    </row>
    <row r="70" spans="1:18" x14ac:dyDescent="0.25">
      <c r="A70" s="12">
        <f t="shared" si="4"/>
        <v>68</v>
      </c>
      <c r="B70" s="151"/>
      <c r="C70" s="161"/>
      <c r="D70" s="161"/>
      <c r="E70" s="161"/>
      <c r="F70" s="49"/>
      <c r="G70" s="162"/>
      <c r="H70" s="49"/>
      <c r="I70" s="151"/>
      <c r="J70" s="151"/>
      <c r="K70" s="151"/>
      <c r="L70" s="151"/>
      <c r="M70" s="151"/>
      <c r="N70" s="164"/>
      <c r="O70" s="161"/>
      <c r="P70" s="163"/>
      <c r="Q70" s="151" t="str">
        <f t="shared" si="5"/>
        <v/>
      </c>
      <c r="R70" s="151"/>
    </row>
    <row r="71" spans="1:18" x14ac:dyDescent="0.25">
      <c r="A71" s="12">
        <f t="shared" si="4"/>
        <v>69</v>
      </c>
      <c r="B71" s="151"/>
      <c r="C71" s="161"/>
      <c r="D71" s="161"/>
      <c r="E71" s="161"/>
      <c r="F71" s="49"/>
      <c r="G71" s="162"/>
      <c r="H71" s="49"/>
      <c r="I71" s="151"/>
      <c r="J71" s="151"/>
      <c r="K71" s="151"/>
      <c r="L71" s="151"/>
      <c r="M71" s="151"/>
      <c r="N71" s="151"/>
      <c r="O71" s="161"/>
      <c r="P71" s="163"/>
      <c r="Q71" s="151" t="str">
        <f t="shared" si="5"/>
        <v/>
      </c>
      <c r="R71" s="151"/>
    </row>
    <row r="72" spans="1:18" x14ac:dyDescent="0.25">
      <c r="A72" s="12">
        <f t="shared" si="4"/>
        <v>70</v>
      </c>
      <c r="B72" s="151"/>
      <c r="C72" s="161"/>
      <c r="D72" s="161"/>
      <c r="E72" s="161"/>
      <c r="F72" s="49"/>
      <c r="G72" s="162"/>
      <c r="H72" s="49"/>
      <c r="I72" s="151"/>
      <c r="J72" s="151"/>
      <c r="K72" s="151"/>
      <c r="L72" s="151"/>
      <c r="M72" s="151"/>
      <c r="N72" s="151"/>
      <c r="O72" s="161"/>
      <c r="P72" s="163"/>
      <c r="Q72" s="151" t="str">
        <f t="shared" si="5"/>
        <v/>
      </c>
      <c r="R72" s="151"/>
    </row>
    <row r="73" spans="1:18" x14ac:dyDescent="0.25">
      <c r="A73" s="12">
        <f t="shared" si="4"/>
        <v>71</v>
      </c>
      <c r="B73" s="151"/>
      <c r="C73" s="161"/>
      <c r="D73" s="161"/>
      <c r="E73" s="161"/>
      <c r="F73" s="49"/>
      <c r="G73" s="165"/>
      <c r="H73" s="49"/>
      <c r="I73" s="151"/>
      <c r="J73" s="151"/>
      <c r="K73" s="151"/>
      <c r="L73" s="151"/>
      <c r="M73" s="151"/>
      <c r="N73" s="151"/>
      <c r="O73" s="161"/>
      <c r="P73" s="163"/>
      <c r="Q73" s="151" t="str">
        <f t="shared" si="5"/>
        <v/>
      </c>
      <c r="R73" s="151"/>
    </row>
    <row r="74" spans="1:18" x14ac:dyDescent="0.25">
      <c r="A74" s="12">
        <f t="shared" si="4"/>
        <v>72</v>
      </c>
      <c r="B74" s="151"/>
      <c r="C74" s="161"/>
      <c r="D74" s="161"/>
      <c r="E74" s="161"/>
      <c r="F74" s="49"/>
      <c r="G74" s="162"/>
      <c r="H74" s="49"/>
      <c r="I74" s="151"/>
      <c r="J74" s="151"/>
      <c r="K74" s="151"/>
      <c r="L74" s="151"/>
      <c r="M74" s="151"/>
      <c r="N74" s="164"/>
      <c r="O74" s="161"/>
      <c r="P74" s="163"/>
      <c r="Q74" s="151" t="str">
        <f t="shared" si="5"/>
        <v/>
      </c>
      <c r="R74" s="151"/>
    </row>
    <row r="75" spans="1:18" x14ac:dyDescent="0.25">
      <c r="A75" s="12">
        <f t="shared" si="4"/>
        <v>73</v>
      </c>
      <c r="B75" s="151"/>
      <c r="C75" s="161"/>
      <c r="D75" s="161"/>
      <c r="E75" s="161"/>
      <c r="F75" s="49"/>
      <c r="G75" s="162"/>
      <c r="H75" s="49"/>
      <c r="I75" s="151"/>
      <c r="J75" s="151"/>
      <c r="K75" s="151"/>
      <c r="L75" s="151"/>
      <c r="M75" s="151"/>
      <c r="N75" s="164"/>
      <c r="O75" s="161"/>
      <c r="P75" s="163"/>
      <c r="Q75" s="151" t="str">
        <f t="shared" si="5"/>
        <v/>
      </c>
      <c r="R75" s="151"/>
    </row>
    <row r="76" spans="1:18" x14ac:dyDescent="0.25">
      <c r="A76" s="12">
        <f t="shared" si="4"/>
        <v>74</v>
      </c>
      <c r="B76" s="151"/>
      <c r="C76" s="161"/>
      <c r="D76" s="161"/>
      <c r="E76" s="161"/>
      <c r="F76" s="49"/>
      <c r="G76" s="162"/>
      <c r="H76" s="49"/>
      <c r="I76" s="151"/>
      <c r="J76" s="151"/>
      <c r="K76" s="151"/>
      <c r="L76" s="151"/>
      <c r="M76" s="151"/>
      <c r="N76" s="151"/>
      <c r="O76" s="161"/>
      <c r="P76" s="163"/>
      <c r="Q76" s="151" t="str">
        <f t="shared" si="5"/>
        <v/>
      </c>
      <c r="R76" s="151"/>
    </row>
    <row r="77" spans="1:18" x14ac:dyDescent="0.25">
      <c r="A77" s="12">
        <f t="shared" si="4"/>
        <v>75</v>
      </c>
      <c r="B77" s="151"/>
      <c r="C77" s="161"/>
      <c r="D77" s="161"/>
      <c r="E77" s="161"/>
      <c r="F77" s="49"/>
      <c r="G77" s="162"/>
      <c r="H77" s="49"/>
      <c r="I77" s="151"/>
      <c r="J77" s="151"/>
      <c r="K77" s="151"/>
      <c r="L77" s="151"/>
      <c r="M77" s="151"/>
      <c r="N77" s="151"/>
      <c r="O77" s="161"/>
      <c r="P77" s="163"/>
      <c r="Q77" s="151" t="str">
        <f t="shared" si="5"/>
        <v/>
      </c>
      <c r="R77" s="151"/>
    </row>
    <row r="78" spans="1:18" x14ac:dyDescent="0.25">
      <c r="A78" s="12">
        <f t="shared" si="4"/>
        <v>76</v>
      </c>
      <c r="B78" s="151"/>
      <c r="C78" s="161"/>
      <c r="D78" s="161"/>
      <c r="E78" s="161"/>
      <c r="F78" s="49"/>
      <c r="G78" s="162"/>
      <c r="H78" s="49"/>
      <c r="I78" s="151"/>
      <c r="J78" s="151"/>
      <c r="K78" s="151"/>
      <c r="L78" s="151"/>
      <c r="M78" s="151"/>
      <c r="N78" s="151"/>
      <c r="O78" s="161"/>
      <c r="P78" s="163"/>
      <c r="Q78" s="151" t="str">
        <f t="shared" si="5"/>
        <v/>
      </c>
      <c r="R78" s="151"/>
    </row>
    <row r="79" spans="1:18" x14ac:dyDescent="0.25">
      <c r="A79" s="12">
        <f t="shared" si="4"/>
        <v>77</v>
      </c>
      <c r="B79" s="151"/>
      <c r="C79" s="161"/>
      <c r="D79" s="161"/>
      <c r="E79" s="161"/>
      <c r="F79" s="49"/>
      <c r="G79" s="162"/>
      <c r="H79" s="49"/>
      <c r="I79" s="151"/>
      <c r="J79" s="151"/>
      <c r="K79" s="151"/>
      <c r="L79" s="151"/>
      <c r="M79" s="151"/>
      <c r="N79" s="151"/>
      <c r="O79" s="161"/>
      <c r="P79" s="163"/>
      <c r="Q79" s="151" t="str">
        <f t="shared" si="5"/>
        <v/>
      </c>
      <c r="R79" s="151"/>
    </row>
    <row r="80" spans="1:18" x14ac:dyDescent="0.25">
      <c r="A80" s="12">
        <f t="shared" si="4"/>
        <v>78</v>
      </c>
      <c r="B80" s="151"/>
      <c r="C80" s="161"/>
      <c r="D80" s="161"/>
      <c r="E80" s="161"/>
      <c r="F80" s="49"/>
      <c r="G80" s="162"/>
      <c r="H80" s="49"/>
      <c r="I80" s="151"/>
      <c r="J80" s="151"/>
      <c r="K80" s="151"/>
      <c r="L80" s="151"/>
      <c r="M80" s="151"/>
      <c r="N80" s="164"/>
      <c r="O80" s="161"/>
      <c r="P80" s="163"/>
      <c r="Q80" s="151" t="str">
        <f t="shared" si="5"/>
        <v/>
      </c>
      <c r="R80" s="151"/>
    </row>
    <row r="81" spans="1:18" x14ac:dyDescent="0.25">
      <c r="A81" s="12">
        <f t="shared" si="4"/>
        <v>79</v>
      </c>
      <c r="B81" s="151"/>
      <c r="C81" s="161"/>
      <c r="D81" s="161"/>
      <c r="E81" s="161"/>
      <c r="F81" s="49"/>
      <c r="G81" s="162"/>
      <c r="H81" s="49"/>
      <c r="I81" s="151"/>
      <c r="J81" s="151"/>
      <c r="K81" s="151"/>
      <c r="L81" s="151"/>
      <c r="M81" s="151"/>
      <c r="N81" s="164"/>
      <c r="O81" s="161"/>
      <c r="P81" s="163"/>
      <c r="Q81" s="151" t="str">
        <f t="shared" si="5"/>
        <v/>
      </c>
      <c r="R81" s="151"/>
    </row>
    <row r="82" spans="1:18" x14ac:dyDescent="0.25">
      <c r="A82" s="12">
        <f t="shared" si="4"/>
        <v>80</v>
      </c>
      <c r="B82" s="151"/>
      <c r="C82" s="161"/>
      <c r="D82" s="161"/>
      <c r="E82" s="161"/>
      <c r="F82" s="49"/>
      <c r="G82" s="162"/>
      <c r="H82" s="49"/>
      <c r="I82" s="151"/>
      <c r="J82" s="151"/>
      <c r="K82" s="151"/>
      <c r="L82" s="151"/>
      <c r="M82" s="151"/>
      <c r="N82" s="164"/>
      <c r="O82" s="161"/>
      <c r="P82" s="163"/>
      <c r="Q82" s="151" t="str">
        <f t="shared" si="5"/>
        <v/>
      </c>
      <c r="R82" s="151"/>
    </row>
    <row r="83" spans="1:18" x14ac:dyDescent="0.25">
      <c r="A83" s="12">
        <f t="shared" si="4"/>
        <v>81</v>
      </c>
      <c r="B83" s="151"/>
      <c r="C83" s="161"/>
      <c r="D83" s="161"/>
      <c r="E83" s="161"/>
      <c r="F83" s="49"/>
      <c r="G83" s="162"/>
      <c r="H83" s="49"/>
      <c r="I83" s="151"/>
      <c r="J83" s="151"/>
      <c r="K83" s="151"/>
      <c r="L83" s="151"/>
      <c r="M83" s="151"/>
      <c r="N83" s="151"/>
      <c r="O83" s="161"/>
      <c r="P83" s="163"/>
      <c r="Q83" s="151" t="str">
        <f t="shared" si="5"/>
        <v/>
      </c>
      <c r="R83" s="151"/>
    </row>
    <row r="84" spans="1:18" x14ac:dyDescent="0.25">
      <c r="A84" s="12">
        <f t="shared" si="4"/>
        <v>82</v>
      </c>
      <c r="B84" s="151"/>
      <c r="C84" s="161"/>
      <c r="D84" s="161"/>
      <c r="E84" s="161"/>
      <c r="F84" s="49"/>
      <c r="G84" s="162"/>
      <c r="H84" s="49"/>
      <c r="I84" s="151"/>
      <c r="J84" s="151"/>
      <c r="K84" s="151"/>
      <c r="L84" s="151"/>
      <c r="M84" s="151"/>
      <c r="N84" s="151"/>
      <c r="O84" s="161"/>
      <c r="P84" s="163"/>
      <c r="Q84" s="151" t="str">
        <f t="shared" si="5"/>
        <v/>
      </c>
      <c r="R84" s="151"/>
    </row>
    <row r="85" spans="1:18" x14ac:dyDescent="0.25">
      <c r="A85" s="12">
        <f t="shared" si="4"/>
        <v>83</v>
      </c>
      <c r="B85" s="151"/>
      <c r="C85" s="161"/>
      <c r="D85" s="161"/>
      <c r="E85" s="161"/>
      <c r="F85" s="49"/>
      <c r="G85" s="162"/>
      <c r="H85" s="49"/>
      <c r="I85" s="151"/>
      <c r="J85" s="151"/>
      <c r="K85" s="151"/>
      <c r="L85" s="151"/>
      <c r="M85" s="151"/>
      <c r="N85" s="151"/>
      <c r="O85" s="161"/>
      <c r="P85" s="163"/>
      <c r="Q85" s="151" t="str">
        <f t="shared" si="5"/>
        <v/>
      </c>
      <c r="R85" s="151"/>
    </row>
    <row r="86" spans="1:18" x14ac:dyDescent="0.25">
      <c r="A86" s="12">
        <f t="shared" si="4"/>
        <v>84</v>
      </c>
      <c r="B86" s="151"/>
      <c r="C86" s="161"/>
      <c r="D86" s="161"/>
      <c r="E86" s="161"/>
      <c r="F86" s="49"/>
      <c r="G86" s="162"/>
      <c r="H86" s="49"/>
      <c r="I86" s="151"/>
      <c r="J86" s="151"/>
      <c r="K86" s="151"/>
      <c r="L86" s="151"/>
      <c r="M86" s="151"/>
      <c r="N86" s="151"/>
      <c r="O86" s="161"/>
      <c r="P86" s="163"/>
      <c r="Q86" s="151" t="str">
        <f t="shared" si="5"/>
        <v/>
      </c>
      <c r="R86" s="151"/>
    </row>
    <row r="87" spans="1:18" x14ac:dyDescent="0.25">
      <c r="A87" s="12">
        <f t="shared" si="4"/>
        <v>85</v>
      </c>
      <c r="B87" s="151"/>
      <c r="C87" s="161"/>
      <c r="D87" s="161"/>
      <c r="E87" s="161"/>
      <c r="F87" s="49"/>
      <c r="G87" s="162"/>
      <c r="H87" s="49"/>
      <c r="I87" s="151"/>
      <c r="J87" s="151"/>
      <c r="K87" s="151"/>
      <c r="L87" s="151"/>
      <c r="M87" s="151"/>
      <c r="N87" s="164"/>
      <c r="O87" s="161"/>
      <c r="P87" s="163"/>
      <c r="Q87" s="151" t="str">
        <f t="shared" si="5"/>
        <v/>
      </c>
      <c r="R87" s="151"/>
    </row>
    <row r="88" spans="1:18" x14ac:dyDescent="0.25">
      <c r="A88" s="12">
        <f t="shared" si="4"/>
        <v>86</v>
      </c>
      <c r="B88" s="151"/>
      <c r="C88" s="161"/>
      <c r="D88" s="161"/>
      <c r="E88" s="161"/>
      <c r="F88" s="49"/>
      <c r="G88" s="162"/>
      <c r="H88" s="49"/>
      <c r="I88" s="151"/>
      <c r="J88" s="151"/>
      <c r="K88" s="151"/>
      <c r="L88" s="151"/>
      <c r="M88" s="151"/>
      <c r="N88" s="151"/>
      <c r="O88" s="161"/>
      <c r="P88" s="163"/>
      <c r="Q88" s="151" t="str">
        <f t="shared" si="5"/>
        <v/>
      </c>
      <c r="R88" s="151"/>
    </row>
    <row r="89" spans="1:18" x14ac:dyDescent="0.25">
      <c r="A89" s="12">
        <f t="shared" si="4"/>
        <v>87</v>
      </c>
      <c r="B89" s="31"/>
      <c r="C89" s="32"/>
      <c r="D89" s="32"/>
      <c r="E89" s="32"/>
      <c r="F89" s="28"/>
      <c r="G89" s="33"/>
      <c r="H89" s="28"/>
      <c r="I89" s="31"/>
      <c r="J89" s="31"/>
      <c r="K89" s="31"/>
      <c r="L89" s="31"/>
      <c r="M89" s="31"/>
      <c r="N89" s="31"/>
      <c r="O89" s="32"/>
      <c r="P89" s="34"/>
      <c r="Q89" s="151" t="str">
        <f t="shared" si="5"/>
        <v/>
      </c>
      <c r="R89" s="31"/>
    </row>
    <row r="90" spans="1:18" x14ac:dyDescent="0.25">
      <c r="A90" s="12">
        <f t="shared" si="4"/>
        <v>88</v>
      </c>
      <c r="B90" s="31"/>
      <c r="C90" s="31"/>
      <c r="D90" s="31"/>
      <c r="E90" s="31"/>
      <c r="F90" s="28"/>
      <c r="G90" s="33"/>
      <c r="H90" s="28"/>
      <c r="I90" s="31"/>
      <c r="J90" s="31"/>
      <c r="K90" s="31"/>
      <c r="L90" s="31"/>
      <c r="M90" s="31"/>
      <c r="N90" s="31"/>
      <c r="O90" s="32"/>
      <c r="P90" s="34"/>
      <c r="Q90" s="151" t="str">
        <f t="shared" si="5"/>
        <v/>
      </c>
      <c r="R90" s="31"/>
    </row>
    <row r="91" spans="1:18" x14ac:dyDescent="0.25">
      <c r="A91" s="12">
        <f t="shared" si="4"/>
        <v>89</v>
      </c>
      <c r="B91" s="31"/>
      <c r="C91" s="31"/>
      <c r="D91" s="31"/>
      <c r="E91" s="31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1" t="str">
        <f t="shared" si="5"/>
        <v/>
      </c>
      <c r="R91" s="31"/>
    </row>
    <row r="92" spans="1:18" x14ac:dyDescent="0.25">
      <c r="A92" s="12">
        <f t="shared" si="4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1" t="str">
        <f t="shared" si="5"/>
        <v/>
      </c>
      <c r="R92" s="31"/>
    </row>
    <row r="93" spans="1:18" x14ac:dyDescent="0.25">
      <c r="A93" s="12">
        <f t="shared" si="4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1" t="str">
        <f t="shared" si="5"/>
        <v/>
      </c>
      <c r="R93" s="31"/>
    </row>
    <row r="94" spans="1:18" x14ac:dyDescent="0.25">
      <c r="A94" s="12">
        <f t="shared" si="4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1" t="str">
        <f t="shared" si="5"/>
        <v/>
      </c>
      <c r="R94" s="31"/>
    </row>
    <row r="95" spans="1:18" x14ac:dyDescent="0.25">
      <c r="A95" s="12">
        <f t="shared" si="4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1" t="str">
        <f t="shared" si="5"/>
        <v/>
      </c>
      <c r="R95" s="31"/>
    </row>
    <row r="96" spans="1:18" x14ac:dyDescent="0.25">
      <c r="A96" s="12">
        <f t="shared" si="4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1" t="str">
        <f t="shared" si="5"/>
        <v/>
      </c>
      <c r="R96" s="31"/>
    </row>
    <row r="97" spans="1:18" x14ac:dyDescent="0.25">
      <c r="A97" s="12">
        <f t="shared" si="4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1" t="str">
        <f t="shared" si="5"/>
        <v/>
      </c>
      <c r="R97" s="31"/>
    </row>
    <row r="98" spans="1:18" x14ac:dyDescent="0.25">
      <c r="A98" s="12">
        <f t="shared" si="4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1" t="str">
        <f t="shared" si="5"/>
        <v/>
      </c>
      <c r="R98" s="31"/>
    </row>
    <row r="99" spans="1:18" x14ac:dyDescent="0.25">
      <c r="A99" s="12">
        <f t="shared" si="4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1" t="str">
        <f t="shared" si="5"/>
        <v/>
      </c>
      <c r="R99" s="31"/>
    </row>
    <row r="100" spans="1:18" x14ac:dyDescent="0.25">
      <c r="A100" s="12">
        <f t="shared" si="4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1" t="str">
        <f t="shared" si="5"/>
        <v/>
      </c>
      <c r="R100" s="31"/>
    </row>
    <row r="101" spans="1:18" x14ac:dyDescent="0.25">
      <c r="A101" s="12">
        <f t="shared" si="4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1" t="str">
        <f t="shared" si="5"/>
        <v/>
      </c>
      <c r="R101" s="31"/>
    </row>
    <row r="102" spans="1:18" x14ac:dyDescent="0.25">
      <c r="A102" s="12">
        <f t="shared" si="4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1" t="str">
        <f t="shared" si="5"/>
        <v/>
      </c>
      <c r="R102" s="31"/>
    </row>
    <row r="103" spans="1:18" x14ac:dyDescent="0.25">
      <c r="A103" s="12">
        <f t="shared" si="4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1" t="str">
        <f t="shared" si="5"/>
        <v/>
      </c>
      <c r="R103" s="31"/>
    </row>
  </sheetData>
  <mergeCells count="1">
    <mergeCell ref="A1:B1"/>
  </mergeCells>
  <phoneticPr fontId="2"/>
  <conditionalFormatting sqref="H2:H37 H39:H1048576">
    <cfRule type="cellIs" dxfId="68" priority="41" operator="lessThan">
      <formula>"D"</formula>
    </cfRule>
    <cfRule type="cellIs" dxfId="67" priority="42" operator="equal">
      <formula>"D"</formula>
    </cfRule>
  </conditionalFormatting>
  <conditionalFormatting sqref="A1:G1 I1:XFD1 A74:D74 A75:B76 F74:P74 G75:P76 A104:XFD1048576 A77:P103 A38 R38:XFD38 A2:XFD37 A39:I41 K40:K41 M39:P44 K47 A45:H47 N45:P47 A42:K44 Q39:XFD103 A48:P73">
    <cfRule type="expression" dxfId="66" priority="40">
      <formula>CELL("ROW")=ROW()</formula>
    </cfRule>
  </conditionalFormatting>
  <conditionalFormatting sqref="E74">
    <cfRule type="expression" dxfId="65" priority="39">
      <formula>CELL("ROW")=ROW()</formula>
    </cfRule>
  </conditionalFormatting>
  <conditionalFormatting sqref="C75:D75 F75">
    <cfRule type="expression" dxfId="64" priority="38">
      <formula>CELL("ROW")=ROW()</formula>
    </cfRule>
  </conditionalFormatting>
  <conditionalFormatting sqref="E75">
    <cfRule type="expression" dxfId="63" priority="37">
      <formula>CELL("ROW")=ROW()</formula>
    </cfRule>
  </conditionalFormatting>
  <conditionalFormatting sqref="C76:D76 F76">
    <cfRule type="expression" dxfId="62" priority="36">
      <formula>CELL("ROW")=ROW()</formula>
    </cfRule>
  </conditionalFormatting>
  <conditionalFormatting sqref="E76">
    <cfRule type="expression" dxfId="61" priority="35">
      <formula>CELL("ROW")=ROW()</formula>
    </cfRule>
  </conditionalFormatting>
  <conditionalFormatting sqref="H38">
    <cfRule type="cellIs" dxfId="60" priority="33" operator="lessThan">
      <formula>"D"</formula>
    </cfRule>
    <cfRule type="cellIs" dxfId="59" priority="34" operator="equal">
      <formula>"D"</formula>
    </cfRule>
  </conditionalFormatting>
  <conditionalFormatting sqref="B38:D38 F38:I38 K38 M38:Q38">
    <cfRule type="expression" dxfId="58" priority="32">
      <formula>CELL("ROW")=ROW()</formula>
    </cfRule>
  </conditionalFormatting>
  <conditionalFormatting sqref="E38">
    <cfRule type="expression" dxfId="57" priority="30">
      <formula>CELL("ROW")=ROW()</formula>
    </cfRule>
  </conditionalFormatting>
  <conditionalFormatting sqref="J39">
    <cfRule type="expression" dxfId="56" priority="29">
      <formula>CELL("ROW")=ROW()</formula>
    </cfRule>
  </conditionalFormatting>
  <conditionalFormatting sqref="L39">
    <cfRule type="expression" dxfId="55" priority="27">
      <formula>CELL("ROW")=ROW()</formula>
    </cfRule>
  </conditionalFormatting>
  <conditionalFormatting sqref="K39">
    <cfRule type="expression" dxfId="54" priority="26">
      <formula>CELL("ROW")=ROW()</formula>
    </cfRule>
  </conditionalFormatting>
  <conditionalFormatting sqref="J38">
    <cfRule type="expression" dxfId="53" priority="25">
      <formula>CELL("ROW")=ROW()</formula>
    </cfRule>
  </conditionalFormatting>
  <conditionalFormatting sqref="L38">
    <cfRule type="expression" dxfId="52" priority="24">
      <formula>CELL("ROW")=ROW()</formula>
    </cfRule>
  </conditionalFormatting>
  <conditionalFormatting sqref="J40">
    <cfRule type="expression" dxfId="51" priority="23">
      <formula>CELL("ROW")=ROW()</formula>
    </cfRule>
  </conditionalFormatting>
  <conditionalFormatting sqref="J41">
    <cfRule type="expression" dxfId="50" priority="21">
      <formula>CELL("ROW")=ROW()</formula>
    </cfRule>
  </conditionalFormatting>
  <conditionalFormatting sqref="L40">
    <cfRule type="expression" dxfId="49" priority="19">
      <formula>CELL("ROW")=ROW()</formula>
    </cfRule>
  </conditionalFormatting>
  <conditionalFormatting sqref="L41:L44">
    <cfRule type="expression" dxfId="48" priority="18">
      <formula>CELL("ROW")=ROW()</formula>
    </cfRule>
  </conditionalFormatting>
  <conditionalFormatting sqref="I47">
    <cfRule type="expression" dxfId="47" priority="17">
      <formula>CELL("ROW")=ROW()</formula>
    </cfRule>
  </conditionalFormatting>
  <conditionalFormatting sqref="J47">
    <cfRule type="expression" dxfId="46" priority="16">
      <formula>CELL("ROW")=ROW()</formula>
    </cfRule>
  </conditionalFormatting>
  <conditionalFormatting sqref="L47">
    <cfRule type="expression" dxfId="45" priority="15">
      <formula>CELL("ROW")=ROW()</formula>
    </cfRule>
  </conditionalFormatting>
  <conditionalFormatting sqref="K45 M45">
    <cfRule type="expression" dxfId="44" priority="14">
      <formula>CELL("ROW")=ROW()</formula>
    </cfRule>
  </conditionalFormatting>
  <conditionalFormatting sqref="I45">
    <cfRule type="expression" dxfId="43" priority="13">
      <formula>CELL("ROW")=ROW()</formula>
    </cfRule>
  </conditionalFormatting>
  <conditionalFormatting sqref="J45">
    <cfRule type="expression" dxfId="42" priority="12">
      <formula>CELL("ROW")=ROW()</formula>
    </cfRule>
  </conditionalFormatting>
  <conditionalFormatting sqref="L45">
    <cfRule type="expression" dxfId="41" priority="11">
      <formula>CELL("ROW")=ROW()</formula>
    </cfRule>
  </conditionalFormatting>
  <conditionalFormatting sqref="K46">
    <cfRule type="expression" dxfId="40" priority="10">
      <formula>CELL("ROW")=ROW()</formula>
    </cfRule>
  </conditionalFormatting>
  <conditionalFormatting sqref="I46">
    <cfRule type="expression" dxfId="39" priority="9">
      <formula>CELL("ROW")=ROW()</formula>
    </cfRule>
  </conditionalFormatting>
  <conditionalFormatting sqref="J46">
    <cfRule type="expression" dxfId="38" priority="8">
      <formula>CELL("ROW")=ROW()</formula>
    </cfRule>
  </conditionalFormatting>
  <conditionalFormatting sqref="L46">
    <cfRule type="expression" dxfId="37" priority="7">
      <formula>CELL("ROW")=ROW()</formula>
    </cfRule>
  </conditionalFormatting>
  <conditionalFormatting sqref="M46">
    <cfRule type="expression" dxfId="36" priority="5">
      <formula>CELL("ROW")=ROW()</formula>
    </cfRule>
  </conditionalFormatting>
  <conditionalFormatting sqref="M47">
    <cfRule type="expression" dxfId="35" priority="1">
      <formula>CELL("ROW")=ROW()</formula>
    </cfRule>
  </conditionalFormatting>
  <dataValidations count="3">
    <dataValidation type="list" allowBlank="1" showInputMessage="1" showErrorMessage="1" sqref="H3:H103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3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76"/>
  <sheetViews>
    <sheetView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B72" sqref="B72"/>
    </sheetView>
  </sheetViews>
  <sheetFormatPr defaultColWidth="8" defaultRowHeight="15.75" x14ac:dyDescent="0.25"/>
  <cols>
    <col min="1" max="1" width="5" style="203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41" t="s">
        <v>70</v>
      </c>
      <c r="B1" s="241"/>
      <c r="D1" s="37"/>
      <c r="E1" s="37"/>
      <c r="F1" s="153" t="s">
        <v>71</v>
      </c>
      <c r="H1" s="37"/>
      <c r="I1" s="37"/>
      <c r="J1" s="37"/>
      <c r="K1" s="37"/>
      <c r="M1" s="37"/>
      <c r="N1" s="37"/>
      <c r="O1" s="37"/>
      <c r="P1" s="37"/>
      <c r="Q1" s="119" t="s">
        <v>72</v>
      </c>
      <c r="R1" s="36"/>
    </row>
    <row r="2" spans="1:21" ht="16.5" thickBot="1" x14ac:dyDescent="0.3">
      <c r="A2" s="199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4" t="s">
        <v>170</v>
      </c>
    </row>
    <row r="3" spans="1:21" ht="16.5" thickTop="1" x14ac:dyDescent="0.25">
      <c r="A3" s="200"/>
      <c r="B3" s="167" t="s">
        <v>168</v>
      </c>
      <c r="C3" s="168"/>
      <c r="D3" s="169"/>
      <c r="E3" s="168"/>
      <c r="F3" s="170"/>
      <c r="G3" s="171"/>
      <c r="H3" s="108" t="s">
        <v>87</v>
      </c>
      <c r="I3" s="109">
        <f>(1585*8+1085*2)/10</f>
        <v>1485</v>
      </c>
      <c r="J3" s="109">
        <v>1000</v>
      </c>
      <c r="K3" s="109"/>
      <c r="L3" s="117"/>
      <c r="M3" s="117"/>
      <c r="N3" s="118"/>
      <c r="O3" s="106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7">
        <v>42983</v>
      </c>
    </row>
    <row r="4" spans="1:21" x14ac:dyDescent="0.25">
      <c r="A4" s="200"/>
      <c r="B4" s="167"/>
      <c r="C4" s="168"/>
      <c r="D4" s="169"/>
      <c r="E4" s="168"/>
      <c r="F4" s="170"/>
      <c r="G4" s="171"/>
      <c r="H4" s="120" t="s">
        <v>45</v>
      </c>
      <c r="I4" s="109">
        <v>1212</v>
      </c>
      <c r="J4" s="109">
        <v>400</v>
      </c>
      <c r="K4" s="109"/>
      <c r="L4" s="117"/>
      <c r="M4" s="117"/>
      <c r="N4" s="118"/>
      <c r="O4" s="106">
        <v>43101</v>
      </c>
      <c r="P4" s="42">
        <v>400</v>
      </c>
      <c r="Q4" s="42">
        <v>32</v>
      </c>
      <c r="R4" s="42"/>
      <c r="S4" s="42"/>
      <c r="T4" s="19"/>
      <c r="U4" s="197">
        <v>42929</v>
      </c>
    </row>
    <row r="5" spans="1:21" x14ac:dyDescent="0.25">
      <c r="A5" s="200"/>
      <c r="B5" s="167"/>
      <c r="C5" s="168"/>
      <c r="D5" s="169"/>
      <c r="E5" s="168"/>
      <c r="F5" s="170"/>
      <c r="G5" s="171"/>
      <c r="H5" s="108" t="s">
        <v>87</v>
      </c>
      <c r="I5" s="109">
        <v>1179</v>
      </c>
      <c r="J5" s="109">
        <v>500</v>
      </c>
      <c r="K5" s="109"/>
      <c r="L5" s="117"/>
      <c r="M5" s="117"/>
      <c r="N5" s="118"/>
      <c r="O5" s="106">
        <v>43272</v>
      </c>
      <c r="P5" s="42">
        <v>478</v>
      </c>
      <c r="Q5" s="42">
        <v>38</v>
      </c>
      <c r="R5" s="42"/>
      <c r="S5" s="42"/>
      <c r="T5" s="19"/>
      <c r="U5" s="197"/>
    </row>
    <row r="6" spans="1:21" x14ac:dyDescent="0.25">
      <c r="A6" s="200"/>
      <c r="B6" s="167" t="s">
        <v>167</v>
      </c>
      <c r="C6" s="168"/>
      <c r="D6" s="169"/>
      <c r="E6" s="168"/>
      <c r="F6" s="170"/>
      <c r="G6" s="171"/>
      <c r="H6" s="108" t="s">
        <v>87</v>
      </c>
      <c r="I6" s="109">
        <v>350</v>
      </c>
      <c r="J6" s="109">
        <v>1500</v>
      </c>
      <c r="K6" s="109"/>
      <c r="L6" s="117"/>
      <c r="M6" s="117"/>
      <c r="N6" s="118"/>
      <c r="O6" s="106">
        <v>43101</v>
      </c>
      <c r="P6" s="15">
        <v>487</v>
      </c>
      <c r="Q6" s="15">
        <v>38</v>
      </c>
      <c r="R6" s="104"/>
      <c r="S6" s="104"/>
      <c r="T6" s="19"/>
      <c r="U6" s="197">
        <v>42926</v>
      </c>
    </row>
    <row r="7" spans="1:21" x14ac:dyDescent="0.25">
      <c r="A7" s="201"/>
      <c r="B7" s="172" t="s">
        <v>169</v>
      </c>
      <c r="C7" s="173"/>
      <c r="D7" s="174"/>
      <c r="E7" s="173"/>
      <c r="F7" s="175"/>
      <c r="G7" s="176"/>
      <c r="H7" s="41" t="s">
        <v>88</v>
      </c>
      <c r="I7" s="39">
        <v>603</v>
      </c>
      <c r="J7" s="39">
        <v>500</v>
      </c>
      <c r="K7" s="39"/>
      <c r="L7" s="39"/>
      <c r="M7" s="39"/>
      <c r="N7" s="40"/>
      <c r="O7" s="106">
        <v>43101</v>
      </c>
      <c r="P7" s="15">
        <v>350</v>
      </c>
      <c r="Q7" s="15">
        <v>28</v>
      </c>
      <c r="T7" s="55"/>
      <c r="U7" s="17">
        <v>42880</v>
      </c>
    </row>
    <row r="8" spans="1:21" x14ac:dyDescent="0.25">
      <c r="A8" s="202" t="str">
        <f>IPO監視一覧!H3</f>
        <v>A</v>
      </c>
      <c r="B8" s="43" t="str">
        <f>IPO監視一覧!B3</f>
        <v>Ｍマート</v>
      </c>
      <c r="C8" s="44">
        <f>IPO監視一覧!G3</f>
        <v>1240</v>
      </c>
      <c r="D8" s="45">
        <f>IPO監視一覧!O3</f>
        <v>43154</v>
      </c>
      <c r="E8" s="44">
        <f>IPO監視一覧!P3</f>
        <v>5380</v>
      </c>
      <c r="F8" s="46">
        <f t="shared" ref="F8:F13" si="0">(E8-C8)*100*0.79685</f>
        <v>329895.89999999997</v>
      </c>
      <c r="G8" s="47">
        <f ca="1">NETWORKDAYS(D8,TODAY())</f>
        <v>142</v>
      </c>
      <c r="H8" s="53"/>
      <c r="I8" s="26"/>
      <c r="J8" s="26"/>
      <c r="K8" s="26"/>
      <c r="L8" s="26"/>
      <c r="M8" s="26"/>
      <c r="N8" s="48">
        <f t="shared" ref="N8" si="1">(K8-I8)*J8-M8-L8</f>
        <v>0</v>
      </c>
    </row>
    <row r="9" spans="1:21" x14ac:dyDescent="0.25">
      <c r="A9" s="202" t="str">
        <f>IPO監視一覧!H4</f>
        <v>A</v>
      </c>
      <c r="B9" s="43" t="str">
        <f>IPO監視一覧!B4</f>
        <v>ジェイテックコーポレーション</v>
      </c>
      <c r="C9" s="44">
        <f>IPO監視一覧!G4</f>
        <v>2250</v>
      </c>
      <c r="D9" s="45">
        <f>IPO監視一覧!O4</f>
        <v>43159</v>
      </c>
      <c r="E9" s="44">
        <f>IPO監視一覧!P4</f>
        <v>9700</v>
      </c>
      <c r="F9" s="46">
        <f t="shared" si="0"/>
        <v>593653.25</v>
      </c>
      <c r="G9" s="47">
        <f t="shared" ref="G9:G12" ca="1" si="2">NETWORKDAYS(D9,TODAY())</f>
        <v>139</v>
      </c>
      <c r="H9" s="53"/>
      <c r="I9" s="26"/>
      <c r="J9" s="26"/>
      <c r="K9" s="26"/>
      <c r="L9" s="26"/>
      <c r="M9" s="26"/>
      <c r="N9" s="48">
        <f t="shared" ref="N9:N13" si="3">(K9-I9)*J9-M9-L9</f>
        <v>0</v>
      </c>
    </row>
    <row r="10" spans="1:21" x14ac:dyDescent="0.25">
      <c r="A10" s="202" t="str">
        <f>IPO監視一覧!H5</f>
        <v>B</v>
      </c>
      <c r="B10" s="43" t="str">
        <f>IPO監視一覧!B5</f>
        <v>ＳＥＲＩＯＨＤ</v>
      </c>
      <c r="C10" s="44">
        <f>IPO監視一覧!G5</f>
        <v>1780</v>
      </c>
      <c r="D10" s="45">
        <f>IPO監視一覧!O5</f>
        <v>43161</v>
      </c>
      <c r="E10" s="44">
        <f>IPO監視一覧!P5</f>
        <v>4100</v>
      </c>
      <c r="F10" s="46">
        <f t="shared" si="0"/>
        <v>184869.19999999998</v>
      </c>
      <c r="G10" s="47">
        <f t="shared" ca="1" si="2"/>
        <v>137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2" t="str">
        <f>IPO監視一覧!H6</f>
        <v>C</v>
      </c>
      <c r="B11" s="43" t="str">
        <f>IPO監視一覧!B6</f>
        <v>神戸天然物化学</v>
      </c>
      <c r="C11" s="44">
        <f>IPO監視一覧!G6</f>
        <v>2340</v>
      </c>
      <c r="D11" s="45">
        <f>IPO監視一覧!O6</f>
        <v>43174</v>
      </c>
      <c r="E11" s="44">
        <f>IPO監視一覧!P6</f>
        <v>3665</v>
      </c>
      <c r="F11" s="46">
        <f t="shared" si="0"/>
        <v>105582.625</v>
      </c>
      <c r="G11" s="47">
        <f t="shared" ca="1" si="2"/>
        <v>128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2" t="str">
        <f>IPO監視一覧!H7</f>
        <v>D</v>
      </c>
      <c r="B12" s="43" t="str">
        <f>IPO監視一覧!B7</f>
        <v>日総工産</v>
      </c>
      <c r="C12" s="44">
        <f>IPO監視一覧!G7</f>
        <v>3250</v>
      </c>
      <c r="D12" s="45">
        <f>IPO監視一覧!O7</f>
        <v>43175</v>
      </c>
      <c r="E12" s="44">
        <f>IPO監視一覧!P7</f>
        <v>4020</v>
      </c>
      <c r="F12" s="46">
        <f t="shared" si="0"/>
        <v>61357.45</v>
      </c>
      <c r="G12" s="47">
        <f t="shared" ca="1" si="2"/>
        <v>127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2" t="str">
        <f>IPO監視一覧!H8</f>
        <v>B</v>
      </c>
      <c r="B13" s="43" t="str">
        <f>IPO監視一覧!B8</f>
        <v>フェイスネットワーク</v>
      </c>
      <c r="C13" s="44">
        <f>IPO監視一覧!G8</f>
        <v>1400</v>
      </c>
      <c r="D13" s="45">
        <f>IPO監視一覧!O8</f>
        <v>43175</v>
      </c>
      <c r="E13" s="44">
        <f>IPO監視一覧!P8</f>
        <v>3200</v>
      </c>
      <c r="F13" s="46">
        <f t="shared" si="0"/>
        <v>143433</v>
      </c>
      <c r="G13" s="47">
        <f ca="1">NETWORKDAYS(D13,TODAY())</f>
        <v>127</v>
      </c>
      <c r="H13" s="53"/>
      <c r="I13" s="26"/>
      <c r="J13" s="26"/>
      <c r="K13" s="26"/>
      <c r="L13" s="26"/>
      <c r="M13" s="26"/>
      <c r="N13" s="48">
        <f t="shared" si="3"/>
        <v>0</v>
      </c>
    </row>
    <row r="14" spans="1:21" x14ac:dyDescent="0.25">
      <c r="A14" s="202" t="str">
        <f>IPO監視一覧!H9</f>
        <v>C</v>
      </c>
      <c r="B14" s="49" t="str">
        <f>IPO監視一覧!B9</f>
        <v>共和コーポレーション</v>
      </c>
      <c r="C14" s="50">
        <f>IPO監視一覧!G9</f>
        <v>1590</v>
      </c>
      <c r="D14" s="52">
        <f>IPO監視一覧!O9</f>
        <v>43178</v>
      </c>
      <c r="E14" s="50">
        <f>IPO監視一覧!P9</f>
        <v>2511</v>
      </c>
      <c r="F14" s="193">
        <f>IF((E14-C14)&gt;0,(E14-C14)*100*0.79685,(E14-C14)*100)</f>
        <v>73389.884999999995</v>
      </c>
      <c r="G14" s="53">
        <f t="shared" ref="G14" ca="1" si="4">NETWORKDAYS(D14,TODAY())</f>
        <v>126</v>
      </c>
      <c r="H14" s="53"/>
      <c r="I14" s="194"/>
      <c r="J14" s="194"/>
      <c r="K14" s="194"/>
      <c r="L14" s="194"/>
      <c r="M14" s="194"/>
      <c r="N14" s="195">
        <f>(K14-I14)*J14-M14-L14</f>
        <v>0</v>
      </c>
      <c r="O14" s="37"/>
      <c r="P14" s="37"/>
      <c r="Q14" s="37"/>
      <c r="R14" s="37"/>
      <c r="S14" s="37"/>
    </row>
    <row r="15" spans="1:21" s="196" customFormat="1" x14ac:dyDescent="0.25">
      <c r="A15" s="202" t="str">
        <f>IPO監視一覧!H10</f>
        <v>D</v>
      </c>
      <c r="B15" s="49" t="str">
        <f>IPO監視一覧!B10</f>
        <v>信和</v>
      </c>
      <c r="C15" s="50">
        <f>IPO監視一覧!G10</f>
        <v>1150</v>
      </c>
      <c r="D15" s="52">
        <f>IPO監視一覧!O10</f>
        <v>43179</v>
      </c>
      <c r="E15" s="50">
        <f>IPO監視一覧!P10</f>
        <v>1106</v>
      </c>
      <c r="F15" s="193">
        <f>IF((E15-C15)&gt;0,(E15-C15)*100*0.79685,(E15-C15)*100)</f>
        <v>-4400</v>
      </c>
      <c r="G15" s="53">
        <f t="shared" ref="G15" ca="1" si="5">NETWORKDAYS(D15,TODAY())</f>
        <v>125</v>
      </c>
      <c r="H15" s="53"/>
      <c r="I15" s="194"/>
      <c r="J15" s="194"/>
      <c r="K15" s="194"/>
      <c r="L15" s="194"/>
      <c r="M15" s="194"/>
      <c r="N15" s="195">
        <f>(K15-I15)*J15-M15-L15</f>
        <v>0</v>
      </c>
    </row>
    <row r="16" spans="1:21" s="196" customFormat="1" x14ac:dyDescent="0.25">
      <c r="A16" s="202" t="str">
        <f>IPO監視一覧!H11</f>
        <v>D</v>
      </c>
      <c r="B16" s="49" t="str">
        <f>IPO監視一覧!B11</f>
        <v>ＳＯＵ</v>
      </c>
      <c r="C16" s="50">
        <f>IPO監視一覧!G11</f>
        <v>3300</v>
      </c>
      <c r="D16" s="52">
        <f>IPO監視一覧!O11</f>
        <v>43181</v>
      </c>
      <c r="E16" s="50">
        <f>IPO監視一覧!P11</f>
        <v>4100</v>
      </c>
      <c r="F16" s="193">
        <f t="shared" ref="F16:F42" si="6">IF((E16-C16)&gt;0,(E16-C16)*100*0.79685,(E16-C16)*100)</f>
        <v>63747.999999999993</v>
      </c>
      <c r="G16" s="53">
        <f t="shared" ref="G16:G42" ca="1" si="7">NETWORKDAYS(D16,TODAY())</f>
        <v>123</v>
      </c>
      <c r="H16" s="53"/>
      <c r="I16" s="194"/>
      <c r="J16" s="194"/>
      <c r="K16" s="194"/>
      <c r="L16" s="194"/>
      <c r="M16" s="194"/>
      <c r="N16" s="195">
        <f t="shared" ref="N16:N42" si="8">(K16-I16)*J16-M16-L16</f>
        <v>0</v>
      </c>
    </row>
    <row r="17" spans="1:14" s="196" customFormat="1" x14ac:dyDescent="0.25">
      <c r="A17" s="202" t="str">
        <f>IPO監視一覧!H12</f>
        <v>D</v>
      </c>
      <c r="B17" s="49" t="str">
        <f>IPO監視一覧!B12</f>
        <v>キュービーネットHD</v>
      </c>
      <c r="C17" s="50">
        <f>IPO監視一覧!G12</f>
        <v>2250</v>
      </c>
      <c r="D17" s="52">
        <f>IPO監視一覧!O12</f>
        <v>43182</v>
      </c>
      <c r="E17" s="50">
        <f>IPO監視一覧!P12</f>
        <v>2115</v>
      </c>
      <c r="F17" s="193">
        <f t="shared" si="6"/>
        <v>-13500</v>
      </c>
      <c r="G17" s="53">
        <f t="shared" ca="1" si="7"/>
        <v>122</v>
      </c>
      <c r="H17" s="53"/>
      <c r="I17" s="194"/>
      <c r="J17" s="194"/>
      <c r="K17" s="194"/>
      <c r="L17" s="194"/>
      <c r="M17" s="194"/>
      <c r="N17" s="195">
        <f t="shared" si="8"/>
        <v>0</v>
      </c>
    </row>
    <row r="18" spans="1:14" s="196" customFormat="1" x14ac:dyDescent="0.25">
      <c r="A18" s="202" t="str">
        <f>IPO監視一覧!H13</f>
        <v>B</v>
      </c>
      <c r="B18" s="49" t="str">
        <f>IPO監視一覧!B13</f>
        <v>ファイバーゲート</v>
      </c>
      <c r="C18" s="50">
        <f>IPO監視一覧!G13</f>
        <v>1050</v>
      </c>
      <c r="D18" s="52">
        <f>IPO監視一覧!O13</f>
        <v>43182</v>
      </c>
      <c r="E18" s="50">
        <f>IPO監視一覧!P13</f>
        <v>2388</v>
      </c>
      <c r="F18" s="193">
        <f t="shared" si="6"/>
        <v>106618.53</v>
      </c>
      <c r="G18" s="53">
        <f t="shared" ca="1" si="7"/>
        <v>122</v>
      </c>
      <c r="H18" s="53"/>
      <c r="I18" s="194"/>
      <c r="J18" s="194"/>
      <c r="K18" s="194"/>
      <c r="L18" s="194"/>
      <c r="M18" s="194"/>
      <c r="N18" s="195">
        <f t="shared" si="8"/>
        <v>0</v>
      </c>
    </row>
    <row r="19" spans="1:14" s="196" customFormat="1" x14ac:dyDescent="0.25">
      <c r="A19" s="202" t="str">
        <f>IPO監視一覧!H14</f>
        <v>B</v>
      </c>
      <c r="B19" s="49" t="str">
        <f>IPO監視一覧!B14</f>
        <v>ＲＰＡHD</v>
      </c>
      <c r="C19" s="50">
        <f>IPO監視一覧!G14</f>
        <v>3570</v>
      </c>
      <c r="D19" s="52">
        <f>IPO監視一覧!O14</f>
        <v>43186</v>
      </c>
      <c r="E19" s="50">
        <f>IPO監視一覧!P14</f>
        <v>14280</v>
      </c>
      <c r="F19" s="193">
        <f t="shared" si="6"/>
        <v>853426.35</v>
      </c>
      <c r="G19" s="53">
        <f t="shared" ca="1" si="7"/>
        <v>120</v>
      </c>
      <c r="H19" s="53"/>
      <c r="I19" s="194"/>
      <c r="J19" s="194"/>
      <c r="K19" s="194"/>
      <c r="L19" s="194"/>
      <c r="M19" s="194"/>
      <c r="N19" s="195">
        <f t="shared" si="8"/>
        <v>0</v>
      </c>
    </row>
    <row r="20" spans="1:14" s="196" customFormat="1" x14ac:dyDescent="0.25">
      <c r="A20" s="202" t="str">
        <f>IPO監視一覧!H15</f>
        <v>A</v>
      </c>
      <c r="B20" s="49" t="str">
        <f>IPO監視一覧!B15</f>
        <v>アジャイルメディア・ネットワーク</v>
      </c>
      <c r="C20" s="50">
        <f>IPO監視一覧!G15</f>
        <v>3000</v>
      </c>
      <c r="D20" s="52">
        <f>IPO監視一覧!O15</f>
        <v>43187</v>
      </c>
      <c r="E20" s="50">
        <f>IPO監視一覧!P15</f>
        <v>15470</v>
      </c>
      <c r="F20" s="193">
        <f t="shared" si="6"/>
        <v>993671.95</v>
      </c>
      <c r="G20" s="53">
        <f t="shared" ca="1" si="7"/>
        <v>119</v>
      </c>
      <c r="H20" s="53"/>
      <c r="I20" s="194"/>
      <c r="J20" s="194"/>
      <c r="K20" s="194"/>
      <c r="L20" s="194"/>
      <c r="M20" s="194"/>
      <c r="N20" s="195">
        <f t="shared" si="8"/>
        <v>0</v>
      </c>
    </row>
    <row r="21" spans="1:14" s="196" customFormat="1" x14ac:dyDescent="0.25">
      <c r="A21" s="202" t="str">
        <f>IPO監視一覧!H16</f>
        <v>B</v>
      </c>
      <c r="B21" s="49" t="str">
        <f>IPO監視一覧!B16</f>
        <v>アズ企画設計</v>
      </c>
      <c r="C21" s="50">
        <f>IPO監視一覧!G16</f>
        <v>2160</v>
      </c>
      <c r="D21" s="52">
        <f>IPO監視一覧!O16</f>
        <v>43188</v>
      </c>
      <c r="E21" s="50">
        <f>IPO監視一覧!P16</f>
        <v>4705</v>
      </c>
      <c r="F21" s="193">
        <f t="shared" si="6"/>
        <v>202798.32499999998</v>
      </c>
      <c r="G21" s="53">
        <f t="shared" ca="1" si="7"/>
        <v>118</v>
      </c>
      <c r="H21" s="53"/>
      <c r="I21" s="194"/>
      <c r="J21" s="194"/>
      <c r="K21" s="194"/>
      <c r="L21" s="194"/>
      <c r="M21" s="194"/>
      <c r="N21" s="195">
        <f t="shared" si="8"/>
        <v>0</v>
      </c>
    </row>
    <row r="22" spans="1:14" s="196" customFormat="1" x14ac:dyDescent="0.25">
      <c r="A22" s="202" t="str">
        <f>IPO監視一覧!H17</f>
        <v>A</v>
      </c>
      <c r="B22" s="49" t="str">
        <f>IPO監視一覧!B17</f>
        <v>和心</v>
      </c>
      <c r="C22" s="50">
        <f>IPO監視一覧!G17</f>
        <v>1700</v>
      </c>
      <c r="D22" s="52">
        <f>IPO監視一覧!O17</f>
        <v>43188</v>
      </c>
      <c r="E22" s="50">
        <f>IPO監視一覧!P17</f>
        <v>4555</v>
      </c>
      <c r="F22" s="193">
        <f t="shared" si="6"/>
        <v>227500.67499999999</v>
      </c>
      <c r="G22" s="53">
        <f t="shared" ca="1" si="7"/>
        <v>118</v>
      </c>
      <c r="H22" s="53"/>
      <c r="I22" s="194"/>
      <c r="J22" s="194"/>
      <c r="K22" s="194"/>
      <c r="L22" s="194"/>
      <c r="M22" s="194"/>
      <c r="N22" s="195">
        <f t="shared" si="8"/>
        <v>0</v>
      </c>
    </row>
    <row r="23" spans="1:14" s="196" customFormat="1" x14ac:dyDescent="0.25">
      <c r="A23" s="202" t="str">
        <f>IPO監視一覧!H18</f>
        <v>A</v>
      </c>
      <c r="B23" s="49" t="str">
        <f>IPO監視一覧!B18</f>
        <v>日本リビング保証</v>
      </c>
      <c r="C23" s="50">
        <f>IPO監視一覧!G18</f>
        <v>1760</v>
      </c>
      <c r="D23" s="52">
        <f>IPO監視一覧!O18</f>
        <v>43189</v>
      </c>
      <c r="E23" s="50">
        <f>IPO監視一覧!P18</f>
        <v>5100</v>
      </c>
      <c r="F23" s="193">
        <f t="shared" si="6"/>
        <v>266147.89999999997</v>
      </c>
      <c r="G23" s="53">
        <f t="shared" ca="1" si="7"/>
        <v>117</v>
      </c>
      <c r="H23" s="53"/>
      <c r="I23" s="194"/>
      <c r="J23" s="194"/>
      <c r="K23" s="194"/>
      <c r="L23" s="194"/>
      <c r="M23" s="194"/>
      <c r="N23" s="195">
        <f t="shared" si="8"/>
        <v>0</v>
      </c>
    </row>
    <row r="24" spans="1:14" s="196" customFormat="1" x14ac:dyDescent="0.25">
      <c r="A24" s="202" t="str">
        <f>IPO監視一覧!H19</f>
        <v>A</v>
      </c>
      <c r="B24" s="49" t="str">
        <f>IPO監視一覧!B19</f>
        <v>ブティックス</v>
      </c>
      <c r="C24" s="50">
        <f>IPO監視一覧!G19</f>
        <v>1350</v>
      </c>
      <c r="D24" s="52">
        <f>IPO監視一覧!O19</f>
        <v>43193</v>
      </c>
      <c r="E24" s="50">
        <f>IPO監視一覧!P19</f>
        <v>3210</v>
      </c>
      <c r="F24" s="193">
        <f t="shared" si="6"/>
        <v>148214.09999999998</v>
      </c>
      <c r="G24" s="53">
        <f t="shared" ca="1" si="7"/>
        <v>115</v>
      </c>
      <c r="H24" s="53"/>
      <c r="I24" s="194"/>
      <c r="J24" s="194"/>
      <c r="K24" s="194"/>
      <c r="L24" s="194"/>
      <c r="M24" s="194"/>
      <c r="N24" s="195">
        <f t="shared" si="8"/>
        <v>0</v>
      </c>
    </row>
    <row r="25" spans="1:14" s="196" customFormat="1" x14ac:dyDescent="0.25">
      <c r="A25" s="202" t="str">
        <f>IPO監視一覧!H20</f>
        <v>A</v>
      </c>
      <c r="B25" s="49" t="str">
        <f>IPO監視一覧!B20</f>
        <v>ビープラッツ</v>
      </c>
      <c r="C25" s="50">
        <f>IPO監視一覧!G20</f>
        <v>2200</v>
      </c>
      <c r="D25" s="52">
        <f>IPO監視一覧!O20</f>
        <v>43194</v>
      </c>
      <c r="E25" s="50">
        <f>IPO監視一覧!P20</f>
        <v>10000</v>
      </c>
      <c r="F25" s="193">
        <f t="shared" si="6"/>
        <v>621543</v>
      </c>
      <c r="G25" s="53">
        <f t="shared" ca="1" si="7"/>
        <v>114</v>
      </c>
      <c r="H25" s="53"/>
      <c r="I25" s="194"/>
      <c r="J25" s="194"/>
      <c r="K25" s="194"/>
      <c r="L25" s="194"/>
      <c r="M25" s="194"/>
      <c r="N25" s="195">
        <f t="shared" si="8"/>
        <v>0</v>
      </c>
    </row>
    <row r="26" spans="1:14" s="196" customFormat="1" x14ac:dyDescent="0.25">
      <c r="A26" s="202" t="str">
        <f>IPO監視一覧!H21</f>
        <v>A</v>
      </c>
      <c r="B26" s="49" t="str">
        <f>IPO監視一覧!B21</f>
        <v>ヒューマン・アソシエイツ・HD</v>
      </c>
      <c r="C26" s="50">
        <f>IPO監視一覧!G21</f>
        <v>1170</v>
      </c>
      <c r="D26" s="52">
        <f>IPO監視一覧!O21</f>
        <v>43200</v>
      </c>
      <c r="E26" s="50">
        <f>IPO監視一覧!P21</f>
        <v>3600</v>
      </c>
      <c r="F26" s="193">
        <f t="shared" si="6"/>
        <v>193634.55</v>
      </c>
      <c r="G26" s="53">
        <f t="shared" ca="1" si="7"/>
        <v>110</v>
      </c>
      <c r="H26" s="53"/>
      <c r="I26" s="194"/>
      <c r="J26" s="194"/>
      <c r="K26" s="194"/>
      <c r="L26" s="194"/>
      <c r="M26" s="194"/>
      <c r="N26" s="195">
        <f t="shared" si="8"/>
        <v>0</v>
      </c>
    </row>
    <row r="27" spans="1:14" s="196" customFormat="1" x14ac:dyDescent="0.25">
      <c r="A27" s="202" t="str">
        <f>IPO監視一覧!H22</f>
        <v>B</v>
      </c>
      <c r="B27" s="49" t="str">
        <f>IPO監視一覧!B22</f>
        <v>コンヴァノ</v>
      </c>
      <c r="C27" s="50">
        <f>IPO監視一覧!G22</f>
        <v>930</v>
      </c>
      <c r="D27" s="52">
        <f>IPO監視一覧!O22</f>
        <v>43201</v>
      </c>
      <c r="E27" s="50">
        <f>IPO監視一覧!P22</f>
        <v>2189</v>
      </c>
      <c r="F27" s="193">
        <f t="shared" si="6"/>
        <v>100323.41499999999</v>
      </c>
      <c r="G27" s="53">
        <f t="shared" ca="1" si="7"/>
        <v>109</v>
      </c>
      <c r="H27" s="53"/>
      <c r="I27" s="194"/>
      <c r="J27" s="194"/>
      <c r="K27" s="194"/>
      <c r="L27" s="194"/>
      <c r="M27" s="194"/>
      <c r="N27" s="195">
        <f t="shared" si="8"/>
        <v>0</v>
      </c>
    </row>
    <row r="28" spans="1:14" s="196" customFormat="1" x14ac:dyDescent="0.25">
      <c r="A28" s="202" t="str">
        <f>IPO監視一覧!H23</f>
        <v>A</v>
      </c>
      <c r="B28" s="49" t="str">
        <f>IPO監視一覧!B23</f>
        <v>ＨＥＲＯＺ</v>
      </c>
      <c r="C28" s="50">
        <f>IPO監視一覧!G23</f>
        <v>4500</v>
      </c>
      <c r="D28" s="52">
        <f>IPO監視一覧!O23</f>
        <v>43210</v>
      </c>
      <c r="E28" s="50">
        <f>IPO監視一覧!P23</f>
        <v>49000</v>
      </c>
      <c r="F28" s="193">
        <f t="shared" si="6"/>
        <v>3545982.4999999995</v>
      </c>
      <c r="G28" s="53">
        <f t="shared" ca="1" si="7"/>
        <v>102</v>
      </c>
      <c r="H28" s="53"/>
      <c r="I28" s="194"/>
      <c r="J28" s="194"/>
      <c r="K28" s="194"/>
      <c r="L28" s="194"/>
      <c r="M28" s="194"/>
      <c r="N28" s="195">
        <f t="shared" si="8"/>
        <v>0</v>
      </c>
    </row>
    <row r="29" spans="1:14" s="196" customFormat="1" x14ac:dyDescent="0.25">
      <c r="A29" s="202" t="str">
        <f>IPO監視一覧!H24</f>
        <v>A</v>
      </c>
      <c r="B29" s="49" t="str">
        <f>IPO監視一覧!B24</f>
        <v>ベストワンドットコム</v>
      </c>
      <c r="C29" s="50">
        <f>IPO監視一覧!G24</f>
        <v>4330</v>
      </c>
      <c r="D29" s="52">
        <f>IPO監視一覧!O24</f>
        <v>43215</v>
      </c>
      <c r="E29" s="50">
        <f>IPO監視一覧!P24</f>
        <v>14830</v>
      </c>
      <c r="F29" s="193">
        <f t="shared" si="6"/>
        <v>836692.5</v>
      </c>
      <c r="G29" s="53">
        <f t="shared" ca="1" si="7"/>
        <v>99</v>
      </c>
      <c r="H29" s="53"/>
      <c r="I29" s="194"/>
      <c r="J29" s="194"/>
      <c r="K29" s="194"/>
      <c r="L29" s="194"/>
      <c r="M29" s="194"/>
      <c r="N29" s="195">
        <f t="shared" si="8"/>
        <v>0</v>
      </c>
    </row>
    <row r="30" spans="1:14" s="196" customFormat="1" x14ac:dyDescent="0.25">
      <c r="A30" s="202" t="str">
        <f>IPO監視一覧!H25</f>
        <v>B</v>
      </c>
      <c r="B30" s="49" t="str">
        <f>IPO監視一覧!B25</f>
        <v>アイペット損害保険</v>
      </c>
      <c r="C30" s="50">
        <f>IPO監視一覧!G25</f>
        <v>2850</v>
      </c>
      <c r="D30" s="52">
        <f>IPO監視一覧!O25</f>
        <v>43215</v>
      </c>
      <c r="E30" s="50">
        <f>IPO監視一覧!P25</f>
        <v>4500</v>
      </c>
      <c r="F30" s="193">
        <f t="shared" si="6"/>
        <v>131480.25</v>
      </c>
      <c r="G30" s="53">
        <f t="shared" ca="1" si="7"/>
        <v>99</v>
      </c>
      <c r="H30" s="53"/>
      <c r="I30" s="194"/>
      <c r="J30" s="194"/>
      <c r="K30" s="194"/>
      <c r="L30" s="194"/>
      <c r="M30" s="194"/>
      <c r="N30" s="195">
        <f t="shared" si="8"/>
        <v>0</v>
      </c>
    </row>
    <row r="31" spans="1:14" s="196" customFormat="1" x14ac:dyDescent="0.25">
      <c r="A31" s="202" t="str">
        <f>IPO監視一覧!H26</f>
        <v>B</v>
      </c>
      <c r="B31" s="49" t="str">
        <f>IPO監視一覧!B26</f>
        <v>エヌリンクス</v>
      </c>
      <c r="C31" s="50">
        <f>IPO監視一覧!G26</f>
        <v>1810</v>
      </c>
      <c r="D31" s="52">
        <f>IPO監視一覧!O26</f>
        <v>43217</v>
      </c>
      <c r="E31" s="50">
        <f>IPO監視一覧!P26</f>
        <v>3780</v>
      </c>
      <c r="F31" s="193">
        <f t="shared" si="6"/>
        <v>156979.44999999998</v>
      </c>
      <c r="G31" s="53">
        <f t="shared" ca="1" si="7"/>
        <v>97</v>
      </c>
      <c r="H31" s="53"/>
      <c r="I31" s="194"/>
      <c r="J31" s="194"/>
      <c r="K31" s="194"/>
      <c r="L31" s="194"/>
      <c r="M31" s="194"/>
      <c r="N31" s="195">
        <f t="shared" si="8"/>
        <v>0</v>
      </c>
    </row>
    <row r="32" spans="1:14" s="196" customFormat="1" x14ac:dyDescent="0.25">
      <c r="A32" s="202" t="str">
        <f>IPO監視一覧!H27</f>
        <v>D</v>
      </c>
      <c r="B32" s="49" t="str">
        <f>IPO監視一覧!B27</f>
        <v>ラクスル</v>
      </c>
      <c r="C32" s="50">
        <f>IPO監視一覧!G27</f>
        <v>1500</v>
      </c>
      <c r="D32" s="52">
        <f>IPO監視一覧!O27</f>
        <v>43251</v>
      </c>
      <c r="E32" s="50">
        <f>IPO監視一覧!P27</f>
        <v>1645</v>
      </c>
      <c r="F32" s="193">
        <f t="shared" si="6"/>
        <v>11554.324999999999</v>
      </c>
      <c r="G32" s="53">
        <f t="shared" ca="1" si="7"/>
        <v>73</v>
      </c>
      <c r="H32" s="53"/>
      <c r="I32" s="194"/>
      <c r="J32" s="194"/>
      <c r="K32" s="194"/>
      <c r="L32" s="194"/>
      <c r="M32" s="194"/>
      <c r="N32" s="195">
        <f t="shared" si="8"/>
        <v>0</v>
      </c>
    </row>
    <row r="33" spans="1:14" s="196" customFormat="1" x14ac:dyDescent="0.25">
      <c r="A33" s="202" t="str">
        <f>IPO監視一覧!H28</f>
        <v>B</v>
      </c>
      <c r="B33" s="49" t="str">
        <f>IPO監視一覧!B28</f>
        <v>メルカリ</v>
      </c>
      <c r="C33" s="50">
        <f>IPO監視一覧!G28</f>
        <v>3000</v>
      </c>
      <c r="D33" s="52">
        <f>IPO監視一覧!O28</f>
        <v>43270</v>
      </c>
      <c r="E33" s="50">
        <f>IPO監視一覧!P28</f>
        <v>5000</v>
      </c>
      <c r="F33" s="193">
        <f t="shared" si="6"/>
        <v>159370</v>
      </c>
      <c r="G33" s="53">
        <f t="shared" ca="1" si="7"/>
        <v>60</v>
      </c>
      <c r="H33" s="53"/>
      <c r="I33" s="194"/>
      <c r="J33" s="194"/>
      <c r="K33" s="194"/>
      <c r="L33" s="194"/>
      <c r="M33" s="194"/>
      <c r="N33" s="195">
        <f t="shared" si="8"/>
        <v>0</v>
      </c>
    </row>
    <row r="34" spans="1:14" s="196" customFormat="1" x14ac:dyDescent="0.25">
      <c r="A34" s="202" t="str">
        <f>IPO監視一覧!H29</f>
        <v>A</v>
      </c>
      <c r="B34" s="49" t="str">
        <f>IPO監視一覧!B29</f>
        <v>ログリー</v>
      </c>
      <c r="C34" s="50">
        <f>IPO監視一覧!G29</f>
        <v>1860</v>
      </c>
      <c r="D34" s="52">
        <f>IPO監視一覧!O29</f>
        <v>43271</v>
      </c>
      <c r="E34" s="50">
        <f>IPO監視一覧!P29</f>
        <v>4635</v>
      </c>
      <c r="F34" s="193">
        <f t="shared" si="6"/>
        <v>221125.87499999997</v>
      </c>
      <c r="G34" s="53">
        <f t="shared" ca="1" si="7"/>
        <v>59</v>
      </c>
      <c r="H34" s="53"/>
      <c r="I34" s="194"/>
      <c r="J34" s="194"/>
      <c r="K34" s="194"/>
      <c r="L34" s="194"/>
      <c r="M34" s="194"/>
      <c r="N34" s="195">
        <f t="shared" si="8"/>
        <v>0</v>
      </c>
    </row>
    <row r="35" spans="1:14" s="196" customFormat="1" x14ac:dyDescent="0.25">
      <c r="A35" s="202" t="str">
        <f>IPO監視一覧!H30</f>
        <v>A</v>
      </c>
      <c r="B35" s="49" t="str">
        <f>IPO監視一覧!B30</f>
        <v>ＳＩＧ</v>
      </c>
      <c r="C35" s="50">
        <f>IPO監視一覧!G30</f>
        <v>2000</v>
      </c>
      <c r="D35" s="52">
        <f>IPO監視一覧!O30</f>
        <v>43272</v>
      </c>
      <c r="E35" s="50">
        <f>IPO監視一覧!P30</f>
        <v>4665</v>
      </c>
      <c r="F35" s="193">
        <f t="shared" si="6"/>
        <v>212360.52499999999</v>
      </c>
      <c r="G35" s="53">
        <f t="shared" ca="1" si="7"/>
        <v>58</v>
      </c>
      <c r="H35" s="53"/>
      <c r="I35" s="194"/>
      <c r="J35" s="194"/>
      <c r="K35" s="194"/>
      <c r="L35" s="194"/>
      <c r="M35" s="194"/>
      <c r="N35" s="195">
        <f t="shared" si="8"/>
        <v>0</v>
      </c>
    </row>
    <row r="36" spans="1:14" s="196" customFormat="1" x14ac:dyDescent="0.25">
      <c r="A36" s="202" t="str">
        <f>IPO監視一覧!H31</f>
        <v>C</v>
      </c>
      <c r="B36" s="49" t="str">
        <f>IPO監視一覧!B31</f>
        <v>コーア商事HD</v>
      </c>
      <c r="C36" s="50">
        <f>IPO監視一覧!G31</f>
        <v>2620</v>
      </c>
      <c r="D36" s="52">
        <f>IPO監視一覧!O31</f>
        <v>43272</v>
      </c>
      <c r="E36" s="50">
        <f>IPO監視一覧!P31</f>
        <v>4000</v>
      </c>
      <c r="F36" s="193">
        <f t="shared" si="6"/>
        <v>109965.29999999999</v>
      </c>
      <c r="G36" s="53">
        <f t="shared" ca="1" si="7"/>
        <v>58</v>
      </c>
      <c r="H36" s="53"/>
      <c r="I36" s="194"/>
      <c r="J36" s="194"/>
      <c r="K36" s="194"/>
      <c r="L36" s="194"/>
      <c r="M36" s="194"/>
      <c r="N36" s="195">
        <f t="shared" si="8"/>
        <v>0</v>
      </c>
    </row>
    <row r="37" spans="1:14" s="196" customFormat="1" x14ac:dyDescent="0.25">
      <c r="A37" s="202" t="str">
        <f>IPO監視一覧!H32</f>
        <v>A</v>
      </c>
      <c r="B37" s="49" t="str">
        <f>IPO監視一覧!B32</f>
        <v>ZUU</v>
      </c>
      <c r="C37" s="50">
        <f>IPO監視一覧!G32</f>
        <v>1600</v>
      </c>
      <c r="D37" s="52">
        <f>IPO監視一覧!O32</f>
        <v>43272</v>
      </c>
      <c r="E37" s="50">
        <f>IPO監視一覧!P32</f>
        <v>5550</v>
      </c>
      <c r="F37" s="193">
        <f t="shared" si="6"/>
        <v>314755.75</v>
      </c>
      <c r="G37" s="53">
        <f t="shared" ca="1" si="7"/>
        <v>58</v>
      </c>
      <c r="H37" s="53"/>
      <c r="I37" s="194"/>
      <c r="J37" s="194"/>
      <c r="K37" s="194"/>
      <c r="L37" s="194"/>
      <c r="M37" s="194"/>
      <c r="N37" s="195">
        <f t="shared" si="8"/>
        <v>0</v>
      </c>
    </row>
    <row r="38" spans="1:14" s="196" customFormat="1" x14ac:dyDescent="0.25">
      <c r="A38" s="202" t="str">
        <f>IPO監視一覧!H33</f>
        <v>B</v>
      </c>
      <c r="B38" s="49" t="str">
        <f>IPO監視一覧!B33</f>
        <v>ライトアップ</v>
      </c>
      <c r="C38" s="50">
        <f>IPO監視一覧!G33</f>
        <v>2820</v>
      </c>
      <c r="D38" s="52">
        <f>IPO監視一覧!O33</f>
        <v>43273</v>
      </c>
      <c r="E38" s="50">
        <f>IPO監視一覧!P33</f>
        <v>3725</v>
      </c>
      <c r="F38" s="193">
        <f t="shared" si="6"/>
        <v>72114.924999999988</v>
      </c>
      <c r="G38" s="53">
        <f t="shared" ca="1" si="7"/>
        <v>57</v>
      </c>
      <c r="H38" s="53"/>
      <c r="I38" s="194"/>
      <c r="J38" s="194"/>
      <c r="K38" s="194"/>
      <c r="L38" s="194"/>
      <c r="M38" s="194"/>
      <c r="N38" s="195">
        <f t="shared" si="8"/>
        <v>0</v>
      </c>
    </row>
    <row r="39" spans="1:14" s="196" customFormat="1" x14ac:dyDescent="0.25">
      <c r="A39" s="202" t="str">
        <f>IPO監視一覧!H34</f>
        <v>D</v>
      </c>
      <c r="B39" s="49" t="str">
        <f>IPO監視一覧!B34</f>
        <v>国際紙パルプ商事</v>
      </c>
      <c r="C39" s="50">
        <f>IPO監視一覧!G34</f>
        <v>344</v>
      </c>
      <c r="D39" s="52">
        <f>IPO監視一覧!O34</f>
        <v>43277</v>
      </c>
      <c r="E39" s="50">
        <f>IPO監視一覧!P34</f>
        <v>450</v>
      </c>
      <c r="F39" s="193">
        <f t="shared" si="6"/>
        <v>8446.6099999999988</v>
      </c>
      <c r="G39" s="53">
        <f t="shared" ca="1" si="7"/>
        <v>55</v>
      </c>
      <c r="H39" s="53"/>
      <c r="I39" s="194"/>
      <c r="J39" s="194"/>
      <c r="K39" s="194"/>
      <c r="L39" s="194"/>
      <c r="M39" s="194"/>
      <c r="N39" s="195">
        <f t="shared" si="8"/>
        <v>0</v>
      </c>
    </row>
    <row r="40" spans="1:14" s="196" customFormat="1" x14ac:dyDescent="0.25">
      <c r="A40" s="202" t="str">
        <f>IPO監視一覧!H35</f>
        <v>A</v>
      </c>
      <c r="B40" s="49" t="str">
        <f>IPO監視一覧!B35</f>
        <v>エーアイ</v>
      </c>
      <c r="C40" s="50">
        <f>IPO監視一覧!G35</f>
        <v>1000</v>
      </c>
      <c r="D40" s="52">
        <f>IPO監視一覧!O35</f>
        <v>43278</v>
      </c>
      <c r="E40" s="50">
        <f>IPO監視一覧!P35</f>
        <v>3500</v>
      </c>
      <c r="F40" s="193">
        <f t="shared" si="6"/>
        <v>199212.5</v>
      </c>
      <c r="G40" s="53">
        <f t="shared" ca="1" si="7"/>
        <v>54</v>
      </c>
      <c r="H40" s="53"/>
      <c r="I40" s="194"/>
      <c r="J40" s="194"/>
      <c r="K40" s="194"/>
      <c r="L40" s="194"/>
      <c r="M40" s="194"/>
      <c r="N40" s="195">
        <f t="shared" si="8"/>
        <v>0</v>
      </c>
    </row>
    <row r="41" spans="1:14" s="196" customFormat="1" x14ac:dyDescent="0.25">
      <c r="A41" s="202" t="str">
        <f>IPO監視一覧!H36</f>
        <v>A</v>
      </c>
      <c r="B41" s="49" t="str">
        <f>IPO監視一覧!B36</f>
        <v>プロパティデータバンク</v>
      </c>
      <c r="C41" s="50">
        <f>IPO監視一覧!G36</f>
        <v>1780</v>
      </c>
      <c r="D41" s="52">
        <f>IPO監視一覧!O36</f>
        <v>43278</v>
      </c>
      <c r="E41" s="50">
        <f>IPO監視一覧!P36</f>
        <v>4100</v>
      </c>
      <c r="F41" s="193">
        <f t="shared" si="6"/>
        <v>184869.19999999998</v>
      </c>
      <c r="G41" s="53">
        <f t="shared" ca="1" si="7"/>
        <v>54</v>
      </c>
      <c r="H41" s="53"/>
      <c r="I41" s="194"/>
      <c r="J41" s="194"/>
      <c r="K41" s="194"/>
      <c r="L41" s="194"/>
      <c r="M41" s="194"/>
      <c r="N41" s="195">
        <f t="shared" si="8"/>
        <v>0</v>
      </c>
    </row>
    <row r="42" spans="1:14" s="196" customFormat="1" x14ac:dyDescent="0.25">
      <c r="A42" s="202" t="str">
        <f>IPO監視一覧!H37</f>
        <v>B</v>
      </c>
      <c r="B42" s="49" t="str">
        <f>IPO監視一覧!B37</f>
        <v>IPS</v>
      </c>
      <c r="C42" s="50">
        <f>IPO監視一覧!G37</f>
        <v>3900</v>
      </c>
      <c r="D42" s="52">
        <f>IPO監視一覧!O37</f>
        <v>43278</v>
      </c>
      <c r="E42" s="50">
        <f>IPO監視一覧!P37</f>
        <v>6670</v>
      </c>
      <c r="F42" s="193">
        <f t="shared" si="6"/>
        <v>220727.44999999998</v>
      </c>
      <c r="G42" s="53">
        <f t="shared" ca="1" si="7"/>
        <v>54</v>
      </c>
      <c r="H42" s="53"/>
      <c r="I42" s="194"/>
      <c r="J42" s="194"/>
      <c r="K42" s="194"/>
      <c r="L42" s="194"/>
      <c r="M42" s="194"/>
      <c r="N42" s="195">
        <f t="shared" si="8"/>
        <v>0</v>
      </c>
    </row>
    <row r="43" spans="1:14" s="196" customFormat="1" x14ac:dyDescent="0.25">
      <c r="A43" s="202" t="str">
        <f>IPO監視一覧!H38</f>
        <v>D</v>
      </c>
      <c r="B43" s="49" t="str">
        <f>IPO監視一覧!B38</f>
        <v>スプリックス</v>
      </c>
      <c r="C43" s="50">
        <f>IPO監視一覧!G38</f>
        <v>2400</v>
      </c>
      <c r="D43" s="52">
        <f>IPO監視一覧!O38</f>
        <v>43280</v>
      </c>
      <c r="E43" s="50">
        <f>IPO監視一覧!P38</f>
        <v>2587</v>
      </c>
      <c r="F43" s="193">
        <f t="shared" ref="F43:F45" si="9">IF((E43-C43)&gt;0,(E43-C43)*100*0.79685,(E43-C43)*100)</f>
        <v>14901.094999999999</v>
      </c>
      <c r="G43" s="53">
        <f t="shared" ref="G43:G45" ca="1" si="10">NETWORKDAYS(D43,TODAY())</f>
        <v>52</v>
      </c>
      <c r="H43" s="53"/>
      <c r="I43" s="194"/>
      <c r="J43" s="194"/>
      <c r="K43" s="194"/>
      <c r="L43" s="194"/>
      <c r="M43" s="194"/>
      <c r="N43" s="195">
        <f t="shared" ref="N43:N45" si="11">(K43-I43)*J43-M43-L43</f>
        <v>0</v>
      </c>
    </row>
    <row r="44" spans="1:14" s="196" customFormat="1" x14ac:dyDescent="0.25">
      <c r="A44" s="202" t="str">
        <f>IPO監視一覧!H39</f>
        <v>A</v>
      </c>
      <c r="B44" s="49" t="str">
        <f>IPO監視一覧!B39</f>
        <v>ロジザード</v>
      </c>
      <c r="C44" s="50">
        <f>IPO監視一覧!G39</f>
        <v>900</v>
      </c>
      <c r="D44" s="52">
        <f>IPO監視一覧!O39</f>
        <v>43285</v>
      </c>
      <c r="E44" s="50">
        <f>IPO監視一覧!P39</f>
        <v>2500</v>
      </c>
      <c r="F44" s="193">
        <f t="shared" si="9"/>
        <v>127495.99999999999</v>
      </c>
      <c r="G44" s="53">
        <f t="shared" ca="1" si="10"/>
        <v>49</v>
      </c>
      <c r="H44" s="53"/>
      <c r="I44" s="194"/>
      <c r="J44" s="194"/>
      <c r="K44" s="194"/>
      <c r="L44" s="194"/>
      <c r="M44" s="194"/>
      <c r="N44" s="195">
        <f t="shared" si="11"/>
        <v>0</v>
      </c>
    </row>
    <row r="45" spans="1:14" s="196" customFormat="1" x14ac:dyDescent="0.25">
      <c r="A45" s="202" t="str">
        <f>IPO監視一覧!H40</f>
        <v>A</v>
      </c>
      <c r="B45" s="49" t="str">
        <f>IPO監視一覧!B40</f>
        <v>キャンディル</v>
      </c>
      <c r="C45" s="50">
        <f>IPO監視一覧!G40</f>
        <v>1180</v>
      </c>
      <c r="D45" s="52">
        <f>IPO監視一覧!O40</f>
        <v>43286</v>
      </c>
      <c r="E45" s="50">
        <f>IPO監視一覧!P40</f>
        <v>1800</v>
      </c>
      <c r="F45" s="193">
        <f t="shared" si="9"/>
        <v>49404.7</v>
      </c>
      <c r="G45" s="53">
        <f t="shared" ca="1" si="10"/>
        <v>48</v>
      </c>
      <c r="H45" s="53"/>
      <c r="I45" s="194"/>
      <c r="J45" s="194"/>
      <c r="K45" s="194"/>
      <c r="L45" s="194"/>
      <c r="M45" s="194"/>
      <c r="N45" s="195">
        <f t="shared" si="11"/>
        <v>0</v>
      </c>
    </row>
    <row r="46" spans="1:14" s="196" customFormat="1" x14ac:dyDescent="0.25">
      <c r="A46" s="202" t="str">
        <f>IPO監視一覧!H41</f>
        <v>C</v>
      </c>
      <c r="B46" s="49" t="str">
        <f>IPO監視一覧!B41</f>
        <v>ＭＴＧ</v>
      </c>
      <c r="C46" s="50">
        <f>IPO監視一覧!G41</f>
        <v>5800</v>
      </c>
      <c r="D46" s="52">
        <f>IPO監視一覧!O41</f>
        <v>43291</v>
      </c>
      <c r="E46" s="50">
        <f>IPO監視一覧!P41</f>
        <v>7050</v>
      </c>
      <c r="F46" s="193">
        <f t="shared" ref="F46:F51" si="12">IF((E46-C46)&gt;0,(E46-C46)*100*0.79685,(E46-C46)*100)</f>
        <v>99606.25</v>
      </c>
      <c r="G46" s="53">
        <f t="shared" ref="G46:G51" ca="1" si="13">NETWORKDAYS(D46,TODAY())</f>
        <v>45</v>
      </c>
      <c r="H46" s="53"/>
      <c r="I46" s="194"/>
      <c r="J46" s="194"/>
      <c r="K46" s="194"/>
      <c r="L46" s="194"/>
      <c r="M46" s="194"/>
      <c r="N46" s="195">
        <f t="shared" ref="N46:N51" si="14">(K46-I46)*J46-M46-L46</f>
        <v>0</v>
      </c>
    </row>
    <row r="47" spans="1:14" s="196" customFormat="1" x14ac:dyDescent="0.25">
      <c r="A47" s="202" t="str">
        <f>IPO監視一覧!H42</f>
        <v>A</v>
      </c>
      <c r="B47" s="49" t="str">
        <f>IPO監視一覧!B42</f>
        <v>マネジメントソリューションズ</v>
      </c>
      <c r="C47" s="50">
        <f>IPO監視一覧!G42</f>
        <v>2100</v>
      </c>
      <c r="D47" s="52">
        <f>IPO監視一覧!O42</f>
        <v>43304</v>
      </c>
      <c r="E47" s="50">
        <f>IPO監視一覧!P42</f>
        <v>4500</v>
      </c>
      <c r="F47" s="193">
        <f t="shared" si="12"/>
        <v>191244</v>
      </c>
      <c r="G47" s="53">
        <f t="shared" ca="1" si="13"/>
        <v>36</v>
      </c>
      <c r="H47" s="53"/>
      <c r="I47" s="194"/>
      <c r="J47" s="194"/>
      <c r="K47" s="194"/>
      <c r="L47" s="194"/>
      <c r="M47" s="194"/>
      <c r="N47" s="195">
        <f t="shared" si="14"/>
        <v>0</v>
      </c>
    </row>
    <row r="48" spans="1:14" s="196" customFormat="1" x14ac:dyDescent="0.25">
      <c r="A48" s="202" t="str">
        <f>IPO監視一覧!H43</f>
        <v>A</v>
      </c>
      <c r="B48" s="49" t="str">
        <f>IPO監視一覧!B43</f>
        <v>バンク・オブ・イノベーション</v>
      </c>
      <c r="C48" s="50">
        <f>IPO監視一覧!G43</f>
        <v>960</v>
      </c>
      <c r="D48" s="52">
        <f>IPO監視一覧!O43</f>
        <v>43305</v>
      </c>
      <c r="E48" s="50">
        <f>IPO監視一覧!P43</f>
        <v>2000</v>
      </c>
      <c r="F48" s="193">
        <f t="shared" si="12"/>
        <v>82872.399999999994</v>
      </c>
      <c r="G48" s="53">
        <f t="shared" ca="1" si="13"/>
        <v>35</v>
      </c>
      <c r="H48" s="53"/>
      <c r="I48" s="194"/>
      <c r="J48" s="194"/>
      <c r="K48" s="194"/>
      <c r="L48" s="194"/>
      <c r="M48" s="194"/>
      <c r="N48" s="195">
        <f t="shared" si="14"/>
        <v>0</v>
      </c>
    </row>
    <row r="49" spans="1:14" s="196" customFormat="1" x14ac:dyDescent="0.25">
      <c r="A49" s="202" t="str">
        <f>IPO監視一覧!H44</f>
        <v>A</v>
      </c>
      <c r="B49" s="49" t="str">
        <f>IPO監視一覧!B44</f>
        <v>ga technologies</v>
      </c>
      <c r="C49" s="50">
        <f>IPO監視一覧!G44</f>
        <v>2510</v>
      </c>
      <c r="D49" s="52">
        <f>IPO監視一覧!O44</f>
        <v>43306</v>
      </c>
      <c r="E49" s="50">
        <f>IPO監視一覧!P44</f>
        <v>5780</v>
      </c>
      <c r="F49" s="193">
        <f t="shared" si="12"/>
        <v>260569.94999999998</v>
      </c>
      <c r="G49" s="53">
        <f t="shared" ca="1" si="13"/>
        <v>34</v>
      </c>
      <c r="H49" s="53"/>
      <c r="I49" s="194"/>
      <c r="J49" s="194"/>
      <c r="K49" s="194"/>
      <c r="L49" s="194"/>
      <c r="M49" s="194"/>
      <c r="N49" s="195">
        <f t="shared" si="14"/>
        <v>0</v>
      </c>
    </row>
    <row r="50" spans="1:14" s="196" customFormat="1" x14ac:dyDescent="0.25">
      <c r="A50" s="202" t="str">
        <f>IPO監視一覧!H45</f>
        <v>B</v>
      </c>
      <c r="B50" s="49" t="str">
        <f>IPO監視一覧!B45</f>
        <v>エクスモーション</v>
      </c>
      <c r="C50" s="50">
        <f>IPO監視一覧!G45</f>
        <v>3340</v>
      </c>
      <c r="D50" s="52">
        <f>IPO監視一覧!O45</f>
        <v>43307</v>
      </c>
      <c r="E50" s="50">
        <f>IPO監視一覧!P45</f>
        <v>5000</v>
      </c>
      <c r="F50" s="193">
        <f t="shared" si="12"/>
        <v>132277.09999999998</v>
      </c>
      <c r="G50" s="53">
        <f t="shared" ca="1" si="13"/>
        <v>33</v>
      </c>
      <c r="H50" s="53"/>
      <c r="I50" s="194"/>
      <c r="J50" s="194"/>
      <c r="K50" s="194"/>
      <c r="L50" s="194"/>
      <c r="M50" s="194"/>
      <c r="N50" s="195">
        <f t="shared" si="14"/>
        <v>0</v>
      </c>
    </row>
    <row r="51" spans="1:14" s="196" customFormat="1" x14ac:dyDescent="0.25">
      <c r="A51" s="202" t="str">
        <f>IPO監視一覧!H46</f>
        <v>A</v>
      </c>
      <c r="B51" s="49" t="str">
        <f>IPO監視一覧!B46</f>
        <v>アクリート</v>
      </c>
      <c r="C51" s="50">
        <f>IPO監視一覧!G46</f>
        <v>770</v>
      </c>
      <c r="D51" s="52">
        <f>IPO監視一覧!O46</f>
        <v>43307</v>
      </c>
      <c r="E51" s="50">
        <f>IPO監視一覧!P46</f>
        <v>1542</v>
      </c>
      <c r="F51" s="193">
        <f t="shared" si="12"/>
        <v>61516.819999999992</v>
      </c>
      <c r="G51" s="53">
        <f t="shared" ca="1" si="13"/>
        <v>33</v>
      </c>
      <c r="H51" s="53"/>
      <c r="I51" s="194"/>
      <c r="J51" s="194"/>
      <c r="K51" s="194"/>
      <c r="L51" s="194"/>
      <c r="M51" s="194"/>
      <c r="N51" s="195">
        <f t="shared" si="14"/>
        <v>0</v>
      </c>
    </row>
    <row r="52" spans="1:14" s="196" customFormat="1" x14ac:dyDescent="0.25">
      <c r="A52" s="202" t="str">
        <f>IPO監視一覧!H47</f>
        <v>B</v>
      </c>
      <c r="B52" s="49" t="str">
        <f>IPO監視一覧!B47</f>
        <v>プロレド・パートナーズ</v>
      </c>
      <c r="C52" s="50">
        <f>IPO監視一覧!G47</f>
        <v>4250</v>
      </c>
      <c r="D52" s="52">
        <f>IPO監視一覧!O47</f>
        <v>43308</v>
      </c>
      <c r="E52" s="50">
        <f>IPO監視一覧!P47</f>
        <v>7170</v>
      </c>
      <c r="F52" s="193">
        <f t="shared" ref="F52:F63" si="15">IF((E52-C52)&gt;0,(E52-C52)*100*0.79685,(E52-C52)*100)</f>
        <v>232680.19999999998</v>
      </c>
      <c r="G52" s="53">
        <f t="shared" ref="G52:G63" ca="1" si="16">NETWORKDAYS(D52,TODAY())</f>
        <v>32</v>
      </c>
      <c r="H52" s="53"/>
      <c r="I52" s="194"/>
      <c r="J52" s="194"/>
      <c r="K52" s="194"/>
      <c r="L52" s="194"/>
      <c r="M52" s="194"/>
      <c r="N52" s="195">
        <f t="shared" ref="N52:N63" si="17">(K52-I52)*J52-M52-L52</f>
        <v>0</v>
      </c>
    </row>
    <row r="53" spans="1:14" s="196" customFormat="1" x14ac:dyDescent="0.25">
      <c r="A53" s="202" t="str">
        <f>IPO監視一覧!H48</f>
        <v>A</v>
      </c>
      <c r="B53" s="49" t="str">
        <f>IPO監視一覧!B48</f>
        <v>システムサポート</v>
      </c>
      <c r="C53" s="50">
        <f>IPO監視一覧!G48</f>
        <v>1750</v>
      </c>
      <c r="D53" s="52">
        <f>IPO監視一覧!O48</f>
        <v>43314</v>
      </c>
      <c r="E53" s="50">
        <f>IPO監視一覧!P48</f>
        <v>4000</v>
      </c>
      <c r="F53" s="193">
        <f t="shared" si="15"/>
        <v>179291.25</v>
      </c>
      <c r="G53" s="53">
        <f t="shared" ca="1" si="16"/>
        <v>28</v>
      </c>
      <c r="H53" s="53"/>
      <c r="I53" s="194"/>
      <c r="J53" s="194"/>
      <c r="K53" s="194"/>
      <c r="L53" s="194"/>
      <c r="M53" s="194"/>
      <c r="N53" s="195">
        <f t="shared" si="17"/>
        <v>0</v>
      </c>
    </row>
    <row r="54" spans="1:14" s="196" customFormat="1" x14ac:dyDescent="0.25">
      <c r="A54" s="202" t="str">
        <f>IPO監視一覧!H49</f>
        <v>C</v>
      </c>
      <c r="B54" s="49" t="str">
        <f>IPO監視一覧!B49</f>
        <v>イボキン</v>
      </c>
      <c r="C54" s="50">
        <f>IPO監視一覧!G49</f>
        <v>1930</v>
      </c>
      <c r="D54" s="52">
        <f>IPO監視一覧!O49</f>
        <v>43314</v>
      </c>
      <c r="E54" s="50">
        <f>IPO監視一覧!P49</f>
        <v>2310</v>
      </c>
      <c r="F54" s="193">
        <f t="shared" si="15"/>
        <v>30280.3</v>
      </c>
      <c r="G54" s="53">
        <f t="shared" ca="1" si="16"/>
        <v>28</v>
      </c>
      <c r="H54" s="53"/>
      <c r="I54" s="194"/>
      <c r="J54" s="194"/>
      <c r="K54" s="194"/>
      <c r="L54" s="194"/>
      <c r="M54" s="194"/>
      <c r="N54" s="195">
        <f t="shared" si="17"/>
        <v>0</v>
      </c>
    </row>
    <row r="55" spans="1:14" s="196" customFormat="1" x14ac:dyDescent="0.25">
      <c r="A55" s="202" t="str">
        <f>IPO監視一覧!H50</f>
        <v>A</v>
      </c>
      <c r="B55" s="49" t="str">
        <f>IPO監視一覧!B50</f>
        <v>チームスピリット</v>
      </c>
      <c r="C55" s="50">
        <f>IPO監視一覧!G50</f>
        <v>1200</v>
      </c>
      <c r="D55" s="52">
        <f>IPO監視一覧!O50</f>
        <v>43334</v>
      </c>
      <c r="E55" s="50">
        <f>IPO監視一覧!P50</f>
        <v>2417</v>
      </c>
      <c r="F55" s="193">
        <f t="shared" si="15"/>
        <v>96976.64499999999</v>
      </c>
      <c r="G55" s="53">
        <f t="shared" ca="1" si="16"/>
        <v>14</v>
      </c>
      <c r="H55" s="53"/>
      <c r="I55" s="194"/>
      <c r="J55" s="194"/>
      <c r="K55" s="194"/>
      <c r="L55" s="194"/>
      <c r="M55" s="194"/>
      <c r="N55" s="195">
        <f t="shared" si="17"/>
        <v>0</v>
      </c>
    </row>
    <row r="56" spans="1:14" s="196" customFormat="1" x14ac:dyDescent="0.25">
      <c r="A56" s="202" t="str">
        <f>IPO監視一覧!H51</f>
        <v>A</v>
      </c>
      <c r="B56" s="49" t="str">
        <f>IPO監視一覧!B51</f>
        <v>and factory</v>
      </c>
      <c r="C56" s="50">
        <f>IPO監視一覧!G51</f>
        <v>2570</v>
      </c>
      <c r="D56" s="52">
        <f>IPO監視一覧!O51</f>
        <v>43349</v>
      </c>
      <c r="E56" s="50">
        <f>IPO監視一覧!P51</f>
        <v>4010</v>
      </c>
      <c r="F56" s="193">
        <f t="shared" si="15"/>
        <v>114746.4</v>
      </c>
      <c r="G56" s="53">
        <f t="shared" ca="1" si="16"/>
        <v>3</v>
      </c>
      <c r="H56" s="53"/>
      <c r="I56" s="194"/>
      <c r="J56" s="194"/>
      <c r="K56" s="194"/>
      <c r="L56" s="194"/>
      <c r="M56" s="194"/>
      <c r="N56" s="195">
        <f t="shared" si="17"/>
        <v>0</v>
      </c>
    </row>
    <row r="57" spans="1:14" s="196" customFormat="1" x14ac:dyDescent="0.25">
      <c r="A57" s="202" t="str">
        <f>IPO監視一覧!H52</f>
        <v>D</v>
      </c>
      <c r="B57" s="49" t="str">
        <f>IPO監視一覧!B52</f>
        <v>ナルミヤ・インターナショナル</v>
      </c>
      <c r="C57" s="50">
        <f>IPO監視一覧!G52</f>
        <v>1560</v>
      </c>
      <c r="D57" s="52">
        <f>IPO監視一覧!O52</f>
        <v>43349</v>
      </c>
      <c r="E57" s="50">
        <f>IPO監視一覧!P52</f>
        <v>1501</v>
      </c>
      <c r="F57" s="193">
        <f t="shared" si="15"/>
        <v>-5900</v>
      </c>
      <c r="G57" s="53">
        <f t="shared" ca="1" si="16"/>
        <v>3</v>
      </c>
      <c r="H57" s="53"/>
      <c r="I57" s="194"/>
      <c r="J57" s="194"/>
      <c r="K57" s="194"/>
      <c r="L57" s="194"/>
      <c r="M57" s="194"/>
      <c r="N57" s="195">
        <f t="shared" si="17"/>
        <v>0</v>
      </c>
    </row>
    <row r="58" spans="1:14" s="196" customFormat="1" x14ac:dyDescent="0.25">
      <c r="A58" s="202" t="str">
        <f>IPO監視一覧!H53</f>
        <v>A</v>
      </c>
      <c r="B58" s="49" t="str">
        <f>IPO監視一覧!B53</f>
        <v>マリオン</v>
      </c>
      <c r="C58" s="50">
        <f>IPO監視一覧!G53</f>
        <v>2380</v>
      </c>
      <c r="D58" s="52">
        <f>IPO監視一覧!O53</f>
        <v>43356</v>
      </c>
      <c r="E58" s="50">
        <f>IPO監視一覧!P53</f>
        <v>0</v>
      </c>
      <c r="F58" s="193">
        <f t="shared" si="15"/>
        <v>-238000</v>
      </c>
      <c r="G58" s="53">
        <f t="shared" ca="1" si="16"/>
        <v>-4</v>
      </c>
      <c r="H58" s="53"/>
      <c r="I58" s="194"/>
      <c r="J58" s="194"/>
      <c r="K58" s="194"/>
      <c r="L58" s="194"/>
      <c r="M58" s="194"/>
      <c r="N58" s="195">
        <f t="shared" si="17"/>
        <v>0</v>
      </c>
    </row>
    <row r="59" spans="1:14" s="196" customFormat="1" x14ac:dyDescent="0.25">
      <c r="A59" s="202" t="str">
        <f>IPO監視一覧!H54</f>
        <v>C</v>
      </c>
      <c r="B59" s="49" t="str">
        <f>IPO監視一覧!B54</f>
        <v>香陵住販</v>
      </c>
      <c r="C59" s="50">
        <f>IPO監視一覧!G54</f>
        <v>1700</v>
      </c>
      <c r="D59" s="52">
        <f>IPO監視一覧!O54</f>
        <v>43356</v>
      </c>
      <c r="E59" s="50">
        <f>IPO監視一覧!P54</f>
        <v>0</v>
      </c>
      <c r="F59" s="193">
        <f t="shared" si="15"/>
        <v>-170000</v>
      </c>
      <c r="G59" s="53">
        <f t="shared" ca="1" si="16"/>
        <v>-4</v>
      </c>
      <c r="H59" s="53"/>
      <c r="I59" s="194"/>
      <c r="J59" s="194"/>
      <c r="K59" s="194"/>
      <c r="L59" s="194"/>
      <c r="M59" s="194"/>
      <c r="N59" s="195">
        <f t="shared" si="17"/>
        <v>0</v>
      </c>
    </row>
    <row r="60" spans="1:14" s="196" customFormat="1" x14ac:dyDescent="0.25">
      <c r="A60" s="202" t="str">
        <f>IPO監視一覧!H55</f>
        <v>A</v>
      </c>
      <c r="B60" s="49" t="str">
        <f>IPO監視一覧!B55</f>
        <v>アズーム</v>
      </c>
      <c r="C60" s="50">
        <f>IPO監視一覧!G55</f>
        <v>3000</v>
      </c>
      <c r="D60" s="52">
        <f>IPO監視一覧!O55</f>
        <v>43363</v>
      </c>
      <c r="E60" s="50">
        <f>IPO監視一覧!P55</f>
        <v>0</v>
      </c>
      <c r="F60" s="193">
        <f t="shared" si="15"/>
        <v>-300000</v>
      </c>
      <c r="G60" s="53">
        <f t="shared" ca="1" si="16"/>
        <v>-9</v>
      </c>
      <c r="H60" s="53"/>
      <c r="I60" s="194"/>
      <c r="J60" s="194"/>
      <c r="K60" s="194"/>
      <c r="L60" s="194"/>
      <c r="M60" s="194"/>
      <c r="N60" s="195">
        <f t="shared" si="17"/>
        <v>0</v>
      </c>
    </row>
    <row r="61" spans="1:14" s="196" customFormat="1" x14ac:dyDescent="0.25">
      <c r="A61" s="202" t="str">
        <f>IPO監視一覧!H56</f>
        <v>C</v>
      </c>
      <c r="B61" s="49" t="str">
        <f>IPO監視一覧!B56</f>
        <v>テノ．HD</v>
      </c>
      <c r="C61" s="50">
        <f>IPO監視一覧!G56</f>
        <v>4600</v>
      </c>
      <c r="D61" s="52">
        <f>IPO監視一覧!O56</f>
        <v>43363</v>
      </c>
      <c r="E61" s="50">
        <f>IPO監視一覧!P56</f>
        <v>0</v>
      </c>
      <c r="F61" s="193">
        <f t="shared" si="15"/>
        <v>-460000</v>
      </c>
      <c r="G61" s="53">
        <f t="shared" ca="1" si="16"/>
        <v>-9</v>
      </c>
      <c r="H61" s="53"/>
      <c r="I61" s="194"/>
      <c r="J61" s="194"/>
      <c r="K61" s="194"/>
      <c r="L61" s="194"/>
      <c r="M61" s="194"/>
      <c r="N61" s="195">
        <f t="shared" si="17"/>
        <v>0</v>
      </c>
    </row>
    <row r="62" spans="1:14" s="196" customFormat="1" x14ac:dyDescent="0.25">
      <c r="A62" s="202" t="str">
        <f>IPO監視一覧!H57</f>
        <v>B</v>
      </c>
      <c r="B62" s="49" t="str">
        <f>IPO監視一覧!B57</f>
        <v>イーエムネットジャパン</v>
      </c>
      <c r="C62" s="50">
        <f>IPO監視一覧!G57</f>
        <v>3000</v>
      </c>
      <c r="D62" s="52">
        <f>IPO監視一覧!O57</f>
        <v>43364</v>
      </c>
      <c r="E62" s="50">
        <f>IPO監視一覧!P57</f>
        <v>0</v>
      </c>
      <c r="F62" s="193">
        <f t="shared" si="15"/>
        <v>-300000</v>
      </c>
      <c r="G62" s="53">
        <f t="shared" ca="1" si="16"/>
        <v>-10</v>
      </c>
      <c r="H62" s="53"/>
      <c r="I62" s="194"/>
      <c r="J62" s="194"/>
      <c r="K62" s="194"/>
      <c r="L62" s="194"/>
      <c r="M62" s="194"/>
      <c r="N62" s="195">
        <f t="shared" si="17"/>
        <v>0</v>
      </c>
    </row>
    <row r="63" spans="1:14" s="196" customFormat="1" x14ac:dyDescent="0.25">
      <c r="A63" s="202" t="str">
        <f>IPO監視一覧!H58</f>
        <v>B</v>
      </c>
      <c r="B63" s="49" t="str">
        <f>IPO監視一覧!B58</f>
        <v>アイリックコーポレーション</v>
      </c>
      <c r="C63" s="50">
        <f>IPO監視一覧!G58</f>
        <v>1770</v>
      </c>
      <c r="D63" s="52">
        <f>IPO監視一覧!O58</f>
        <v>43368</v>
      </c>
      <c r="E63" s="50">
        <f>IPO監視一覧!P58</f>
        <v>0</v>
      </c>
      <c r="F63" s="193">
        <f t="shared" si="15"/>
        <v>-177000</v>
      </c>
      <c r="G63" s="53">
        <f t="shared" ca="1" si="16"/>
        <v>-12</v>
      </c>
      <c r="H63" s="53"/>
      <c r="I63" s="194"/>
      <c r="J63" s="194"/>
      <c r="K63" s="194"/>
      <c r="L63" s="194"/>
      <c r="M63" s="194"/>
      <c r="N63" s="195">
        <f t="shared" si="17"/>
        <v>0</v>
      </c>
    </row>
    <row r="64" spans="1:14" s="196" customFormat="1" x14ac:dyDescent="0.25">
      <c r="A64" s="202" t="str">
        <f>IPO監視一覧!H59</f>
        <v>A</v>
      </c>
      <c r="B64" s="49" t="str">
        <f>IPO監視一覧!B59</f>
        <v>ブロードバンドセキュリティ</v>
      </c>
      <c r="C64" s="50">
        <f>IPO監視一覧!G59</f>
        <v>750</v>
      </c>
      <c r="D64" s="52">
        <f>IPO監視一覧!O59</f>
        <v>43369</v>
      </c>
      <c r="E64" s="50">
        <f>IPO監視一覧!P59</f>
        <v>0</v>
      </c>
      <c r="F64" s="193">
        <f t="shared" ref="F64:F76" si="18">IF((E64-C64)&gt;0,(E64-C64)*100*0.79685,(E64-C64)*100)</f>
        <v>-75000</v>
      </c>
      <c r="G64" s="53">
        <f t="shared" ref="G64:G76" ca="1" si="19">NETWORKDAYS(D64,TODAY())</f>
        <v>-13</v>
      </c>
      <c r="H64" s="53"/>
      <c r="I64" s="194"/>
      <c r="J64" s="194"/>
      <c r="K64" s="194"/>
      <c r="L64" s="194"/>
      <c r="M64" s="194"/>
      <c r="N64" s="195">
        <f t="shared" ref="N64:N76" si="20">(K64-I64)*J64-M64-L64</f>
        <v>0</v>
      </c>
    </row>
    <row r="65" spans="1:14" s="196" customFormat="1" x14ac:dyDescent="0.25">
      <c r="A65" s="202" t="str">
        <f>IPO監視一覧!H60</f>
        <v>C</v>
      </c>
      <c r="B65" s="49" t="str">
        <f>IPO監視一覧!B60</f>
        <v>極東産機</v>
      </c>
      <c r="C65" s="50">
        <f>IPO監視一覧!G60</f>
        <v>0</v>
      </c>
      <c r="D65" s="52">
        <f>IPO監視一覧!O60</f>
        <v>43370</v>
      </c>
      <c r="E65" s="50">
        <f>IPO監視一覧!P60</f>
        <v>0</v>
      </c>
      <c r="F65" s="193">
        <f t="shared" si="18"/>
        <v>0</v>
      </c>
      <c r="G65" s="53">
        <f t="shared" ca="1" si="19"/>
        <v>-14</v>
      </c>
      <c r="H65" s="53"/>
      <c r="I65" s="194"/>
      <c r="J65" s="194"/>
      <c r="K65" s="194"/>
      <c r="L65" s="194"/>
      <c r="M65" s="194"/>
      <c r="N65" s="195">
        <f t="shared" si="20"/>
        <v>0</v>
      </c>
    </row>
    <row r="66" spans="1:14" s="196" customFormat="1" x14ac:dyDescent="0.25">
      <c r="A66" s="202" t="str">
        <f>IPO監視一覧!H61</f>
        <v>D</v>
      </c>
      <c r="B66" s="49" t="str">
        <f>IPO監視一覧!B61</f>
        <v>ＳＢＩインシュアランスグループ</v>
      </c>
      <c r="C66" s="50">
        <f>IPO監視一覧!G61</f>
        <v>0</v>
      </c>
      <c r="D66" s="52">
        <f>IPO監視一覧!O61</f>
        <v>43370</v>
      </c>
      <c r="E66" s="50">
        <f>IPO監視一覧!P61</f>
        <v>0</v>
      </c>
      <c r="F66" s="193">
        <f t="shared" si="18"/>
        <v>0</v>
      </c>
      <c r="G66" s="53">
        <f t="shared" ca="1" si="19"/>
        <v>-14</v>
      </c>
      <c r="H66" s="53"/>
      <c r="I66" s="194"/>
      <c r="J66" s="194"/>
      <c r="K66" s="194"/>
      <c r="L66" s="194"/>
      <c r="M66" s="194"/>
      <c r="N66" s="195">
        <f t="shared" si="20"/>
        <v>0</v>
      </c>
    </row>
    <row r="67" spans="1:14" s="196" customFormat="1" x14ac:dyDescent="0.25">
      <c r="A67" s="202" t="str">
        <f>IPO監視一覧!H62</f>
        <v>D</v>
      </c>
      <c r="B67" s="49" t="str">
        <f>IPO監視一覧!B62</f>
        <v>ワールド</v>
      </c>
      <c r="C67" s="50">
        <f>IPO監視一覧!G62</f>
        <v>0</v>
      </c>
      <c r="D67" s="52">
        <f>IPO監視一覧!O62</f>
        <v>43371</v>
      </c>
      <c r="E67" s="50">
        <f>IPO監視一覧!P62</f>
        <v>0</v>
      </c>
      <c r="F67" s="193">
        <f t="shared" si="18"/>
        <v>0</v>
      </c>
      <c r="G67" s="53">
        <f t="shared" ca="1" si="19"/>
        <v>-15</v>
      </c>
      <c r="H67" s="53"/>
      <c r="I67" s="194"/>
      <c r="J67" s="194"/>
      <c r="K67" s="194"/>
      <c r="L67" s="194"/>
      <c r="M67" s="194"/>
      <c r="N67" s="195">
        <f t="shared" si="20"/>
        <v>0</v>
      </c>
    </row>
    <row r="68" spans="1:14" s="196" customFormat="1" x14ac:dyDescent="0.25">
      <c r="A68" s="202" t="str">
        <f>IPO監視一覧!H63</f>
        <v>B</v>
      </c>
      <c r="B68" s="49" t="str">
        <f>IPO監視一覧!B63</f>
        <v>フロンティア・マネジメント</v>
      </c>
      <c r="C68" s="50">
        <f>IPO監視一覧!G63</f>
        <v>0</v>
      </c>
      <c r="D68" s="52">
        <f>IPO監視一覧!O63</f>
        <v>43371</v>
      </c>
      <c r="E68" s="50">
        <f>IPO監視一覧!P63</f>
        <v>0</v>
      </c>
      <c r="F68" s="193">
        <f t="shared" si="18"/>
        <v>0</v>
      </c>
      <c r="G68" s="53">
        <f t="shared" ca="1" si="19"/>
        <v>-15</v>
      </c>
      <c r="H68" s="53"/>
      <c r="I68" s="194"/>
      <c r="J68" s="194"/>
      <c r="K68" s="194"/>
      <c r="L68" s="194"/>
      <c r="M68" s="194"/>
      <c r="N68" s="195">
        <f t="shared" si="20"/>
        <v>0</v>
      </c>
    </row>
    <row r="69" spans="1:14" s="196" customFormat="1" x14ac:dyDescent="0.25">
      <c r="A69" s="202" t="str">
        <f>IPO監視一覧!H64</f>
        <v>A</v>
      </c>
      <c r="B69" s="49" t="str">
        <f>IPO監視一覧!B64</f>
        <v>ブリッジインターナショナル</v>
      </c>
      <c r="C69" s="50">
        <f>IPO監視一覧!G64</f>
        <v>0</v>
      </c>
      <c r="D69" s="52">
        <f>IPO監視一覧!O64</f>
        <v>43376</v>
      </c>
      <c r="E69" s="50">
        <f>IPO監視一覧!P64</f>
        <v>0</v>
      </c>
      <c r="F69" s="193">
        <f t="shared" si="18"/>
        <v>0</v>
      </c>
      <c r="G69" s="53">
        <f t="shared" ca="1" si="19"/>
        <v>-18</v>
      </c>
      <c r="H69" s="53"/>
      <c r="I69" s="194"/>
      <c r="J69" s="194"/>
      <c r="K69" s="194"/>
      <c r="L69" s="194"/>
      <c r="M69" s="194"/>
      <c r="N69" s="195">
        <f t="shared" si="20"/>
        <v>0</v>
      </c>
    </row>
    <row r="70" spans="1:14" s="196" customFormat="1" x14ac:dyDescent="0.25">
      <c r="A70" s="202" t="str">
        <f>IPO監視一覧!H65</f>
        <v>B</v>
      </c>
      <c r="B70" s="49" t="str">
        <f>IPO監視一覧!B65</f>
        <v>ＣＲＧHD</v>
      </c>
      <c r="C70" s="50">
        <f>IPO監視一覧!G65</f>
        <v>0</v>
      </c>
      <c r="D70" s="52">
        <f>IPO監視一覧!O65</f>
        <v>43383</v>
      </c>
      <c r="E70" s="50">
        <f>IPO監視一覧!P65</f>
        <v>0</v>
      </c>
      <c r="F70" s="193">
        <f t="shared" si="18"/>
        <v>0</v>
      </c>
      <c r="G70" s="53">
        <f t="shared" ca="1" si="19"/>
        <v>-23</v>
      </c>
      <c r="H70" s="53"/>
      <c r="I70" s="194"/>
      <c r="J70" s="194"/>
      <c r="K70" s="194"/>
      <c r="L70" s="194"/>
      <c r="M70" s="194"/>
      <c r="N70" s="195">
        <f t="shared" si="20"/>
        <v>0</v>
      </c>
    </row>
    <row r="71" spans="1:14" s="196" customFormat="1" x14ac:dyDescent="0.25">
      <c r="A71" s="202" t="str">
        <f>IPO監視一覧!H66</f>
        <v>D</v>
      </c>
      <c r="B71" s="49" t="str">
        <f>IPO監視一覧!B66</f>
        <v>Delta-Fly Pharma</v>
      </c>
      <c r="C71" s="50">
        <f>IPO監視一覧!G66</f>
        <v>0</v>
      </c>
      <c r="D71" s="52">
        <f>IPO監視一覧!O66</f>
        <v>43385</v>
      </c>
      <c r="E71" s="50">
        <f>IPO監視一覧!P66</f>
        <v>0</v>
      </c>
      <c r="F71" s="193">
        <f t="shared" si="18"/>
        <v>0</v>
      </c>
      <c r="G71" s="53">
        <f t="shared" ca="1" si="19"/>
        <v>-25</v>
      </c>
      <c r="H71" s="53"/>
      <c r="I71" s="194"/>
      <c r="J71" s="194"/>
      <c r="K71" s="194"/>
      <c r="L71" s="194"/>
      <c r="M71" s="194"/>
      <c r="N71" s="195">
        <f t="shared" si="20"/>
        <v>0</v>
      </c>
    </row>
    <row r="72" spans="1:14" s="196" customFormat="1" x14ac:dyDescent="0.25">
      <c r="A72" s="202" t="str">
        <f>IPO監視一覧!H67</f>
        <v>B</v>
      </c>
      <c r="B72" s="49" t="str">
        <f>IPO監視一覧!B67</f>
        <v>イーソル</v>
      </c>
      <c r="C72" s="50">
        <f>IPO監視一覧!G67</f>
        <v>0</v>
      </c>
      <c r="D72" s="52">
        <f>IPO監視一覧!O67</f>
        <v>43385</v>
      </c>
      <c r="E72" s="50">
        <f>IPO監視一覧!P67</f>
        <v>0</v>
      </c>
      <c r="F72" s="193">
        <f t="shared" si="18"/>
        <v>0</v>
      </c>
      <c r="G72" s="53">
        <f t="shared" ca="1" si="19"/>
        <v>-25</v>
      </c>
      <c r="H72" s="53"/>
      <c r="I72" s="194"/>
      <c r="J72" s="194"/>
      <c r="K72" s="194"/>
      <c r="L72" s="194"/>
      <c r="M72" s="194"/>
      <c r="N72" s="195">
        <f t="shared" si="20"/>
        <v>0</v>
      </c>
    </row>
    <row r="73" spans="1:14" s="196" customFormat="1" x14ac:dyDescent="0.25">
      <c r="A73" s="202">
        <f>IPO監視一覧!H68</f>
        <v>0</v>
      </c>
      <c r="B73" s="49">
        <f>IPO監視一覧!B68</f>
        <v>0</v>
      </c>
      <c r="C73" s="50">
        <f>IPO監視一覧!G68</f>
        <v>0</v>
      </c>
      <c r="D73" s="52">
        <f>IPO監視一覧!O68</f>
        <v>0</v>
      </c>
      <c r="E73" s="50">
        <f>IPO監視一覧!P68</f>
        <v>0</v>
      </c>
      <c r="F73" s="193">
        <f t="shared" si="18"/>
        <v>0</v>
      </c>
      <c r="G73" s="53">
        <f t="shared" ca="1" si="19"/>
        <v>30966</v>
      </c>
      <c r="H73" s="53"/>
      <c r="I73" s="194"/>
      <c r="J73" s="194"/>
      <c r="K73" s="194"/>
      <c r="L73" s="194"/>
      <c r="M73" s="194"/>
      <c r="N73" s="195">
        <f t="shared" si="20"/>
        <v>0</v>
      </c>
    </row>
    <row r="74" spans="1:14" s="196" customFormat="1" x14ac:dyDescent="0.25">
      <c r="A74" s="202">
        <f>IPO監視一覧!H69</f>
        <v>0</v>
      </c>
      <c r="B74" s="49">
        <f>IPO監視一覧!B69</f>
        <v>0</v>
      </c>
      <c r="C74" s="50">
        <f>IPO監視一覧!G69</f>
        <v>0</v>
      </c>
      <c r="D74" s="52">
        <f>IPO監視一覧!O69</f>
        <v>0</v>
      </c>
      <c r="E74" s="50">
        <f>IPO監視一覧!P69</f>
        <v>0</v>
      </c>
      <c r="F74" s="193">
        <f t="shared" si="18"/>
        <v>0</v>
      </c>
      <c r="G74" s="53">
        <f t="shared" ca="1" si="19"/>
        <v>30966</v>
      </c>
      <c r="H74" s="53"/>
      <c r="I74" s="194"/>
      <c r="J74" s="194"/>
      <c r="K74" s="194"/>
      <c r="L74" s="194"/>
      <c r="M74" s="194"/>
      <c r="N74" s="195">
        <f t="shared" si="20"/>
        <v>0</v>
      </c>
    </row>
    <row r="75" spans="1:14" s="196" customFormat="1" x14ac:dyDescent="0.25">
      <c r="A75" s="202">
        <f>IPO監視一覧!H70</f>
        <v>0</v>
      </c>
      <c r="B75" s="49">
        <f>IPO監視一覧!B70</f>
        <v>0</v>
      </c>
      <c r="C75" s="50">
        <f>IPO監視一覧!G70</f>
        <v>0</v>
      </c>
      <c r="D75" s="52">
        <f>IPO監視一覧!O70</f>
        <v>0</v>
      </c>
      <c r="E75" s="50">
        <f>IPO監視一覧!P70</f>
        <v>0</v>
      </c>
      <c r="F75" s="193">
        <f t="shared" si="18"/>
        <v>0</v>
      </c>
      <c r="G75" s="53">
        <f t="shared" ca="1" si="19"/>
        <v>30966</v>
      </c>
      <c r="H75" s="53"/>
      <c r="I75" s="194"/>
      <c r="J75" s="194"/>
      <c r="K75" s="194"/>
      <c r="L75" s="194"/>
      <c r="M75" s="194"/>
      <c r="N75" s="195">
        <f t="shared" si="20"/>
        <v>0</v>
      </c>
    </row>
    <row r="76" spans="1:14" s="196" customFormat="1" x14ac:dyDescent="0.25">
      <c r="A76" s="202">
        <f>IPO監視一覧!H71</f>
        <v>0</v>
      </c>
      <c r="B76" s="49">
        <f>IPO監視一覧!B71</f>
        <v>0</v>
      </c>
      <c r="C76" s="50">
        <f>IPO監視一覧!G71</f>
        <v>0</v>
      </c>
      <c r="D76" s="52">
        <f>IPO監視一覧!O71</f>
        <v>0</v>
      </c>
      <c r="E76" s="50">
        <f>IPO監視一覧!P71</f>
        <v>0</v>
      </c>
      <c r="F76" s="193">
        <f t="shared" si="18"/>
        <v>0</v>
      </c>
      <c r="G76" s="53">
        <f t="shared" ca="1" si="19"/>
        <v>30966</v>
      </c>
      <c r="H76" s="53"/>
      <c r="I76" s="194"/>
      <c r="J76" s="194"/>
      <c r="K76" s="194"/>
      <c r="L76" s="194"/>
      <c r="M76" s="194"/>
      <c r="N76" s="195">
        <f t="shared" si="20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H7:H76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73"/>
  <sheetViews>
    <sheetView zoomScale="85" zoomScaleNormal="85" workbookViewId="0">
      <pane ySplit="2" topLeftCell="A3" activePane="bottomLeft" state="frozen"/>
      <selection activeCell="F62" sqref="F62"/>
      <selection pane="bottomLeft" activeCell="G5" sqref="G5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 x14ac:dyDescent="0.3">
      <c r="A1" s="37" t="s">
        <v>89</v>
      </c>
      <c r="F1" s="15" t="s">
        <v>90</v>
      </c>
      <c r="I1" s="242" t="s">
        <v>91</v>
      </c>
      <c r="J1" s="242"/>
      <c r="K1" s="242"/>
      <c r="M1" s="243" t="s">
        <v>92</v>
      </c>
      <c r="N1" s="243"/>
      <c r="P1" s="38" t="s">
        <v>93</v>
      </c>
      <c r="Y1" s="12" t="s">
        <v>151</v>
      </c>
      <c r="Z1" s="147" t="s">
        <v>153</v>
      </c>
      <c r="AA1" s="148" t="s">
        <v>154</v>
      </c>
      <c r="AB1" s="149" t="s">
        <v>155</v>
      </c>
      <c r="AC1" s="12" t="s">
        <v>261</v>
      </c>
    </row>
    <row r="2" spans="1:29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5" t="s">
        <v>152</v>
      </c>
      <c r="R2" s="115" t="s">
        <v>123</v>
      </c>
      <c r="T2" s="115" t="s">
        <v>259</v>
      </c>
      <c r="W2" s="115" t="s">
        <v>260</v>
      </c>
      <c r="Z2" s="150">
        <f ca="1">COUNTIFS($Q$3:$Q$1048576,Z1)/$AC$2</f>
        <v>0.29411764705882354</v>
      </c>
      <c r="AA2" s="150">
        <f ca="1">COUNTIFS($Q$3:$Q$1048576,AA1)/$AC$2</f>
        <v>0.29411764705882354</v>
      </c>
      <c r="AB2" s="150">
        <f ca="1">COUNTIFS($Q$3:$Q$1048576,AB1)/$AC$2</f>
        <v>0.41176470588235292</v>
      </c>
      <c r="AC2" s="12">
        <f ca="1">COUNTIFS(Q3:Q1048576,"割安") + COUNTIFS(Q3:Q1048576,"普通") + COUNTIFS(Q3:Q1048576,"割高")</f>
        <v>51</v>
      </c>
    </row>
    <row r="3" spans="1:29" ht="16.5" thickTop="1" x14ac:dyDescent="0.25">
      <c r="B3" s="49" t="str">
        <f>セカンダリ投資分析!B3</f>
        <v>リミックスポイント</v>
      </c>
      <c r="C3" s="198">
        <f>株価一覧!H2</f>
        <v>603500</v>
      </c>
      <c r="D3" s="15">
        <f ca="1">OFFSET(終値履歴!A3,0,COUNTA(終値履歴!G3:'終値履歴'!XFD3)+2,1,-1)</f>
        <v>1128</v>
      </c>
      <c r="E3" s="15">
        <f ca="1">OFFSET(終値履歴!A3,0,COUNTA(終値履歴!G3:'終値履歴'!XFD3)+3,1,-1)</f>
        <v>1036</v>
      </c>
      <c r="F3" s="15">
        <f ca="1">OFFSET(終値履歴!A3,0,COUNTA(終値履歴!G3:'終値履歴'!XFD3)+4,1,-1)</f>
        <v>1025</v>
      </c>
      <c r="G3" s="15">
        <f ca="1">OFFSET(終値履歴!A3,0,COUNTA(終値履歴!G3:'終値履歴'!XFD3)+5,1,-1)</f>
        <v>1026</v>
      </c>
      <c r="I3" s="60">
        <f ca="1">IF(ISERROR((G3-F3)/F3),"",(G3-F3)/F3)</f>
        <v>9.7560975609756097E-4</v>
      </c>
      <c r="J3" s="60">
        <f ca="1">IF(ISERROR((G3-E3)/E3),"",(G3-E3)/E3)</f>
        <v>-9.6525096525096523E-3</v>
      </c>
      <c r="K3" s="60">
        <f ca="1">IF(ISERROR((G3-D3)/D3),"",(G3-D3)/D3)</f>
        <v>-9.0425531914893623E-2</v>
      </c>
      <c r="M3" s="60">
        <f t="shared" ref="M3:M5" ca="1" si="0">(F3-E3)/E3</f>
        <v>-1.0617760617760617E-2</v>
      </c>
      <c r="N3" s="60">
        <f t="shared" ref="N3:N5" ca="1" si="1">(F3-D3)/D3</f>
        <v>-9.1312056737588659E-2</v>
      </c>
      <c r="P3" s="57" t="str">
        <f t="shared" ref="P3:P5" ca="1" si="2">IF(G3-F3 &gt; 0,CONCATENATE("＋",G3-F3),G3-F3)</f>
        <v>＋1</v>
      </c>
      <c r="Q3" s="12" t="str">
        <f ca="1">IF(T3=0,"集計外",IF(AND(G3&lt;=T3,G3&lt;=R3),"割安",IF(AND(G3&gt;T3,G3&lt;=R3),"普通",IF(AND(G3&lt;=T3,G3&gt;R3),"普通","割高"))))</f>
        <v>割安</v>
      </c>
      <c r="R3" s="21">
        <f ca="1">終値履歴!D3</f>
        <v>1072.5999999999999</v>
      </c>
      <c r="S3" s="107">
        <f ca="1">(G3-R3)/E3</f>
        <v>-4.4980694980694895E-2</v>
      </c>
      <c r="T3" s="21">
        <f ca="1">終値履歴!E3</f>
        <v>1048.4000000000001</v>
      </c>
      <c r="U3" s="107">
        <f ca="1">(G3-T3)/G3</f>
        <v>-2.1832358674464026E-2</v>
      </c>
      <c r="W3" s="21">
        <f ca="1">終値履歴!F3</f>
        <v>992</v>
      </c>
      <c r="X3" s="107">
        <f ca="1">(G3-W3)/G3</f>
        <v>3.3138401559454189E-2</v>
      </c>
    </row>
    <row r="4" spans="1:29" x14ac:dyDescent="0.25">
      <c r="B4" s="49" t="str">
        <f>セカンダリ投資分析!B6</f>
        <v>トレイダーズHD</v>
      </c>
      <c r="C4" s="198">
        <f>株価一覧!H3</f>
        <v>1467000</v>
      </c>
      <c r="D4" s="15">
        <f ca="1">OFFSET(終値履歴!A4,0,COUNTA(終値履歴!G4:'終値履歴'!XFD4)+2,1,-1)</f>
        <v>70</v>
      </c>
      <c r="E4" s="15">
        <f ca="1">OFFSET(終値履歴!A4,0,COUNTA(終値履歴!G4:'終値履歴'!XFD4)+3,1,-1)</f>
        <v>68</v>
      </c>
      <c r="F4" s="15">
        <f ca="1">OFFSET(終値履歴!A4,0,COUNTA(終値履歴!G4:'終値履歴'!XFD4)+4,1,-1)</f>
        <v>70</v>
      </c>
      <c r="G4" s="15">
        <f ca="1">OFFSET(終値履歴!A4,0,COUNTA(終値履歴!G4:'終値履歴'!XFD4)+5,1,-1)</f>
        <v>74</v>
      </c>
      <c r="I4" s="60">
        <f t="shared" ref="I4:I40" ca="1" si="3">IF(ISERROR((G4-F4)/F4),"",(G4-F4)/F4)</f>
        <v>5.7142857142857141E-2</v>
      </c>
      <c r="J4" s="60">
        <f t="shared" ref="J4:J40" ca="1" si="4">IF(ISERROR((G4-E4)/E4),"",(G4-E4)/E4)</f>
        <v>8.8235294117647065E-2</v>
      </c>
      <c r="K4" s="60">
        <f t="shared" ref="K4:K40" ca="1" si="5">IF(ISERROR((G4-D4)/D4),"",(G4-D4)/D4)</f>
        <v>5.7142857142857141E-2</v>
      </c>
      <c r="M4" s="60">
        <f t="shared" ca="1" si="0"/>
        <v>2.9411764705882353E-2</v>
      </c>
      <c r="N4" s="60">
        <f t="shared" ca="1" si="1"/>
        <v>0</v>
      </c>
      <c r="P4" s="57" t="str">
        <f t="shared" ca="1" si="2"/>
        <v>＋4</v>
      </c>
      <c r="Q4" s="12" t="str">
        <f t="shared" ref="Q4:Q40" ca="1" si="6">IF(T4=0,"集計外",IF(AND(G4&lt;=T4,G4&lt;=R4),"割安",IF(AND(G4&gt;T4,G4&lt;=R4),"普通",IF(AND(G4&lt;=T4,G4&gt;R4),"普通","割高"))))</f>
        <v>普通</v>
      </c>
      <c r="R4" s="21">
        <f ca="1">終値履歴!D4</f>
        <v>70.400000000000006</v>
      </c>
      <c r="S4" s="107">
        <f t="shared" ref="S4:S5" ca="1" si="7">(G4-R4)/E4</f>
        <v>5.2941176470588151E-2</v>
      </c>
      <c r="T4" s="21">
        <f ca="1">終値履歴!E4</f>
        <v>74.266666666666666</v>
      </c>
      <c r="U4" s="107">
        <f t="shared" ref="U4:U5" ca="1" si="8">(G4-T4)/G4</f>
        <v>-3.6036036036035906E-3</v>
      </c>
      <c r="W4" s="21">
        <f ca="1">終値履歴!F4</f>
        <v>68</v>
      </c>
      <c r="X4" s="107">
        <f t="shared" ref="X4:X5" ca="1" si="9">(G4-W4)/G4</f>
        <v>8.1081081081081086E-2</v>
      </c>
    </row>
    <row r="5" spans="1:29" x14ac:dyDescent="0.25">
      <c r="B5" s="49" t="str">
        <f>セカンダリ投資分析!B7</f>
        <v>ソレイジア・ファーマ</v>
      </c>
      <c r="C5" s="198">
        <f>株価一覧!H4</f>
        <v>2550600</v>
      </c>
      <c r="D5" s="15">
        <f ca="1">OFFSET(終値履歴!A5,0,COUNTA(終値履歴!G5:'終値履歴'!XFD5)+2,1,-1)</f>
        <v>245</v>
      </c>
      <c r="E5" s="15">
        <f ca="1">OFFSET(終値履歴!A5,0,COUNTA(終値履歴!G5:'終値履歴'!XFD5)+3,1,-1)</f>
        <v>237</v>
      </c>
      <c r="F5" s="15">
        <f ca="1">OFFSET(終値履歴!A5,0,COUNTA(終値履歴!G5:'終値履歴'!XFD5)+4,1,-1)</f>
        <v>237</v>
      </c>
      <c r="G5" s="15">
        <f ca="1">OFFSET(終値履歴!A5,0,COUNTA(終値履歴!G5:'終値履歴'!XFD5)+5,1,-1)</f>
        <v>222</v>
      </c>
      <c r="I5" s="60">
        <f t="shared" ca="1" si="3"/>
        <v>-6.3291139240506333E-2</v>
      </c>
      <c r="J5" s="60">
        <f t="shared" ca="1" si="4"/>
        <v>-6.3291139240506333E-2</v>
      </c>
      <c r="K5" s="60">
        <f t="shared" ca="1" si="5"/>
        <v>-9.3877551020408165E-2</v>
      </c>
      <c r="M5" s="60">
        <f t="shared" ca="1" si="0"/>
        <v>0</v>
      </c>
      <c r="N5" s="60">
        <f t="shared" ca="1" si="1"/>
        <v>-3.2653061224489799E-2</v>
      </c>
      <c r="P5" s="57">
        <f t="shared" ca="1" si="2"/>
        <v>-15</v>
      </c>
      <c r="Q5" s="12" t="str">
        <f t="shared" ca="1" si="6"/>
        <v>割安</v>
      </c>
      <c r="R5" s="21">
        <f ca="1">終値履歴!D5</f>
        <v>238.4</v>
      </c>
      <c r="S5" s="107">
        <f t="shared" ca="1" si="7"/>
        <v>-6.9198312236286946E-2</v>
      </c>
      <c r="T5" s="21">
        <f ca="1">終値履歴!E5</f>
        <v>252.86666666666667</v>
      </c>
      <c r="U5" s="107">
        <f t="shared" ca="1" si="8"/>
        <v>-0.13903903903903908</v>
      </c>
      <c r="W5" s="21">
        <f ca="1">終値履歴!F5</f>
        <v>222</v>
      </c>
      <c r="X5" s="107">
        <f t="shared" ca="1" si="9"/>
        <v>0</v>
      </c>
    </row>
    <row r="6" spans="1:29" x14ac:dyDescent="0.25">
      <c r="B6" s="49" t="str">
        <f>IPO監視一覧!B3</f>
        <v>Ｍマート</v>
      </c>
      <c r="C6" s="198">
        <f>株価一覧!H5</f>
        <v>17600</v>
      </c>
      <c r="D6" s="15">
        <f ca="1">OFFSET(終値履歴!A6,0,COUNTA(終値履歴!G6:'終値履歴'!XFD6)+2,1,-1)</f>
        <v>2562</v>
      </c>
      <c r="E6" s="15">
        <f ca="1">OFFSET(終値履歴!A6,0,COUNTA(終値履歴!G6:'終値履歴'!XFD6)+3,1,-1)</f>
        <v>2404</v>
      </c>
      <c r="F6" s="15">
        <f ca="1">OFFSET(終値履歴!A6,0,COUNTA(終値履歴!G6:'終値履歴'!XFD6)+4,1,-1)</f>
        <v>2401</v>
      </c>
      <c r="G6" s="15">
        <f ca="1">OFFSET(終値履歴!A6,0,COUNTA(終値履歴!G6:'終値履歴'!XFD6)+5,1,-1)</f>
        <v>2641</v>
      </c>
      <c r="I6" s="60">
        <f t="shared" ca="1" si="3"/>
        <v>9.9958350687213662E-2</v>
      </c>
      <c r="J6" s="60">
        <f t="shared" ca="1" si="4"/>
        <v>9.8585690515806984E-2</v>
      </c>
      <c r="K6" s="60">
        <f t="shared" ca="1" si="5"/>
        <v>3.0835284933645589E-2</v>
      </c>
      <c r="M6" s="60">
        <f ca="1">(F6-E6)/E6</f>
        <v>-1.2479201331114808E-3</v>
      </c>
      <c r="N6" s="60">
        <f ca="1">(F6-D6)/D6</f>
        <v>-6.2841530054644809E-2</v>
      </c>
      <c r="P6" s="57" t="str">
        <f ca="1">IF(G6-F6 &gt; 0,CONCATENATE("＋",G6-F6),G6-F6)</f>
        <v>＋240</v>
      </c>
      <c r="Q6" s="12" t="str">
        <f t="shared" ca="1" si="6"/>
        <v>割高</v>
      </c>
      <c r="R6" s="225">
        <f ca="1">終値履歴!D6</f>
        <v>2522.6</v>
      </c>
      <c r="S6" s="107">
        <f t="shared" ref="S6:S8" ca="1" si="10">(G6-R6)/E6</f>
        <v>4.9251247920133148E-2</v>
      </c>
      <c r="T6" s="225">
        <f ca="1">終値履歴!E6</f>
        <v>2489.6666666666665</v>
      </c>
      <c r="U6" s="107">
        <f t="shared" ref="U6:U11" ca="1" si="11">(G6-T6)/G6</f>
        <v>5.7301527199293253E-2</v>
      </c>
      <c r="W6" s="225">
        <f ca="1">終値履歴!F6</f>
        <v>2010</v>
      </c>
      <c r="X6" s="107">
        <f t="shared" ref="X6:X11" ca="1" si="12">(G6-W6)/G6</f>
        <v>0.23892464975388111</v>
      </c>
    </row>
    <row r="7" spans="1:29" x14ac:dyDescent="0.25">
      <c r="B7" s="49" t="str">
        <f>IPO監視一覧!B4</f>
        <v>ジェイテックコーポレーション</v>
      </c>
      <c r="C7" s="198">
        <f>株価一覧!H6</f>
        <v>97900</v>
      </c>
      <c r="D7" s="15">
        <f ca="1">OFFSET(終値履歴!A7,0,COUNTA(終値履歴!G7:'終値履歴'!XFD7)+2,1,-1)</f>
        <v>4275</v>
      </c>
      <c r="E7" s="15">
        <f ca="1">OFFSET(終値履歴!A7,0,COUNTA(終値履歴!G7:'終値履歴'!XFD7)+3,1,-1)</f>
        <v>4220</v>
      </c>
      <c r="F7" s="15">
        <f ca="1">OFFSET(終値履歴!A7,0,COUNTA(終値履歴!G7:'終値履歴'!XFD7)+4,1,-1)</f>
        <v>4550</v>
      </c>
      <c r="G7" s="15">
        <f ca="1">OFFSET(終値履歴!A7,0,COUNTA(終値履歴!G7:'終値履歴'!XFD7)+5,1,-1)</f>
        <v>4905</v>
      </c>
      <c r="I7" s="60">
        <f t="shared" ca="1" si="3"/>
        <v>7.8021978021978022E-2</v>
      </c>
      <c r="J7" s="60">
        <f t="shared" ca="1" si="4"/>
        <v>0.1623222748815166</v>
      </c>
      <c r="K7" s="60">
        <f t="shared" ca="1" si="5"/>
        <v>0.14736842105263157</v>
      </c>
      <c r="M7" s="60">
        <f t="shared" ref="M7:M11" ca="1" si="13">(F7-E7)/E7</f>
        <v>7.8199052132701424E-2</v>
      </c>
      <c r="N7" s="60">
        <f t="shared" ref="N7:N11" ca="1" si="14">(F7-D7)/D7</f>
        <v>6.4327485380116955E-2</v>
      </c>
      <c r="P7" s="57" t="str">
        <f t="shared" ref="P7:P11" ca="1" si="15">IF(G7-F7 &gt; 0,CONCATENATE("＋",G7-F7),G7-F7)</f>
        <v>＋355</v>
      </c>
      <c r="Q7" s="12" t="str">
        <f t="shared" ca="1" si="6"/>
        <v>割高</v>
      </c>
      <c r="R7" s="225">
        <f ca="1">終値履歴!D7</f>
        <v>4440</v>
      </c>
      <c r="S7" s="107">
        <f t="shared" ca="1" si="10"/>
        <v>0.11018957345971564</v>
      </c>
      <c r="T7" s="225">
        <f ca="1">終値履歴!E7</f>
        <v>4315</v>
      </c>
      <c r="U7" s="107">
        <f t="shared" ca="1" si="11"/>
        <v>0.12028542303771661</v>
      </c>
      <c r="W7" s="225">
        <f ca="1">終値履歴!F7</f>
        <v>4065</v>
      </c>
      <c r="X7" s="107">
        <f t="shared" ca="1" si="12"/>
        <v>0.17125382262996941</v>
      </c>
    </row>
    <row r="8" spans="1:29" x14ac:dyDescent="0.25">
      <c r="B8" s="49" t="str">
        <f>IPO監視一覧!B5</f>
        <v>ＳＥＲＩＯＨＤ</v>
      </c>
      <c r="C8" s="198">
        <f>株価一覧!H7</f>
        <v>6600</v>
      </c>
      <c r="D8" s="15">
        <f ca="1">OFFSET(終値履歴!A8,0,COUNTA(終値履歴!G8:'終値履歴'!XFD8)+2,1,-1)</f>
        <v>1650</v>
      </c>
      <c r="E8" s="15">
        <f ca="1">OFFSET(終値履歴!A8,0,COUNTA(終値履歴!G8:'終値履歴'!XFD8)+3,1,-1)</f>
        <v>1605</v>
      </c>
      <c r="F8" s="15">
        <f ca="1">OFFSET(終値履歴!A8,0,COUNTA(終値履歴!G8:'終値履歴'!XFD8)+4,1,-1)</f>
        <v>1559</v>
      </c>
      <c r="G8" s="15">
        <f ca="1">OFFSET(終値履歴!A8,0,COUNTA(終値履歴!G8:'終値履歴'!XFD8)+5,1,-1)</f>
        <v>1550</v>
      </c>
      <c r="I8" s="60">
        <f t="shared" ca="1" si="3"/>
        <v>-5.7729313662604233E-3</v>
      </c>
      <c r="J8" s="60">
        <f t="shared" ca="1" si="4"/>
        <v>-3.4267912772585667E-2</v>
      </c>
      <c r="K8" s="60">
        <f t="shared" ca="1" si="5"/>
        <v>-6.0606060606060608E-2</v>
      </c>
      <c r="M8" s="60">
        <f t="shared" ca="1" si="13"/>
        <v>-2.866043613707165E-2</v>
      </c>
      <c r="N8" s="60">
        <f t="shared" ca="1" si="14"/>
        <v>-5.5151515151515153E-2</v>
      </c>
      <c r="P8" s="57">
        <f t="shared" ca="1" si="15"/>
        <v>-9</v>
      </c>
      <c r="Q8" s="12" t="str">
        <f t="shared" ca="1" si="6"/>
        <v>割安</v>
      </c>
      <c r="R8" s="225">
        <f ca="1">終値履歴!D8</f>
        <v>1610.4</v>
      </c>
      <c r="S8" s="107">
        <f t="shared" ca="1" si="10"/>
        <v>-3.7632398753894139E-2</v>
      </c>
      <c r="T8" s="225">
        <f ca="1">終値履歴!E8</f>
        <v>1677.2666666666667</v>
      </c>
      <c r="U8" s="107">
        <f t="shared" ca="1" si="11"/>
        <v>-8.2107526881720419E-2</v>
      </c>
      <c r="W8" s="225">
        <f ca="1">終値履歴!F8</f>
        <v>1550</v>
      </c>
      <c r="X8" s="107">
        <f t="shared" ca="1" si="12"/>
        <v>0</v>
      </c>
    </row>
    <row r="9" spans="1:29" x14ac:dyDescent="0.25">
      <c r="B9" s="49" t="str">
        <f>IPO監視一覧!B6</f>
        <v>神戸天然物化学</v>
      </c>
      <c r="C9" s="198">
        <f>株価一覧!H8</f>
        <v>9800</v>
      </c>
      <c r="D9" s="15">
        <f ca="1">OFFSET(終値履歴!A9,0,COUNTA(終値履歴!G9:'終値履歴'!XFD9)+2,1,-1)</f>
        <v>2587</v>
      </c>
      <c r="E9" s="15">
        <f ca="1">OFFSET(終値履歴!A9,0,COUNTA(終値履歴!G9:'終値履歴'!XFD9)+3,1,-1)</f>
        <v>2541</v>
      </c>
      <c r="F9" s="15">
        <f ca="1">OFFSET(終値履歴!A9,0,COUNTA(終値履歴!G9:'終値履歴'!XFD9)+4,1,-1)</f>
        <v>2561</v>
      </c>
      <c r="G9" s="15">
        <f ca="1">OFFSET(終値履歴!A9,0,COUNTA(終値履歴!G9:'終値履歴'!XFD9)+5,1,-1)</f>
        <v>2532</v>
      </c>
      <c r="I9" s="60">
        <f t="shared" ca="1" si="3"/>
        <v>-1.1323701679031628E-2</v>
      </c>
      <c r="J9" s="60">
        <f t="shared" ca="1" si="4"/>
        <v>-3.5419126328217238E-3</v>
      </c>
      <c r="K9" s="60">
        <f t="shared" ca="1" si="5"/>
        <v>-2.1260146888287593E-2</v>
      </c>
      <c r="M9" s="60">
        <f t="shared" ca="1" si="13"/>
        <v>7.8709169618260532E-3</v>
      </c>
      <c r="N9" s="60">
        <f t="shared" ca="1" si="14"/>
        <v>-1.0050251256281407E-2</v>
      </c>
      <c r="P9" s="57">
        <f t="shared" ca="1" si="15"/>
        <v>-29</v>
      </c>
      <c r="Q9" s="12" t="str">
        <f t="shared" ca="1" si="6"/>
        <v>割安</v>
      </c>
      <c r="R9" s="225">
        <f ca="1">終値履歴!D9</f>
        <v>2563.1999999999998</v>
      </c>
      <c r="S9" s="107">
        <f ca="1">(G9-R9)/E9</f>
        <v>-1.227863046044857E-2</v>
      </c>
      <c r="T9" s="225">
        <f ca="1">終値履歴!E9</f>
        <v>2591.2666666666669</v>
      </c>
      <c r="U9" s="107">
        <f t="shared" ca="1" si="11"/>
        <v>-2.3407056345445054E-2</v>
      </c>
      <c r="W9" s="225">
        <f ca="1">終値履歴!F9</f>
        <v>2532</v>
      </c>
      <c r="X9" s="107">
        <f t="shared" ca="1" si="12"/>
        <v>0</v>
      </c>
    </row>
    <row r="10" spans="1:29" x14ac:dyDescent="0.25">
      <c r="B10" s="49" t="str">
        <f>IPO監視一覧!B7</f>
        <v>日総工産</v>
      </c>
      <c r="C10" s="198">
        <f>株価一覧!H9</f>
        <v>89800</v>
      </c>
      <c r="D10" s="15">
        <f ca="1">OFFSET(終値履歴!A10,0,COUNTA(終値履歴!G10:'終値履歴'!XFD10)+2,1,-1)</f>
        <v>2695</v>
      </c>
      <c r="E10" s="15">
        <f ca="1">OFFSET(終値履歴!A10,0,COUNTA(終値履歴!G10:'終値履歴'!XFD10)+3,1,-1)</f>
        <v>2813</v>
      </c>
      <c r="F10" s="15">
        <f ca="1">OFFSET(終値履歴!A10,0,COUNTA(終値履歴!G10:'終値履歴'!XFD10)+4,1,-1)</f>
        <v>2746</v>
      </c>
      <c r="G10" s="15">
        <f ca="1">OFFSET(終値履歴!A10,0,COUNTA(終値履歴!G10:'終値履歴'!XFD10)+5,1,-1)</f>
        <v>2572</v>
      </c>
      <c r="I10" s="60">
        <f t="shared" ca="1" si="3"/>
        <v>-6.3364894391842674E-2</v>
      </c>
      <c r="J10" s="60">
        <f t="shared" ca="1" si="4"/>
        <v>-8.5673658016352655E-2</v>
      </c>
      <c r="K10" s="60">
        <f t="shared" ca="1" si="5"/>
        <v>-4.5640074211502783E-2</v>
      </c>
      <c r="M10" s="60">
        <f t="shared" ca="1" si="13"/>
        <v>-2.3817987913259866E-2</v>
      </c>
      <c r="N10" s="60">
        <f t="shared" ca="1" si="14"/>
        <v>1.8923933209647494E-2</v>
      </c>
      <c r="P10" s="57">
        <f t="shared" ca="1" si="15"/>
        <v>-174</v>
      </c>
      <c r="Q10" s="12" t="str">
        <f t="shared" ca="1" si="6"/>
        <v>割安</v>
      </c>
      <c r="R10" s="225">
        <f ca="1">終値履歴!D10</f>
        <v>2729.6</v>
      </c>
      <c r="S10" s="107">
        <f t="shared" ref="S10:S11" ca="1" si="16">(G10-R10)/E10</f>
        <v>-5.6025595449697797E-2</v>
      </c>
      <c r="T10" s="225">
        <f ca="1">終値履歴!E10</f>
        <v>2729.4666666666667</v>
      </c>
      <c r="U10" s="107">
        <f t="shared" ca="1" si="11"/>
        <v>-6.1223431829963725E-2</v>
      </c>
      <c r="W10" s="225">
        <f ca="1">終値履歴!F10</f>
        <v>2498</v>
      </c>
      <c r="X10" s="107">
        <f t="shared" ca="1" si="12"/>
        <v>2.8771384136858476E-2</v>
      </c>
    </row>
    <row r="11" spans="1:29" x14ac:dyDescent="0.25">
      <c r="B11" s="49" t="str">
        <f>IPO監視一覧!B8</f>
        <v>フェイスネットワーク</v>
      </c>
      <c r="C11" s="198">
        <f>株価一覧!H10</f>
        <v>38100</v>
      </c>
      <c r="D11" s="15">
        <f ca="1">OFFSET(終値履歴!A11,0,COUNTA(終値履歴!G11:'終値履歴'!XFD11)+2,1,-1)</f>
        <v>1354</v>
      </c>
      <c r="E11" s="15">
        <f ca="1">OFFSET(終値履歴!A11,0,COUNTA(終値履歴!G11:'終値履歴'!XFD11)+3,1,-1)</f>
        <v>1361</v>
      </c>
      <c r="F11" s="15">
        <f ca="1">OFFSET(終値履歴!A11,0,COUNTA(終値履歴!G11:'終値履歴'!XFD11)+4,1,-1)</f>
        <v>1300</v>
      </c>
      <c r="G11" s="15">
        <f ca="1">OFFSET(終値履歴!A11,0,COUNTA(終値履歴!G11:'終値履歴'!XFD11)+5,1,-1)</f>
        <v>1299</v>
      </c>
      <c r="I11" s="60">
        <f t="shared" ca="1" si="3"/>
        <v>-7.6923076923076923E-4</v>
      </c>
      <c r="J11" s="60">
        <f t="shared" ca="1" si="4"/>
        <v>-4.5554739162380606E-2</v>
      </c>
      <c r="K11" s="60">
        <f t="shared" ca="1" si="5"/>
        <v>-4.0620384047267359E-2</v>
      </c>
      <c r="M11" s="60">
        <f t="shared" ca="1" si="13"/>
        <v>-4.4819985304922851E-2</v>
      </c>
      <c r="N11" s="60">
        <f t="shared" ca="1" si="14"/>
        <v>-3.9881831610044313E-2</v>
      </c>
      <c r="P11" s="57">
        <f t="shared" ca="1" si="15"/>
        <v>-1</v>
      </c>
      <c r="Q11" s="12" t="str">
        <f t="shared" ca="1" si="6"/>
        <v>割安</v>
      </c>
      <c r="R11" s="225">
        <f ca="1">終値履歴!D11</f>
        <v>1349.8</v>
      </c>
      <c r="S11" s="107">
        <f t="shared" ca="1" si="16"/>
        <v>-3.7325495958853754E-2</v>
      </c>
      <c r="T11" s="225">
        <f ca="1">終値履歴!E11</f>
        <v>1465.8</v>
      </c>
      <c r="U11" s="107">
        <f t="shared" ca="1" si="11"/>
        <v>-0.12840646651270204</v>
      </c>
      <c r="W11" s="225">
        <f ca="1">終値履歴!F11</f>
        <v>1299</v>
      </c>
      <c r="X11" s="107">
        <f t="shared" ca="1" si="12"/>
        <v>0</v>
      </c>
    </row>
    <row r="12" spans="1:29" x14ac:dyDescent="0.25">
      <c r="B12" s="49" t="str">
        <f>IPO監視一覧!B9</f>
        <v>共和コーポレーション</v>
      </c>
      <c r="C12" s="62">
        <f>株価一覧!H11</f>
        <v>17700</v>
      </c>
      <c r="D12" s="15">
        <f ca="1">OFFSET(終値履歴!A12,0,COUNTA(終値履歴!G12:'終値履歴'!XFD12)+2,1,-1)</f>
        <v>803</v>
      </c>
      <c r="E12" s="15">
        <f ca="1">OFFSET(終値履歴!A12,0,COUNTA(終値履歴!G12:'終値履歴'!XFD12)+3,1,-1)</f>
        <v>801</v>
      </c>
      <c r="F12" s="15">
        <f ca="1">OFFSET(終値履歴!A12,0,COUNTA(終値履歴!G12:'終値履歴'!XFD12)+4,1,-1)</f>
        <v>803</v>
      </c>
      <c r="G12" s="15">
        <f ca="1">OFFSET(終値履歴!A12,0,COUNTA(終値履歴!G12:'終値履歴'!XFD12)+5,1,-1)</f>
        <v>809</v>
      </c>
      <c r="I12" s="60">
        <f t="shared" ca="1" si="3"/>
        <v>7.4719800747198011E-3</v>
      </c>
      <c r="J12" s="60">
        <f t="shared" ca="1" si="4"/>
        <v>9.9875156054931337E-3</v>
      </c>
      <c r="K12" s="60">
        <f t="shared" ca="1" si="5"/>
        <v>7.4719800747198011E-3</v>
      </c>
      <c r="M12" s="60">
        <f t="shared" ref="M12" ca="1" si="17">(F12-E12)/E12</f>
        <v>2.4968789013732834E-3</v>
      </c>
      <c r="N12" s="60">
        <f t="shared" ref="N12" ca="1" si="18">(F12-D12)/D12</f>
        <v>0</v>
      </c>
      <c r="P12" s="57" t="str">
        <f t="shared" ref="P12" ca="1" si="19">IF(G12-F12 &gt; 0,CONCATENATE("＋",G12-F12),G12-F12)</f>
        <v>＋6</v>
      </c>
      <c r="Q12" s="12" t="str">
        <f t="shared" ca="1" si="6"/>
        <v>普通</v>
      </c>
      <c r="R12" s="21">
        <f ca="1">終値履歴!D12</f>
        <v>802</v>
      </c>
      <c r="S12" s="107">
        <f t="shared" ref="S12" ca="1" si="20">(G12-R12)/E12</f>
        <v>8.7390761548064924E-3</v>
      </c>
      <c r="T12" s="21">
        <f ca="1">終値履歴!E12</f>
        <v>1073.9333333333334</v>
      </c>
      <c r="U12" s="107">
        <f t="shared" ref="U12" ca="1" si="21">(G12-T12)/G12</f>
        <v>-0.32748248866913893</v>
      </c>
      <c r="W12" s="21">
        <f ca="1">終値履歴!F12</f>
        <v>741</v>
      </c>
      <c r="X12" s="107">
        <f t="shared" ref="X12" ca="1" si="22">(G12-W12)/G12</f>
        <v>8.4054388133498151E-2</v>
      </c>
    </row>
    <row r="13" spans="1:29" x14ac:dyDescent="0.25">
      <c r="B13" s="49" t="str">
        <f>IPO監視一覧!B10</f>
        <v>信和</v>
      </c>
      <c r="C13" s="62">
        <f>株価一覧!H12</f>
        <v>20000</v>
      </c>
      <c r="D13" s="15">
        <f ca="1">OFFSET(終値履歴!A13,0,COUNTA(終値履歴!G13:'終値履歴'!XFD13)+2,1,-1)</f>
        <v>1132</v>
      </c>
      <c r="E13" s="15">
        <f ca="1">OFFSET(終値履歴!A13,0,COUNTA(終値履歴!G13:'終値履歴'!XFD13)+3,1,-1)</f>
        <v>1116</v>
      </c>
      <c r="F13" s="15">
        <f ca="1">OFFSET(終値履歴!A13,0,COUNTA(終値履歴!G13:'終値履歴'!XFD13)+4,1,-1)</f>
        <v>1111</v>
      </c>
      <c r="G13" s="15">
        <f ca="1">OFFSET(終値履歴!A13,0,COUNTA(終値履歴!G13:'終値履歴'!XFD13)+5,1,-1)</f>
        <v>1119</v>
      </c>
      <c r="I13" s="60">
        <f t="shared" ca="1" si="3"/>
        <v>7.2007200720072004E-3</v>
      </c>
      <c r="J13" s="60">
        <f t="shared" ca="1" si="4"/>
        <v>2.6881720430107529E-3</v>
      </c>
      <c r="K13" s="60">
        <f t="shared" ca="1" si="5"/>
        <v>-1.1484098939929329E-2</v>
      </c>
      <c r="M13" s="60">
        <f t="shared" ref="M13:M25" ca="1" si="23">(F13-E13)/E13</f>
        <v>-4.4802867383512543E-3</v>
      </c>
      <c r="N13" s="60">
        <f t="shared" ref="N13:N25" ca="1" si="24">(F13-D13)/D13</f>
        <v>-1.8551236749116608E-2</v>
      </c>
      <c r="P13" s="57" t="str">
        <f t="shared" ref="P13:P25" ca="1" si="25">IF(G13-F13 &gt; 0,CONCATENATE("＋",G13-F13),G13-F13)</f>
        <v>＋8</v>
      </c>
      <c r="Q13" s="12" t="str">
        <f t="shared" ca="1" si="6"/>
        <v>普通</v>
      </c>
      <c r="R13" s="21">
        <f ca="1">終値履歴!D13</f>
        <v>1122.5999999999999</v>
      </c>
      <c r="S13" s="107">
        <f t="shared" ref="S13:S25" ca="1" si="26">(G13-R13)/E13</f>
        <v>-3.2258064516128217E-3</v>
      </c>
      <c r="T13" s="21">
        <f ca="1">終値履歴!E13</f>
        <v>1117.2666666666667</v>
      </c>
      <c r="U13" s="107">
        <f t="shared" ref="U13:U25" ca="1" si="27">(G13-T13)/G13</f>
        <v>1.5490020851951281E-3</v>
      </c>
      <c r="W13" s="21">
        <f ca="1">終値履歴!F13</f>
        <v>1105</v>
      </c>
      <c r="X13" s="107">
        <f t="shared" ref="X13:X25" ca="1" si="28">(G13-W13)/G13</f>
        <v>1.2511170688114389E-2</v>
      </c>
    </row>
    <row r="14" spans="1:29" x14ac:dyDescent="0.25">
      <c r="B14" s="49" t="str">
        <f>IPO監視一覧!B11</f>
        <v>ＳＯＵ</v>
      </c>
      <c r="C14" s="62">
        <f>株価一覧!H13</f>
        <v>4900</v>
      </c>
      <c r="D14" s="15">
        <f ca="1">OFFSET(終値履歴!A14,0,COUNTA(終値履歴!G14:'終値履歴'!XFD14)+2,1,-1)</f>
        <v>5910</v>
      </c>
      <c r="E14" s="15">
        <f ca="1">OFFSET(終値履歴!A14,0,COUNTA(終値履歴!G14:'終値履歴'!XFD14)+3,1,-1)</f>
        <v>6040</v>
      </c>
      <c r="F14" s="15">
        <f ca="1">OFFSET(終値履歴!A14,0,COUNTA(終値履歴!G14:'終値履歴'!XFD14)+4,1,-1)</f>
        <v>5860</v>
      </c>
      <c r="G14" s="15">
        <f ca="1">OFFSET(終値履歴!A14,0,COUNTA(終値履歴!G14:'終値履歴'!XFD14)+5,1,-1)</f>
        <v>5920</v>
      </c>
      <c r="I14" s="60">
        <f t="shared" ca="1" si="3"/>
        <v>1.0238907849829351E-2</v>
      </c>
      <c r="J14" s="60">
        <f t="shared" ca="1" si="4"/>
        <v>-1.9867549668874173E-2</v>
      </c>
      <c r="K14" s="60">
        <f t="shared" ca="1" si="5"/>
        <v>1.6920473773265651E-3</v>
      </c>
      <c r="M14" s="60">
        <f t="shared" ca="1" si="23"/>
        <v>-2.9801324503311258E-2</v>
      </c>
      <c r="N14" s="60">
        <f t="shared" ca="1" si="24"/>
        <v>-8.4602368866328256E-3</v>
      </c>
      <c r="P14" s="57" t="str">
        <f t="shared" ca="1" si="25"/>
        <v>＋60</v>
      </c>
      <c r="Q14" s="12" t="str">
        <f t="shared" ca="1" si="6"/>
        <v>割安</v>
      </c>
      <c r="R14" s="21">
        <f ca="1">終値履歴!D14</f>
        <v>5946</v>
      </c>
      <c r="S14" s="107">
        <f t="shared" ca="1" si="26"/>
        <v>-4.3046357615894038E-3</v>
      </c>
      <c r="T14" s="21">
        <f ca="1">終値履歴!E14</f>
        <v>6162.666666666667</v>
      </c>
      <c r="U14" s="107">
        <f t="shared" ca="1" si="27"/>
        <v>-4.0990990990991044E-2</v>
      </c>
      <c r="W14" s="21">
        <f ca="1">終値履歴!F14</f>
        <v>5860</v>
      </c>
      <c r="X14" s="107">
        <f t="shared" ca="1" si="28"/>
        <v>1.0135135135135136E-2</v>
      </c>
    </row>
    <row r="15" spans="1:29" x14ac:dyDescent="0.25">
      <c r="B15" s="49" t="str">
        <f>IPO監視一覧!B12</f>
        <v>キュービーネットHD</v>
      </c>
      <c r="C15" s="62">
        <f>株価一覧!H14</f>
        <v>109900</v>
      </c>
      <c r="D15" s="15">
        <f ca="1">OFFSET(終値履歴!A15,0,COUNTA(終値履歴!G15:'終値履歴'!XFD15)+2,1,-1)</f>
        <v>2230</v>
      </c>
      <c r="E15" s="15">
        <f ca="1">OFFSET(終値履歴!A15,0,COUNTA(終値履歴!G15:'終値履歴'!XFD15)+3,1,-1)</f>
        <v>2280</v>
      </c>
      <c r="F15" s="15">
        <f ca="1">OFFSET(終値履歴!A15,0,COUNTA(終値履歴!G15:'終値履歴'!XFD15)+4,1,-1)</f>
        <v>2278</v>
      </c>
      <c r="G15" s="15">
        <f ca="1">OFFSET(終値履歴!A15,0,COUNTA(終値履歴!G15:'終値履歴'!XFD15)+5,1,-1)</f>
        <v>2292</v>
      </c>
      <c r="I15" s="60">
        <f t="shared" ca="1" si="3"/>
        <v>6.145741878841089E-3</v>
      </c>
      <c r="J15" s="60">
        <f t="shared" ca="1" si="4"/>
        <v>5.263157894736842E-3</v>
      </c>
      <c r="K15" s="60">
        <f t="shared" ca="1" si="5"/>
        <v>2.780269058295964E-2</v>
      </c>
      <c r="M15" s="60">
        <f t="shared" ca="1" si="23"/>
        <v>-8.7719298245614037E-4</v>
      </c>
      <c r="N15" s="60">
        <f t="shared" ca="1" si="24"/>
        <v>2.1524663677130046E-2</v>
      </c>
      <c r="P15" s="57" t="str">
        <f t="shared" ca="1" si="25"/>
        <v>＋14</v>
      </c>
      <c r="Q15" s="12" t="str">
        <f t="shared" ca="1" si="6"/>
        <v>割高</v>
      </c>
      <c r="R15" s="21">
        <f ca="1">終値履歴!D15</f>
        <v>2262</v>
      </c>
      <c r="S15" s="107">
        <f t="shared" ca="1" si="26"/>
        <v>1.3157894736842105E-2</v>
      </c>
      <c r="T15" s="21">
        <f ca="1">終値履歴!E15</f>
        <v>2235.1333333333332</v>
      </c>
      <c r="U15" s="107">
        <f t="shared" ca="1" si="27"/>
        <v>2.4810936591041357E-2</v>
      </c>
      <c r="W15" s="21">
        <f ca="1">終値履歴!F15</f>
        <v>2164</v>
      </c>
      <c r="X15" s="107">
        <f t="shared" ca="1" si="28"/>
        <v>5.5846422338568937E-2</v>
      </c>
    </row>
    <row r="16" spans="1:29" x14ac:dyDescent="0.25">
      <c r="B16" s="49" t="str">
        <f>IPO監視一覧!B13</f>
        <v>ファイバーゲート</v>
      </c>
      <c r="C16" s="62">
        <f>株価一覧!H15</f>
        <v>42500</v>
      </c>
      <c r="D16" s="15">
        <f ca="1">OFFSET(終値履歴!A16,0,COUNTA(終値履歴!G16:'終値履歴'!XFD16)+2,1,-1)</f>
        <v>1710</v>
      </c>
      <c r="E16" s="15">
        <f ca="1">OFFSET(終値履歴!A16,0,COUNTA(終値履歴!G16:'終値履歴'!XFD16)+3,1,-1)</f>
        <v>1673</v>
      </c>
      <c r="F16" s="15">
        <f ca="1">OFFSET(終値履歴!A16,0,COUNTA(終値履歴!G16:'終値履歴'!XFD16)+4,1,-1)</f>
        <v>1703</v>
      </c>
      <c r="G16" s="15">
        <f ca="1">OFFSET(終値履歴!A16,0,COUNTA(終値履歴!G16:'終値履歴'!XFD16)+5,1,-1)</f>
        <v>1758</v>
      </c>
      <c r="I16" s="60">
        <f t="shared" ca="1" si="3"/>
        <v>3.2295948326482679E-2</v>
      </c>
      <c r="J16" s="60">
        <f t="shared" ca="1" si="4"/>
        <v>5.0806933652121938E-2</v>
      </c>
      <c r="K16" s="60">
        <f t="shared" ca="1" si="5"/>
        <v>2.8070175438596492E-2</v>
      </c>
      <c r="M16" s="60">
        <f t="shared" ca="1" si="23"/>
        <v>1.7931858936043037E-2</v>
      </c>
      <c r="N16" s="60">
        <f t="shared" ca="1" si="24"/>
        <v>-4.0935672514619886E-3</v>
      </c>
      <c r="P16" s="57" t="str">
        <f t="shared" ca="1" si="25"/>
        <v>＋55</v>
      </c>
      <c r="Q16" s="12" t="str">
        <f t="shared" ca="1" si="6"/>
        <v>普通</v>
      </c>
      <c r="R16" s="21">
        <f ca="1">終値履歴!D16</f>
        <v>1716.4</v>
      </c>
      <c r="S16" s="107">
        <f t="shared" ca="1" si="26"/>
        <v>2.4865511057979624E-2</v>
      </c>
      <c r="T16" s="21">
        <f ca="1">終値履歴!E16</f>
        <v>2382.1333333333332</v>
      </c>
      <c r="U16" s="107">
        <f t="shared" ca="1" si="27"/>
        <v>-0.35502464922260135</v>
      </c>
      <c r="W16" s="21">
        <f ca="1">終値履歴!F16</f>
        <v>1673</v>
      </c>
      <c r="X16" s="107">
        <f t="shared" ca="1" si="28"/>
        <v>4.8350398179749718E-2</v>
      </c>
    </row>
    <row r="17" spans="2:24" x14ac:dyDescent="0.25">
      <c r="B17" s="49" t="str">
        <f>IPO監視一覧!B14</f>
        <v>ＲＰＡHD</v>
      </c>
      <c r="C17" s="62">
        <f>株価一覧!H16</f>
        <v>38000</v>
      </c>
      <c r="D17" s="15">
        <f ca="1">OFFSET(終値履歴!A17,0,COUNTA(終値履歴!G17:'終値履歴'!XFD17)+2,1,-1)</f>
        <v>13080</v>
      </c>
      <c r="E17" s="15">
        <f ca="1">OFFSET(終値履歴!A17,0,COUNTA(終値履歴!G17:'終値履歴'!XFD17)+3,1,-1)</f>
        <v>13180</v>
      </c>
      <c r="F17" s="15">
        <f ca="1">OFFSET(終値履歴!A17,0,COUNTA(終値履歴!G17:'終値履歴'!XFD17)+4,1,-1)</f>
        <v>13200</v>
      </c>
      <c r="G17" s="15">
        <f ca="1">OFFSET(終値履歴!A17,0,COUNTA(終値履歴!G17:'終値履歴'!XFD17)+5,1,-1)</f>
        <v>12510</v>
      </c>
      <c r="I17" s="60">
        <f t="shared" ca="1" si="3"/>
        <v>-5.2272727272727269E-2</v>
      </c>
      <c r="J17" s="60">
        <f t="shared" ca="1" si="4"/>
        <v>-5.0834597875569043E-2</v>
      </c>
      <c r="K17" s="60">
        <f t="shared" ca="1" si="5"/>
        <v>-4.3577981651376149E-2</v>
      </c>
      <c r="M17" s="60">
        <f t="shared" ca="1" si="23"/>
        <v>1.5174506828528073E-3</v>
      </c>
      <c r="N17" s="60">
        <f t="shared" ca="1" si="24"/>
        <v>9.1743119266055051E-3</v>
      </c>
      <c r="P17" s="57">
        <f t="shared" ca="1" si="25"/>
        <v>-690</v>
      </c>
      <c r="Q17" s="12" t="str">
        <f t="shared" ca="1" si="6"/>
        <v>割安</v>
      </c>
      <c r="R17" s="21">
        <f ca="1">終値履歴!D17</f>
        <v>13072</v>
      </c>
      <c r="S17" s="107">
        <f t="shared" ca="1" si="26"/>
        <v>-4.2640364188163887E-2</v>
      </c>
      <c r="T17" s="21">
        <f ca="1">終値履歴!E17</f>
        <v>12985.333333333334</v>
      </c>
      <c r="U17" s="107">
        <f t="shared" ca="1" si="27"/>
        <v>-3.7996269650945956E-2</v>
      </c>
      <c r="W17" s="21">
        <f ca="1">終値履歴!F17</f>
        <v>12030</v>
      </c>
      <c r="X17" s="107">
        <f t="shared" ca="1" si="28"/>
        <v>3.8369304556354913E-2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32800</v>
      </c>
      <c r="D18" s="15">
        <f ca="1">OFFSET(終値履歴!A18,0,COUNTA(終値履歴!G18:'終値履歴'!XFD18)+2,1,-1)</f>
        <v>2581</v>
      </c>
      <c r="E18" s="15">
        <f ca="1">OFFSET(終値履歴!A18,0,COUNTA(終値履歴!G18:'終値履歴'!XFD18)+3,1,-1)</f>
        <v>2336</v>
      </c>
      <c r="F18" s="15">
        <f ca="1">OFFSET(終値履歴!A18,0,COUNTA(終値履歴!G18:'終値履歴'!XFD18)+4,1,-1)</f>
        <v>2394</v>
      </c>
      <c r="G18" s="15">
        <f ca="1">OFFSET(終値履歴!A18,0,COUNTA(終値履歴!G18:'終値履歴'!XFD18)+5,1,-1)</f>
        <v>2370</v>
      </c>
      <c r="I18" s="60">
        <f t="shared" ca="1" si="3"/>
        <v>-1.0025062656641603E-2</v>
      </c>
      <c r="J18" s="60">
        <f t="shared" ca="1" si="4"/>
        <v>1.4554794520547944E-2</v>
      </c>
      <c r="K18" s="60">
        <f t="shared" ca="1" si="5"/>
        <v>-8.1751259201859744E-2</v>
      </c>
      <c r="M18" s="60">
        <f t="shared" ca="1" si="23"/>
        <v>2.482876712328767E-2</v>
      </c>
      <c r="N18" s="60">
        <f t="shared" ca="1" si="24"/>
        <v>-7.2452537776055786E-2</v>
      </c>
      <c r="P18" s="57">
        <f t="shared" ca="1" si="25"/>
        <v>-24</v>
      </c>
      <c r="Q18" s="12" t="str">
        <f t="shared" ca="1" si="6"/>
        <v>割安</v>
      </c>
      <c r="R18" s="21">
        <f ca="1">終値履歴!D18</f>
        <v>2457.1999999999998</v>
      </c>
      <c r="S18" s="107">
        <f t="shared" ca="1" si="26"/>
        <v>-3.7328767123287594E-2</v>
      </c>
      <c r="T18" s="21">
        <f ca="1">終値履歴!E18</f>
        <v>3864.8666666666668</v>
      </c>
      <c r="U18" s="107">
        <f t="shared" ca="1" si="27"/>
        <v>-0.63074542897327712</v>
      </c>
      <c r="W18" s="21">
        <f ca="1">終値履歴!F18</f>
        <v>2048</v>
      </c>
      <c r="X18" s="107">
        <f t="shared" ca="1" si="28"/>
        <v>0.1358649789029536</v>
      </c>
    </row>
    <row r="19" spans="2:24" x14ac:dyDescent="0.25">
      <c r="B19" s="49" t="str">
        <f>IPO監視一覧!B16</f>
        <v>アズ企画設計</v>
      </c>
      <c r="C19" s="62">
        <f>株価一覧!H18</f>
        <v>4100</v>
      </c>
      <c r="D19" s="15">
        <f ca="1">OFFSET(終値履歴!A19,0,COUNTA(終値履歴!G19:'終値履歴'!XFD19)+2,1,-1)</f>
        <v>1925</v>
      </c>
      <c r="E19" s="15">
        <f ca="1">OFFSET(終値履歴!A19,0,COUNTA(終値履歴!G19:'終値履歴'!XFD19)+3,1,-1)</f>
        <v>1889</v>
      </c>
      <c r="F19" s="15">
        <f ca="1">OFFSET(終値履歴!A19,0,COUNTA(終値履歴!G19:'終値履歴'!XFD19)+4,1,-1)</f>
        <v>1880</v>
      </c>
      <c r="G19" s="15">
        <f ca="1">OFFSET(終値履歴!A19,0,COUNTA(終値履歴!G19:'終値履歴'!XFD19)+5,1,-1)</f>
        <v>1932</v>
      </c>
      <c r="I19" s="60">
        <f t="shared" ca="1" si="3"/>
        <v>2.7659574468085105E-2</v>
      </c>
      <c r="J19" s="60">
        <f t="shared" ca="1" si="4"/>
        <v>2.2763366860772894E-2</v>
      </c>
      <c r="K19" s="60">
        <f t="shared" ca="1" si="5"/>
        <v>3.6363636363636364E-3</v>
      </c>
      <c r="M19" s="60">
        <f t="shared" ca="1" si="23"/>
        <v>-4.7644256220222342E-3</v>
      </c>
      <c r="N19" s="60">
        <f t="shared" ca="1" si="24"/>
        <v>-2.3376623376623377E-2</v>
      </c>
      <c r="P19" s="57" t="str">
        <f t="shared" ca="1" si="25"/>
        <v>＋52</v>
      </c>
      <c r="Q19" s="12" t="str">
        <f t="shared" ca="1" si="6"/>
        <v>普通</v>
      </c>
      <c r="R19" s="21">
        <f ca="1">終値履歴!D19</f>
        <v>1911.4</v>
      </c>
      <c r="S19" s="107">
        <f t="shared" ca="1" si="26"/>
        <v>1.0905240868184176E-2</v>
      </c>
      <c r="T19" s="21">
        <f ca="1">終値履歴!E19</f>
        <v>1979.9333333333334</v>
      </c>
      <c r="U19" s="107">
        <f t="shared" ca="1" si="27"/>
        <v>-2.4810213940648754E-2</v>
      </c>
      <c r="W19" s="21">
        <f ca="1">終値履歴!F19</f>
        <v>1880</v>
      </c>
      <c r="X19" s="107">
        <f t="shared" ca="1" si="28"/>
        <v>2.6915113871635612E-2</v>
      </c>
    </row>
    <row r="20" spans="2:24" x14ac:dyDescent="0.25">
      <c r="B20" s="49" t="str">
        <f>IPO監視一覧!B17</f>
        <v>和心</v>
      </c>
      <c r="C20" s="62">
        <f>株価一覧!H19</f>
        <v>57100</v>
      </c>
      <c r="D20" s="15">
        <f ca="1">OFFSET(終値履歴!A20,0,COUNTA(終値履歴!G20:'終値履歴'!XFD20)+2,1,-1)</f>
        <v>2303</v>
      </c>
      <c r="E20" s="15">
        <f ca="1">OFFSET(終値履歴!A20,0,COUNTA(終値履歴!G20:'終値履歴'!XFD20)+3,1,-1)</f>
        <v>2250</v>
      </c>
      <c r="F20" s="15">
        <f ca="1">OFFSET(終値履歴!A20,0,COUNTA(終値履歴!G20:'終値履歴'!XFD20)+4,1,-1)</f>
        <v>2199</v>
      </c>
      <c r="G20" s="15">
        <f ca="1">OFFSET(終値履歴!A20,0,COUNTA(終値履歴!G20:'終値履歴'!XFD20)+5,1,-1)</f>
        <v>2340</v>
      </c>
      <c r="I20" s="60">
        <f t="shared" ca="1" si="3"/>
        <v>6.4120054570259211E-2</v>
      </c>
      <c r="J20" s="60">
        <f t="shared" ca="1" si="4"/>
        <v>0.04</v>
      </c>
      <c r="K20" s="60">
        <f t="shared" ca="1" si="5"/>
        <v>1.6066000868432479E-2</v>
      </c>
      <c r="M20" s="60">
        <f t="shared" ca="1" si="23"/>
        <v>-2.2666666666666668E-2</v>
      </c>
      <c r="N20" s="60">
        <f t="shared" ca="1" si="24"/>
        <v>-4.515848892748589E-2</v>
      </c>
      <c r="P20" s="57" t="str">
        <f t="shared" ca="1" si="25"/>
        <v>＋141</v>
      </c>
      <c r="Q20" s="12" t="str">
        <f t="shared" ca="1" si="6"/>
        <v>普通</v>
      </c>
      <c r="R20" s="21">
        <f ca="1">終値履歴!D20</f>
        <v>2355.1999999999998</v>
      </c>
      <c r="S20" s="107">
        <f t="shared" ca="1" si="26"/>
        <v>-6.7555555555554748E-3</v>
      </c>
      <c r="T20" s="21">
        <f ca="1">終値履歴!E20</f>
        <v>2246.9333333333334</v>
      </c>
      <c r="U20" s="107">
        <f t="shared" ca="1" si="27"/>
        <v>3.9772079772079749E-2</v>
      </c>
      <c r="W20" s="21">
        <f ca="1">終値履歴!F20</f>
        <v>1893</v>
      </c>
      <c r="X20" s="107">
        <f t="shared" ca="1" si="28"/>
        <v>0.19102564102564101</v>
      </c>
    </row>
    <row r="21" spans="2:24" x14ac:dyDescent="0.25">
      <c r="B21" s="49" t="str">
        <f>IPO監視一覧!B18</f>
        <v>日本リビング保証</v>
      </c>
      <c r="C21" s="62">
        <f>株価一覧!H20</f>
        <v>1000</v>
      </c>
      <c r="D21" s="15">
        <f ca="1">OFFSET(終値履歴!A21,0,COUNTA(終値履歴!G21:'終値履歴'!XFD21)+2,1,-1)</f>
        <v>2900</v>
      </c>
      <c r="E21" s="15">
        <f ca="1">OFFSET(終値履歴!A21,0,COUNTA(終値履歴!G21:'終値履歴'!XFD21)+3,1,-1)</f>
        <v>2800</v>
      </c>
      <c r="F21" s="15">
        <f ca="1">OFFSET(終値履歴!A21,0,COUNTA(終値履歴!G21:'終値履歴'!XFD21)+4,1,-1)</f>
        <v>2751</v>
      </c>
      <c r="G21" s="15">
        <f ca="1">OFFSET(終値履歴!A21,0,COUNTA(終値履歴!G21:'終値履歴'!XFD21)+5,1,-1)</f>
        <v>2713</v>
      </c>
      <c r="I21" s="60">
        <f t="shared" ca="1" si="3"/>
        <v>-1.3813158851326791E-2</v>
      </c>
      <c r="J21" s="60">
        <f t="shared" ca="1" si="4"/>
        <v>-3.1071428571428573E-2</v>
      </c>
      <c r="K21" s="60">
        <f t="shared" ca="1" si="5"/>
        <v>-6.4482758620689654E-2</v>
      </c>
      <c r="M21" s="60">
        <f t="shared" ca="1" si="23"/>
        <v>-1.7500000000000002E-2</v>
      </c>
      <c r="N21" s="60">
        <f t="shared" ca="1" si="24"/>
        <v>-5.1379310344827588E-2</v>
      </c>
      <c r="P21" s="57">
        <f t="shared" ca="1" si="25"/>
        <v>-38</v>
      </c>
      <c r="Q21" s="12" t="str">
        <f t="shared" ca="1" si="6"/>
        <v>割安</v>
      </c>
      <c r="R21" s="21">
        <f ca="1">終値履歴!D21</f>
        <v>2812.8</v>
      </c>
      <c r="S21" s="107">
        <f t="shared" ca="1" si="26"/>
        <v>-3.5642857142857205E-2</v>
      </c>
      <c r="T21" s="21">
        <f ca="1">終値履歴!E21</f>
        <v>2821.5333333333333</v>
      </c>
      <c r="U21" s="107">
        <f t="shared" ca="1" si="27"/>
        <v>-4.0004914608674273E-2</v>
      </c>
      <c r="W21" s="21">
        <f ca="1">終値履歴!F21</f>
        <v>2540</v>
      </c>
      <c r="X21" s="107">
        <f t="shared" ca="1" si="28"/>
        <v>6.3767047548838926E-2</v>
      </c>
    </row>
    <row r="22" spans="2:24" x14ac:dyDescent="0.25">
      <c r="B22" s="49" t="str">
        <f>IPO監視一覧!B19</f>
        <v>ブティックス</v>
      </c>
      <c r="C22" s="62">
        <f>株価一覧!H21</f>
        <v>5500</v>
      </c>
      <c r="D22" s="15">
        <f ca="1">OFFSET(終値履歴!A22,0,COUNTA(終値履歴!G22:'終値履歴'!XFD22)+2,1,-1)</f>
        <v>3715</v>
      </c>
      <c r="E22" s="15">
        <f ca="1">OFFSET(終値履歴!A22,0,COUNTA(終値履歴!G22:'終値履歴'!XFD22)+3,1,-1)</f>
        <v>3700</v>
      </c>
      <c r="F22" s="15">
        <f ca="1">OFFSET(終値履歴!A22,0,COUNTA(終値履歴!G22:'終値履歴'!XFD22)+4,1,-1)</f>
        <v>3760</v>
      </c>
      <c r="G22" s="15">
        <f ca="1">OFFSET(終値履歴!A22,0,COUNTA(終値履歴!G22:'終値履歴'!XFD22)+5,1,-1)</f>
        <v>3705</v>
      </c>
      <c r="I22" s="60">
        <f t="shared" ca="1" si="3"/>
        <v>-1.4627659574468085E-2</v>
      </c>
      <c r="J22" s="60">
        <f t="shared" ca="1" si="4"/>
        <v>1.3513513513513514E-3</v>
      </c>
      <c r="K22" s="60">
        <f t="shared" ca="1" si="5"/>
        <v>-2.6917900403768506E-3</v>
      </c>
      <c r="M22" s="60">
        <f t="shared" ca="1" si="23"/>
        <v>1.6216216216216217E-2</v>
      </c>
      <c r="N22" s="60">
        <f t="shared" ca="1" si="24"/>
        <v>1.2113055181695828E-2</v>
      </c>
      <c r="P22" s="57">
        <f t="shared" ca="1" si="25"/>
        <v>-55</v>
      </c>
      <c r="Q22" s="12" t="str">
        <f t="shared" ca="1" si="6"/>
        <v>普通</v>
      </c>
      <c r="R22" s="21">
        <f ca="1">終値履歴!D22</f>
        <v>3749</v>
      </c>
      <c r="S22" s="107">
        <f t="shared" ca="1" si="26"/>
        <v>-1.1891891891891892E-2</v>
      </c>
      <c r="T22" s="21">
        <f ca="1">終値履歴!E22</f>
        <v>3535.3333333333335</v>
      </c>
      <c r="U22" s="107">
        <f t="shared" ca="1" si="27"/>
        <v>4.5793972109761542E-2</v>
      </c>
      <c r="W22" s="21">
        <f ca="1">終値履歴!F22</f>
        <v>3125</v>
      </c>
      <c r="X22" s="107">
        <f t="shared" ca="1" si="28"/>
        <v>0.15654520917678813</v>
      </c>
    </row>
    <row r="23" spans="2:24" x14ac:dyDescent="0.25">
      <c r="B23" s="49" t="str">
        <f>IPO監視一覧!B20</f>
        <v>ビープラッツ</v>
      </c>
      <c r="C23" s="62">
        <f>株価一覧!H22</f>
        <v>60400</v>
      </c>
      <c r="D23" s="15">
        <f ca="1">OFFSET(終値履歴!A23,0,COUNTA(終値履歴!G23:'終値履歴'!XFD23)+2,1,-1)</f>
        <v>8280</v>
      </c>
      <c r="E23" s="15">
        <f ca="1">OFFSET(終値履歴!A23,0,COUNTA(終値履歴!G23:'終値履歴'!XFD23)+3,1,-1)</f>
        <v>8660</v>
      </c>
      <c r="F23" s="15">
        <f ca="1">OFFSET(終値履歴!A23,0,COUNTA(終値履歴!G23:'終値履歴'!XFD23)+4,1,-1)</f>
        <v>8960</v>
      </c>
      <c r="G23" s="15">
        <f ca="1">OFFSET(終値履歴!A23,0,COUNTA(終値履歴!G23:'終値履歴'!XFD23)+5,1,-1)</f>
        <v>9370</v>
      </c>
      <c r="I23" s="60">
        <f t="shared" ca="1" si="3"/>
        <v>4.5758928571428568E-2</v>
      </c>
      <c r="J23" s="60">
        <f t="shared" ca="1" si="4"/>
        <v>8.198614318706697E-2</v>
      </c>
      <c r="K23" s="60">
        <f t="shared" ca="1" si="5"/>
        <v>0.13164251207729469</v>
      </c>
      <c r="M23" s="60">
        <f t="shared" ca="1" si="23"/>
        <v>3.4642032332563508E-2</v>
      </c>
      <c r="N23" s="60">
        <f t="shared" ca="1" si="24"/>
        <v>8.2125603864734303E-2</v>
      </c>
      <c r="P23" s="57" t="str">
        <f t="shared" ca="1" si="25"/>
        <v>＋410</v>
      </c>
      <c r="Q23" s="12" t="str">
        <f t="shared" ca="1" si="6"/>
        <v>割高</v>
      </c>
      <c r="R23" s="21">
        <f ca="1">終値履歴!D23</f>
        <v>8812</v>
      </c>
      <c r="S23" s="107">
        <f t="shared" ca="1" si="26"/>
        <v>6.4434180138568123E-2</v>
      </c>
      <c r="T23" s="21">
        <f ca="1">終値履歴!E23</f>
        <v>8051.333333333333</v>
      </c>
      <c r="U23" s="107">
        <f t="shared" ca="1" si="27"/>
        <v>0.14073283528993244</v>
      </c>
      <c r="W23" s="21">
        <f ca="1">終値履歴!F23</f>
        <v>6760</v>
      </c>
      <c r="X23" s="107">
        <f t="shared" ca="1" si="28"/>
        <v>0.27854855923159016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14300</v>
      </c>
      <c r="D24" s="15">
        <f ca="1">OFFSET(終値履歴!A24,0,COUNTA(終値履歴!G24:'終値履歴'!XFD24)+2,1,-1)</f>
        <v>1394</v>
      </c>
      <c r="E24" s="15">
        <f ca="1">OFFSET(終値履歴!A24,0,COUNTA(終値履歴!G24:'終値履歴'!XFD24)+3,1,-1)</f>
        <v>1337</v>
      </c>
      <c r="F24" s="15">
        <f ca="1">OFFSET(終値履歴!A24,0,COUNTA(終値履歴!G24:'終値履歴'!XFD24)+4,1,-1)</f>
        <v>1323</v>
      </c>
      <c r="G24" s="15">
        <f ca="1">OFFSET(終値履歴!A24,0,COUNTA(終値履歴!G24:'終値履歴'!XFD24)+5,1,-1)</f>
        <v>1352</v>
      </c>
      <c r="I24" s="60">
        <f t="shared" ca="1" si="3"/>
        <v>2.1919879062736205E-2</v>
      </c>
      <c r="J24" s="60">
        <f t="shared" ca="1" si="4"/>
        <v>1.1219147344801795E-2</v>
      </c>
      <c r="K24" s="60">
        <f t="shared" ca="1" si="5"/>
        <v>-3.0129124820659971E-2</v>
      </c>
      <c r="M24" s="60">
        <f t="shared" ca="1" si="23"/>
        <v>-1.0471204188481676E-2</v>
      </c>
      <c r="N24" s="60">
        <f t="shared" ca="1" si="24"/>
        <v>-5.0932568149210905E-2</v>
      </c>
      <c r="P24" s="57" t="str">
        <f t="shared" ca="1" si="25"/>
        <v>＋29</v>
      </c>
      <c r="Q24" s="12" t="str">
        <f t="shared" ca="1" si="6"/>
        <v>割安</v>
      </c>
      <c r="R24" s="21">
        <f ca="1">終値履歴!D24</f>
        <v>1367.2</v>
      </c>
      <c r="S24" s="107">
        <f t="shared" ca="1" si="26"/>
        <v>-1.1368735976065853E-2</v>
      </c>
      <c r="T24" s="21">
        <f ca="1">終値履歴!E24</f>
        <v>1390.6666666666667</v>
      </c>
      <c r="U24" s="107">
        <f t="shared" ca="1" si="27"/>
        <v>-2.8599605522682502E-2</v>
      </c>
      <c r="W24" s="21">
        <f ca="1">終値履歴!F24</f>
        <v>1323</v>
      </c>
      <c r="X24" s="107">
        <f t="shared" ca="1" si="28"/>
        <v>2.1449704142011833E-2</v>
      </c>
    </row>
    <row r="25" spans="2:24" x14ac:dyDescent="0.25">
      <c r="B25" s="49" t="str">
        <f>IPO監視一覧!B22</f>
        <v>コンヴァノ</v>
      </c>
      <c r="C25" s="62">
        <f>株価一覧!H24</f>
        <v>10600</v>
      </c>
      <c r="D25" s="15">
        <f ca="1">OFFSET(終値履歴!A25,0,COUNTA(終値履歴!G25:'終値履歴'!XFD25)+2,1,-1)</f>
        <v>1746</v>
      </c>
      <c r="E25" s="15">
        <f ca="1">OFFSET(終値履歴!A25,0,COUNTA(終値履歴!G25:'終値履歴'!XFD25)+3,1,-1)</f>
        <v>1700</v>
      </c>
      <c r="F25" s="15">
        <f ca="1">OFFSET(終値履歴!A25,0,COUNTA(終値履歴!G25:'終値履歴'!XFD25)+4,1,-1)</f>
        <v>1693</v>
      </c>
      <c r="G25" s="15">
        <f ca="1">OFFSET(終値履歴!A25,0,COUNTA(終値履歴!G25:'終値履歴'!XFD25)+5,1,-1)</f>
        <v>1728</v>
      </c>
      <c r="I25" s="60">
        <f t="shared" ca="1" si="3"/>
        <v>2.0673360897814529E-2</v>
      </c>
      <c r="J25" s="60">
        <f t="shared" ca="1" si="4"/>
        <v>1.6470588235294119E-2</v>
      </c>
      <c r="K25" s="60">
        <f t="shared" ca="1" si="5"/>
        <v>-1.0309278350515464E-2</v>
      </c>
      <c r="M25" s="60">
        <f t="shared" ca="1" si="23"/>
        <v>-4.1176470588235297E-3</v>
      </c>
      <c r="N25" s="60">
        <f t="shared" ca="1" si="24"/>
        <v>-3.0355097365406643E-2</v>
      </c>
      <c r="P25" s="57" t="str">
        <f t="shared" ca="1" si="25"/>
        <v>＋35</v>
      </c>
      <c r="Q25" s="12" t="str">
        <f t="shared" ca="1" si="6"/>
        <v>普通</v>
      </c>
      <c r="R25" s="21">
        <f ca="1">終値履歴!D25</f>
        <v>1732.4</v>
      </c>
      <c r="S25" s="107">
        <f t="shared" ca="1" si="26"/>
        <v>-2.5882352941177006E-3</v>
      </c>
      <c r="T25" s="21">
        <f ca="1">終値履歴!E25</f>
        <v>1724.5333333333333</v>
      </c>
      <c r="U25" s="107">
        <f t="shared" ca="1" si="27"/>
        <v>2.0061728395061903E-3</v>
      </c>
      <c r="W25" s="21">
        <f ca="1">終値履歴!F25</f>
        <v>1660</v>
      </c>
      <c r="X25" s="107">
        <f t="shared" ca="1" si="28"/>
        <v>3.9351851851851853E-2</v>
      </c>
    </row>
    <row r="26" spans="2:24" x14ac:dyDescent="0.25">
      <c r="B26" s="49" t="str">
        <f>IPO監視一覧!B23</f>
        <v>ＨＥＲＯＺ</v>
      </c>
      <c r="C26" s="62">
        <f>株価一覧!H25</f>
        <v>3800</v>
      </c>
      <c r="D26" s="15">
        <f ca="1">OFFSET(終値履歴!A26,0,COUNTA(終値履歴!G26:'終値履歴'!XFD26)+2,1,-1)</f>
        <v>18600</v>
      </c>
      <c r="E26" s="15">
        <f ca="1">OFFSET(終値履歴!A26,0,COUNTA(終値履歴!G26:'終値履歴'!XFD26)+3,1,-1)</f>
        <v>18220</v>
      </c>
      <c r="F26" s="15">
        <f ca="1">OFFSET(終値履歴!A26,0,COUNTA(終値履歴!G26:'終値履歴'!XFD26)+4,1,-1)</f>
        <v>17880</v>
      </c>
      <c r="G26" s="15">
        <f ca="1">OFFSET(終値履歴!A26,0,COUNTA(終値履歴!G26:'終値履歴'!XFD26)+5,1,-1)</f>
        <v>18250</v>
      </c>
      <c r="I26" s="60">
        <f t="shared" ca="1" si="3"/>
        <v>2.0693512304250559E-2</v>
      </c>
      <c r="J26" s="60">
        <f t="shared" ca="1" si="4"/>
        <v>1.6465422612513721E-3</v>
      </c>
      <c r="K26" s="60">
        <f t="shared" ca="1" si="5"/>
        <v>-1.8817204301075269E-2</v>
      </c>
      <c r="M26" s="60">
        <f t="shared" ref="M26:M31" ca="1" si="29">(F26-E26)/E26</f>
        <v>-1.8660812294182216E-2</v>
      </c>
      <c r="N26" s="60">
        <f t="shared" ref="N26:N31" ca="1" si="30">(F26-D26)/D26</f>
        <v>-3.870967741935484E-2</v>
      </c>
      <c r="P26" s="57" t="str">
        <f t="shared" ref="P26:P31" ca="1" si="31">IF(G26-F26 &gt; 0,CONCATENATE("＋",G26-F26),G26-F26)</f>
        <v>＋370</v>
      </c>
      <c r="Q26" s="12" t="str">
        <f t="shared" ca="1" si="6"/>
        <v>普通</v>
      </c>
      <c r="R26" s="21">
        <f ca="1">終値履歴!D26</f>
        <v>18400</v>
      </c>
      <c r="S26" s="107">
        <f t="shared" ref="S26:S31" ca="1" si="32">(G26-R26)/E26</f>
        <v>-8.2327113062568603E-3</v>
      </c>
      <c r="T26" s="21">
        <f ca="1">終値履歴!E26</f>
        <v>18218.666666666668</v>
      </c>
      <c r="U26" s="107">
        <f t="shared" ref="U26:U31" ca="1" si="33">(G26-T26)/G26</f>
        <v>1.7168949771688834E-3</v>
      </c>
      <c r="W26" s="21">
        <f ca="1">終値履歴!F26</f>
        <v>16620</v>
      </c>
      <c r="X26" s="107">
        <f t="shared" ref="X26:X31" ca="1" si="34">(G26-W26)/G26</f>
        <v>8.9315068493150684E-2</v>
      </c>
    </row>
    <row r="27" spans="2:24" x14ac:dyDescent="0.25">
      <c r="B27" s="49" t="str">
        <f>IPO監視一覧!B24</f>
        <v>ベストワンドットコム</v>
      </c>
      <c r="C27" s="62">
        <f>株価一覧!H26</f>
        <v>6300</v>
      </c>
      <c r="D27" s="15">
        <f ca="1">OFFSET(終値履歴!A27,0,COUNTA(終値履歴!G27:'終値履歴'!XFD27)+2,1,-1)</f>
        <v>11870</v>
      </c>
      <c r="E27" s="15">
        <f ca="1">OFFSET(終値履歴!A27,0,COUNTA(終値履歴!G27:'終値履歴'!XFD27)+3,1,-1)</f>
        <v>11820</v>
      </c>
      <c r="F27" s="15">
        <f ca="1">OFFSET(終値履歴!A27,0,COUNTA(終値履歴!G27:'終値履歴'!XFD27)+4,1,-1)</f>
        <v>11830</v>
      </c>
      <c r="G27" s="15">
        <f ca="1">OFFSET(終値履歴!A27,0,COUNTA(終値履歴!G27:'終値履歴'!XFD27)+5,1,-1)</f>
        <v>12310</v>
      </c>
      <c r="I27" s="60">
        <f t="shared" ca="1" si="3"/>
        <v>4.0574809805579037E-2</v>
      </c>
      <c r="J27" s="60">
        <f t="shared" ca="1" si="4"/>
        <v>4.1455160744500848E-2</v>
      </c>
      <c r="K27" s="60">
        <f t="shared" ca="1" si="5"/>
        <v>3.7068239258635213E-2</v>
      </c>
      <c r="M27" s="60">
        <f t="shared" ca="1" si="29"/>
        <v>8.4602368866328254E-4</v>
      </c>
      <c r="N27" s="60">
        <f t="shared" ca="1" si="30"/>
        <v>-3.3698399326032012E-3</v>
      </c>
      <c r="P27" s="57" t="str">
        <f t="shared" ca="1" si="31"/>
        <v>＋480</v>
      </c>
      <c r="Q27" s="12" t="str">
        <f t="shared" ca="1" si="6"/>
        <v>割高</v>
      </c>
      <c r="R27" s="21">
        <f ca="1">終値履歴!D27</f>
        <v>11862</v>
      </c>
      <c r="S27" s="107">
        <f t="shared" ca="1" si="32"/>
        <v>3.790186125211506E-2</v>
      </c>
      <c r="T27" s="21">
        <f ca="1">終値履歴!E27</f>
        <v>11738</v>
      </c>
      <c r="U27" s="107">
        <f t="shared" ca="1" si="33"/>
        <v>4.6466287571080421E-2</v>
      </c>
      <c r="W27" s="21">
        <f ca="1">終値履歴!F27</f>
        <v>11300</v>
      </c>
      <c r="X27" s="107">
        <f t="shared" ca="1" si="34"/>
        <v>8.2047116165718928E-2</v>
      </c>
    </row>
    <row r="28" spans="2:24" x14ac:dyDescent="0.25">
      <c r="B28" s="49" t="str">
        <f>IPO監視一覧!B25</f>
        <v>アイペット損害保険</v>
      </c>
      <c r="C28" s="62">
        <f>株価一覧!H27</f>
        <v>12900</v>
      </c>
      <c r="D28" s="15">
        <f ca="1">OFFSET(終値履歴!A28,0,COUNTA(終値履歴!G28:'終値履歴'!XFD28)+2,1,-1)</f>
        <v>4145</v>
      </c>
      <c r="E28" s="15">
        <f ca="1">OFFSET(終値履歴!A28,0,COUNTA(終値履歴!G28:'終値履歴'!XFD28)+3,1,-1)</f>
        <v>4215</v>
      </c>
      <c r="F28" s="15">
        <f ca="1">OFFSET(終値履歴!A28,0,COUNTA(終値履歴!G28:'終値履歴'!XFD28)+4,1,-1)</f>
        <v>4215</v>
      </c>
      <c r="G28" s="15">
        <f ca="1">OFFSET(終値履歴!A28,0,COUNTA(終値履歴!G28:'終値履歴'!XFD28)+5,1,-1)</f>
        <v>4290</v>
      </c>
      <c r="I28" s="60">
        <f t="shared" ca="1" si="3"/>
        <v>1.7793594306049824E-2</v>
      </c>
      <c r="J28" s="60">
        <f t="shared" ca="1" si="4"/>
        <v>1.7793594306049824E-2</v>
      </c>
      <c r="K28" s="60">
        <f t="shared" ca="1" si="5"/>
        <v>3.4981905910735828E-2</v>
      </c>
      <c r="M28" s="60">
        <f t="shared" ca="1" si="29"/>
        <v>0</v>
      </c>
      <c r="N28" s="60">
        <f t="shared" ca="1" si="30"/>
        <v>1.6887816646562123E-2</v>
      </c>
      <c r="P28" s="57" t="str">
        <f t="shared" ca="1" si="31"/>
        <v>＋75</v>
      </c>
      <c r="Q28" s="12" t="str">
        <f t="shared" ca="1" si="6"/>
        <v>割高</v>
      </c>
      <c r="R28" s="21">
        <f ca="1">終値履歴!D28</f>
        <v>4204</v>
      </c>
      <c r="S28" s="107">
        <f t="shared" ca="1" si="32"/>
        <v>2.0403321470937128E-2</v>
      </c>
      <c r="T28" s="21">
        <f ca="1">終値履歴!E28</f>
        <v>4242</v>
      </c>
      <c r="U28" s="107">
        <f t="shared" ca="1" si="33"/>
        <v>1.1188811188811189E-2</v>
      </c>
      <c r="W28" s="21">
        <f ca="1">終値履歴!F28</f>
        <v>4085</v>
      </c>
      <c r="X28" s="107">
        <f t="shared" ca="1" si="34"/>
        <v>4.7785547785547784E-2</v>
      </c>
    </row>
    <row r="29" spans="2:24" x14ac:dyDescent="0.25">
      <c r="B29" s="49" t="str">
        <f>IPO監視一覧!B26</f>
        <v>エヌリンクス</v>
      </c>
      <c r="C29" s="62">
        <f>株価一覧!H28</f>
        <v>800</v>
      </c>
      <c r="D29" s="15">
        <f ca="1">OFFSET(終値履歴!A29,0,COUNTA(終値履歴!G29:'終値履歴'!XFD29)+2,1,-1)</f>
        <v>2541</v>
      </c>
      <c r="E29" s="15">
        <f ca="1">OFFSET(終値履歴!A29,0,COUNTA(終値履歴!G29:'終値履歴'!XFD29)+3,1,-1)</f>
        <v>2490</v>
      </c>
      <c r="F29" s="15">
        <f ca="1">OFFSET(終値履歴!A29,0,COUNTA(終値履歴!G29:'終値履歴'!XFD29)+4,1,-1)</f>
        <v>2476</v>
      </c>
      <c r="G29" s="15">
        <f ca="1">OFFSET(終値履歴!A29,0,COUNTA(終値履歴!G29:'終値履歴'!XFD29)+5,1,-1)</f>
        <v>2475</v>
      </c>
      <c r="I29" s="60">
        <f t="shared" ca="1" si="3"/>
        <v>-4.0387722132471731E-4</v>
      </c>
      <c r="J29" s="60">
        <f t="shared" ca="1" si="4"/>
        <v>-6.024096385542169E-3</v>
      </c>
      <c r="K29" s="60">
        <f t="shared" ca="1" si="5"/>
        <v>-2.5974025974025976E-2</v>
      </c>
      <c r="M29" s="60">
        <f t="shared" ca="1" si="29"/>
        <v>-5.6224899598393578E-3</v>
      </c>
      <c r="N29" s="60">
        <f t="shared" ca="1" si="30"/>
        <v>-2.5580480125934672E-2</v>
      </c>
      <c r="P29" s="57">
        <f t="shared" ca="1" si="31"/>
        <v>-1</v>
      </c>
      <c r="Q29" s="12" t="str">
        <f t="shared" ca="1" si="6"/>
        <v>普通</v>
      </c>
      <c r="R29" s="21">
        <f ca="1">終値履歴!D29</f>
        <v>2513.4</v>
      </c>
      <c r="S29" s="107">
        <f t="shared" ca="1" si="32"/>
        <v>-1.5421686746987988E-2</v>
      </c>
      <c r="T29" s="21">
        <f ca="1">終値履歴!E29</f>
        <v>2403.6</v>
      </c>
      <c r="U29" s="107">
        <f t="shared" ca="1" si="33"/>
        <v>2.8848484848484884E-2</v>
      </c>
      <c r="W29" s="21">
        <f ca="1">終値履歴!F29</f>
        <v>2195</v>
      </c>
      <c r="X29" s="107">
        <f t="shared" ca="1" si="34"/>
        <v>0.11313131313131314</v>
      </c>
    </row>
    <row r="30" spans="2:24" x14ac:dyDescent="0.25">
      <c r="B30" s="49" t="str">
        <f>IPO監視一覧!B27</f>
        <v>ラクスル</v>
      </c>
      <c r="C30" s="62">
        <f>株価一覧!H29</f>
        <v>142000</v>
      </c>
      <c r="D30" s="15">
        <f ca="1">OFFSET(終値履歴!A30,0,COUNTA(終値履歴!G30:'終値履歴'!XFD30)+2,1,-1)</f>
        <v>2762</v>
      </c>
      <c r="E30" s="15">
        <f ca="1">OFFSET(終値履歴!A30,0,COUNTA(終値履歴!G30:'終値履歴'!XFD30)+3,1,-1)</f>
        <v>2718</v>
      </c>
      <c r="F30" s="15">
        <f ca="1">OFFSET(終値履歴!A30,0,COUNTA(終値履歴!G30:'終値履歴'!XFD30)+4,1,-1)</f>
        <v>2775</v>
      </c>
      <c r="G30" s="15">
        <f ca="1">OFFSET(終値履歴!A30,0,COUNTA(終値履歴!G30:'終値履歴'!XFD30)+5,1,-1)</f>
        <v>2886</v>
      </c>
      <c r="I30" s="60">
        <f t="shared" ca="1" si="3"/>
        <v>0.04</v>
      </c>
      <c r="J30" s="60">
        <f t="shared" ca="1" si="4"/>
        <v>6.1810154525386317E-2</v>
      </c>
      <c r="K30" s="60">
        <f t="shared" ca="1" si="5"/>
        <v>4.4895003620564811E-2</v>
      </c>
      <c r="M30" s="60">
        <f t="shared" ca="1" si="29"/>
        <v>2.097130242825607E-2</v>
      </c>
      <c r="N30" s="60">
        <f t="shared" ca="1" si="30"/>
        <v>4.7067342505430852E-3</v>
      </c>
      <c r="P30" s="57" t="str">
        <f t="shared" ca="1" si="31"/>
        <v>＋111</v>
      </c>
      <c r="Q30" s="12" t="str">
        <f t="shared" ca="1" si="6"/>
        <v>割高</v>
      </c>
      <c r="R30" s="21">
        <f ca="1">終値履歴!D30</f>
        <v>2776.2</v>
      </c>
      <c r="S30" s="107">
        <f t="shared" ca="1" si="32"/>
        <v>4.0397350993377552E-2</v>
      </c>
      <c r="T30" s="21">
        <f ca="1">終値履歴!E30</f>
        <v>2727.2666666666669</v>
      </c>
      <c r="U30" s="107">
        <f t="shared" ca="1" si="33"/>
        <v>5.5001155001154926E-2</v>
      </c>
      <c r="W30" s="21">
        <f ca="1">終値履歴!F30</f>
        <v>2612</v>
      </c>
      <c r="X30" s="107">
        <f t="shared" ca="1" si="34"/>
        <v>9.4941094941094942E-2</v>
      </c>
    </row>
    <row r="31" spans="2:24" x14ac:dyDescent="0.25">
      <c r="B31" s="49" t="str">
        <f>IPO監視一覧!B28</f>
        <v>メルカリ</v>
      </c>
      <c r="C31" s="62">
        <f>株価一覧!H30</f>
        <v>776400</v>
      </c>
      <c r="D31" s="15">
        <f ca="1">OFFSET(終値履歴!A31,0,COUNTA(終値履歴!G31:'終値履歴'!XFD31)+2,1,-1)</f>
        <v>3690</v>
      </c>
      <c r="E31" s="15">
        <f ca="1">OFFSET(終値履歴!A31,0,COUNTA(終値履歴!G31:'終値履歴'!XFD31)+3,1,-1)</f>
        <v>3375</v>
      </c>
      <c r="F31" s="15">
        <f ca="1">OFFSET(終値履歴!A31,0,COUNTA(終値履歴!G31:'終値履歴'!XFD31)+4,1,-1)</f>
        <v>3235</v>
      </c>
      <c r="G31" s="15">
        <f ca="1">OFFSET(終値履歴!A31,0,COUNTA(終値履歴!G31:'終値履歴'!XFD31)+5,1,-1)</f>
        <v>3155</v>
      </c>
      <c r="I31" s="60">
        <f t="shared" ca="1" si="3"/>
        <v>-2.472952086553323E-2</v>
      </c>
      <c r="J31" s="60">
        <f t="shared" ca="1" si="4"/>
        <v>-6.5185185185185179E-2</v>
      </c>
      <c r="K31" s="60">
        <f t="shared" ca="1" si="5"/>
        <v>-0.14498644986449866</v>
      </c>
      <c r="M31" s="60">
        <f t="shared" ca="1" si="29"/>
        <v>-4.148148148148148E-2</v>
      </c>
      <c r="N31" s="60">
        <f t="shared" ca="1" si="30"/>
        <v>-0.12330623306233063</v>
      </c>
      <c r="P31" s="57">
        <f t="shared" ca="1" si="31"/>
        <v>-80</v>
      </c>
      <c r="Q31" s="12" t="str">
        <f t="shared" ca="1" si="6"/>
        <v>割安</v>
      </c>
      <c r="R31" s="21">
        <f ca="1">終値履歴!D31</f>
        <v>3440</v>
      </c>
      <c r="S31" s="107">
        <f t="shared" ca="1" si="32"/>
        <v>-8.4444444444444447E-2</v>
      </c>
      <c r="T31" s="21">
        <f ca="1">終値履歴!E31</f>
        <v>3545.3333333333335</v>
      </c>
      <c r="U31" s="107">
        <f t="shared" ca="1" si="33"/>
        <v>-0.12371896460644484</v>
      </c>
      <c r="W31" s="21">
        <f ca="1">終値履歴!F31</f>
        <v>3155</v>
      </c>
      <c r="X31" s="107">
        <f t="shared" ca="1" si="34"/>
        <v>0</v>
      </c>
    </row>
    <row r="32" spans="2:24" x14ac:dyDescent="0.25">
      <c r="B32" s="49" t="str">
        <f>IPO監視一覧!B29</f>
        <v>ログリー</v>
      </c>
      <c r="C32" s="62">
        <f>株価一覧!H31</f>
        <v>10200</v>
      </c>
      <c r="D32" s="15">
        <f ca="1">OFFSET(終値履歴!A32,0,COUNTA(終値履歴!G32:'終値履歴'!XFD32)+2,1,-1)</f>
        <v>3000</v>
      </c>
      <c r="E32" s="15">
        <f ca="1">OFFSET(終値履歴!A32,0,COUNTA(終値履歴!G32:'終値履歴'!XFD32)+3,1,-1)</f>
        <v>3080</v>
      </c>
      <c r="F32" s="15">
        <f ca="1">OFFSET(終値履歴!A32,0,COUNTA(終値履歴!G32:'終値履歴'!XFD32)+4,1,-1)</f>
        <v>2967</v>
      </c>
      <c r="G32" s="15">
        <f ca="1">OFFSET(終値履歴!A32,0,COUNTA(終値履歴!G32:'終値履歴'!XFD32)+5,1,-1)</f>
        <v>2914</v>
      </c>
      <c r="I32" s="60">
        <f t="shared" ca="1" si="3"/>
        <v>-1.7863161442534546E-2</v>
      </c>
      <c r="J32" s="60">
        <f t="shared" ca="1" si="4"/>
        <v>-5.3896103896103893E-2</v>
      </c>
      <c r="K32" s="60">
        <f t="shared" ca="1" si="5"/>
        <v>-2.8666666666666667E-2</v>
      </c>
      <c r="M32" s="60">
        <f t="shared" ref="M32:M40" ca="1" si="35">(F32-E32)/E32</f>
        <v>-3.6688311688311687E-2</v>
      </c>
      <c r="N32" s="60">
        <f t="shared" ref="N32:N40" ca="1" si="36">(F32-D32)/D32</f>
        <v>-1.0999999999999999E-2</v>
      </c>
      <c r="P32" s="57">
        <f t="shared" ref="P32:P40" ca="1" si="37">IF(G32-F32 &gt; 0,CONCATENATE("＋",G32-F32),G32-F32)</f>
        <v>-53</v>
      </c>
      <c r="Q32" s="12" t="str">
        <f t="shared" ca="1" si="6"/>
        <v>普通</v>
      </c>
      <c r="R32" s="21">
        <f ca="1">終値履歴!D32</f>
        <v>3050.2</v>
      </c>
      <c r="S32" s="107">
        <f t="shared" ref="S32:S40" ca="1" si="38">(G32-R32)/E32</f>
        <v>-4.4220779220779161E-2</v>
      </c>
      <c r="T32" s="21">
        <f ca="1">終値履歴!E32</f>
        <v>2829.0666666666666</v>
      </c>
      <c r="U32" s="107">
        <f t="shared" ref="U32:U40" ca="1" si="39">(G32-T32)/G32</f>
        <v>2.9146648364218736E-2</v>
      </c>
      <c r="W32" s="21">
        <f ca="1">終値履歴!F32</f>
        <v>2562</v>
      </c>
      <c r="X32" s="107">
        <f t="shared" ref="X32:X40" ca="1" si="40">(G32-W32)/G32</f>
        <v>0.12079615648592999</v>
      </c>
    </row>
    <row r="33" spans="2:24" x14ac:dyDescent="0.25">
      <c r="B33" s="49" t="str">
        <f>IPO監視一覧!B30</f>
        <v>ＳＩＧ</v>
      </c>
      <c r="C33" s="62">
        <f>株価一覧!H32</f>
        <v>47000</v>
      </c>
      <c r="D33" s="15">
        <f ca="1">OFFSET(終値履歴!A33,0,COUNTA(終値履歴!G33:'終値履歴'!XFD33)+2,1,-1)</f>
        <v>2497</v>
      </c>
      <c r="E33" s="15">
        <f ca="1">OFFSET(終値履歴!A33,0,COUNTA(終値履歴!G33:'終値履歴'!XFD33)+3,1,-1)</f>
        <v>2318</v>
      </c>
      <c r="F33" s="15">
        <f ca="1">OFFSET(終値履歴!A33,0,COUNTA(終値履歴!G33:'終値履歴'!XFD33)+4,1,-1)</f>
        <v>2559</v>
      </c>
      <c r="G33" s="15">
        <f ca="1">OFFSET(終値履歴!A33,0,COUNTA(終値履歴!G33:'終値履歴'!XFD33)+5,1,-1)</f>
        <v>2484</v>
      </c>
      <c r="I33" s="60">
        <f t="shared" ca="1" si="3"/>
        <v>-2.9308323563892145E-2</v>
      </c>
      <c r="J33" s="60">
        <f t="shared" ca="1" si="4"/>
        <v>7.1613459879206212E-2</v>
      </c>
      <c r="K33" s="60">
        <f t="shared" ca="1" si="5"/>
        <v>-5.2062474969963961E-3</v>
      </c>
      <c r="M33" s="60">
        <f t="shared" ca="1" si="35"/>
        <v>0.10396893874029335</v>
      </c>
      <c r="N33" s="60">
        <f t="shared" ca="1" si="36"/>
        <v>2.4829795754905886E-2</v>
      </c>
      <c r="P33" s="57">
        <f t="shared" ca="1" si="37"/>
        <v>-75</v>
      </c>
      <c r="Q33" s="12" t="str">
        <f t="shared" ca="1" si="6"/>
        <v>割高</v>
      </c>
      <c r="R33" s="21">
        <f ca="1">終値履歴!D33</f>
        <v>2399.4</v>
      </c>
      <c r="S33" s="107">
        <f t="shared" ca="1" si="38"/>
        <v>3.6496980155306259E-2</v>
      </c>
      <c r="T33" s="21">
        <f ca="1">終値履歴!E33</f>
        <v>2232.4</v>
      </c>
      <c r="U33" s="107">
        <f t="shared" ca="1" si="39"/>
        <v>0.10128824476650559</v>
      </c>
      <c r="W33" s="21">
        <f ca="1">終値履歴!F33</f>
        <v>2013</v>
      </c>
      <c r="X33" s="107">
        <f t="shared" ca="1" si="40"/>
        <v>0.18961352657004832</v>
      </c>
    </row>
    <row r="34" spans="2:24" x14ac:dyDescent="0.25">
      <c r="B34" s="49" t="str">
        <f>IPO監視一覧!B31</f>
        <v>コーア商事HD</v>
      </c>
      <c r="C34" s="62">
        <f>株価一覧!H33</f>
        <v>7000</v>
      </c>
      <c r="D34" s="15">
        <f ca="1">OFFSET(終値履歴!A34,0,COUNTA(終値履歴!G34:'終値履歴'!XFD34)+2,1,-1)</f>
        <v>5000</v>
      </c>
      <c r="E34" s="15">
        <f ca="1">OFFSET(終値履歴!A34,0,COUNTA(終値履歴!G34:'終値履歴'!XFD34)+3,1,-1)</f>
        <v>4875</v>
      </c>
      <c r="F34" s="15">
        <f ca="1">OFFSET(終値履歴!A34,0,COUNTA(終値履歴!G34:'終値履歴'!XFD34)+4,1,-1)</f>
        <v>5060</v>
      </c>
      <c r="G34" s="15">
        <f ca="1">OFFSET(終値履歴!A34,0,COUNTA(終値履歴!G34:'終値履歴'!XFD34)+5,1,-1)</f>
        <v>5000</v>
      </c>
      <c r="I34" s="60">
        <f t="shared" ca="1" si="3"/>
        <v>-1.1857707509881422E-2</v>
      </c>
      <c r="J34" s="60">
        <f t="shared" ca="1" si="4"/>
        <v>2.564102564102564E-2</v>
      </c>
      <c r="K34" s="60">
        <f t="shared" ca="1" si="5"/>
        <v>0</v>
      </c>
      <c r="M34" s="60">
        <f t="shared" ca="1" si="35"/>
        <v>3.7948717948717951E-2</v>
      </c>
      <c r="N34" s="60">
        <f t="shared" ca="1" si="36"/>
        <v>1.2E-2</v>
      </c>
      <c r="P34" s="57">
        <f t="shared" ca="1" si="37"/>
        <v>-60</v>
      </c>
      <c r="Q34" s="12" t="str">
        <f t="shared" ca="1" si="6"/>
        <v>割安</v>
      </c>
      <c r="R34" s="21">
        <f ca="1">終値履歴!D34</f>
        <v>5013</v>
      </c>
      <c r="S34" s="107">
        <f t="shared" ca="1" si="38"/>
        <v>-2.6666666666666666E-3</v>
      </c>
      <c r="T34" s="21">
        <f ca="1">終値履歴!E34</f>
        <v>5031</v>
      </c>
      <c r="U34" s="107">
        <f t="shared" ca="1" si="39"/>
        <v>-6.1999999999999998E-3</v>
      </c>
      <c r="W34" s="21">
        <f ca="1">終値履歴!F34</f>
        <v>4540</v>
      </c>
      <c r="X34" s="107">
        <f t="shared" ca="1" si="40"/>
        <v>9.1999999999999998E-2</v>
      </c>
    </row>
    <row r="35" spans="2:24" x14ac:dyDescent="0.25">
      <c r="B35" s="49" t="str">
        <f>IPO監視一覧!B32</f>
        <v>ZUU</v>
      </c>
      <c r="C35" s="62">
        <f>株価一覧!H34</f>
        <v>27500</v>
      </c>
      <c r="D35" s="15">
        <f ca="1">OFFSET(終値履歴!A35,0,COUNTA(終値履歴!G35:'終値履歴'!XFD35)+2,1,-1)</f>
        <v>7230</v>
      </c>
      <c r="E35" s="15">
        <f ca="1">OFFSET(終値履歴!A35,0,COUNTA(終値履歴!G35:'終値履歴'!XFD35)+3,1,-1)</f>
        <v>7100</v>
      </c>
      <c r="F35" s="15">
        <f ca="1">OFFSET(終値履歴!A35,0,COUNTA(終値履歴!G35:'終値履歴'!XFD35)+4,1,-1)</f>
        <v>6870</v>
      </c>
      <c r="G35" s="15">
        <f ca="1">OFFSET(終値履歴!A35,0,COUNTA(終値履歴!G35:'終値履歴'!XFD35)+5,1,-1)</f>
        <v>7320</v>
      </c>
      <c r="I35" s="60">
        <f t="shared" ca="1" si="3"/>
        <v>6.5502183406113537E-2</v>
      </c>
      <c r="J35" s="60">
        <f t="shared" ca="1" si="4"/>
        <v>3.0985915492957747E-2</v>
      </c>
      <c r="K35" s="60">
        <f t="shared" ca="1" si="5"/>
        <v>1.2448132780082987E-2</v>
      </c>
      <c r="M35" s="60">
        <f t="shared" ca="1" si="35"/>
        <v>-3.2394366197183097E-2</v>
      </c>
      <c r="N35" s="60">
        <f t="shared" ca="1" si="36"/>
        <v>-4.9792531120331947E-2</v>
      </c>
      <c r="P35" s="57" t="str">
        <f t="shared" ca="1" si="37"/>
        <v>＋450</v>
      </c>
      <c r="Q35" s="12" t="str">
        <f t="shared" ca="1" si="6"/>
        <v>割高</v>
      </c>
      <c r="R35" s="21">
        <f ca="1">終値履歴!D35</f>
        <v>7134</v>
      </c>
      <c r="S35" s="107">
        <f t="shared" ca="1" si="38"/>
        <v>2.619718309859155E-2</v>
      </c>
      <c r="T35" s="21">
        <f ca="1">終値履歴!E35</f>
        <v>6481.666666666667</v>
      </c>
      <c r="U35" s="107">
        <f t="shared" ca="1" si="39"/>
        <v>0.11452641165755915</v>
      </c>
      <c r="W35" s="21">
        <f ca="1">終値履歴!F35</f>
        <v>4925</v>
      </c>
      <c r="X35" s="107">
        <f t="shared" ca="1" si="40"/>
        <v>0.32718579234972678</v>
      </c>
    </row>
    <row r="36" spans="2:24" x14ac:dyDescent="0.25">
      <c r="B36" s="49" t="str">
        <f>IPO監視一覧!B33</f>
        <v>ライトアップ</v>
      </c>
      <c r="C36" s="62">
        <f>株価一覧!H35</f>
        <v>17000</v>
      </c>
      <c r="D36" s="15">
        <f ca="1">OFFSET(終値履歴!A36,0,COUNTA(終値履歴!G36:'終値履歴'!XFD36)+2,1,-1)</f>
        <v>2402</v>
      </c>
      <c r="E36" s="15">
        <f ca="1">OFFSET(終値履歴!A36,0,COUNTA(終値履歴!G36:'終値履歴'!XFD36)+3,1,-1)</f>
        <v>2351</v>
      </c>
      <c r="F36" s="15">
        <f ca="1">OFFSET(終値履歴!A36,0,COUNTA(終値履歴!G36:'終値履歴'!XFD36)+4,1,-1)</f>
        <v>2285</v>
      </c>
      <c r="G36" s="15">
        <f ca="1">OFFSET(終値履歴!A36,0,COUNTA(終値履歴!G36:'終値履歴'!XFD36)+5,1,-1)</f>
        <v>2215</v>
      </c>
      <c r="I36" s="60">
        <f t="shared" ca="1" si="3"/>
        <v>-3.0634573304157548E-2</v>
      </c>
      <c r="J36" s="60">
        <f t="shared" ca="1" si="4"/>
        <v>-5.7847724372607399E-2</v>
      </c>
      <c r="K36" s="60">
        <f t="shared" ca="1" si="5"/>
        <v>-7.7851790174854288E-2</v>
      </c>
      <c r="M36" s="60">
        <f t="shared" ca="1" si="35"/>
        <v>-2.8073160357294766E-2</v>
      </c>
      <c r="N36" s="60">
        <f t="shared" ca="1" si="36"/>
        <v>-4.8709408825978351E-2</v>
      </c>
      <c r="P36" s="57">
        <f t="shared" ca="1" si="37"/>
        <v>-70</v>
      </c>
      <c r="Q36" s="12" t="str">
        <f t="shared" ca="1" si="6"/>
        <v>割安</v>
      </c>
      <c r="R36" s="21">
        <f ca="1">終値履歴!D36</f>
        <v>2362.8000000000002</v>
      </c>
      <c r="S36" s="107">
        <f t="shared" ca="1" si="38"/>
        <v>-6.286686516376018E-2</v>
      </c>
      <c r="T36" s="21">
        <f ca="1">終値履歴!E36</f>
        <v>2392.3333333333335</v>
      </c>
      <c r="U36" s="107">
        <f t="shared" ca="1" si="39"/>
        <v>-8.006019563581647E-2</v>
      </c>
      <c r="W36" s="21">
        <f ca="1">終値履歴!F36</f>
        <v>2215</v>
      </c>
      <c r="X36" s="107">
        <f t="shared" ca="1" si="40"/>
        <v>0</v>
      </c>
    </row>
    <row r="37" spans="2:24" x14ac:dyDescent="0.25">
      <c r="B37" s="49" t="str">
        <f>IPO監視一覧!B34</f>
        <v>国際紙パルプ商事</v>
      </c>
      <c r="C37" s="62">
        <f>株価一覧!H36</f>
        <v>139200</v>
      </c>
      <c r="D37" s="15">
        <f ca="1">OFFSET(終値履歴!A37,0,COUNTA(終値履歴!G37:'終値履歴'!XFD37)+2,1,-1)</f>
        <v>373</v>
      </c>
      <c r="E37" s="15">
        <f ca="1">OFFSET(終値履歴!A37,0,COUNTA(終値履歴!G37:'終値履歴'!XFD37)+3,1,-1)</f>
        <v>369</v>
      </c>
      <c r="F37" s="15">
        <f ca="1">OFFSET(終値履歴!A37,0,COUNTA(終値履歴!G37:'終値履歴'!XFD37)+4,1,-1)</f>
        <v>363</v>
      </c>
      <c r="G37" s="15">
        <f ca="1">OFFSET(終値履歴!A37,0,COUNTA(終値履歴!G37:'終値履歴'!XFD37)+5,1,-1)</f>
        <v>369</v>
      </c>
      <c r="I37" s="60">
        <f t="shared" ca="1" si="3"/>
        <v>1.6528925619834711E-2</v>
      </c>
      <c r="J37" s="60">
        <f t="shared" ca="1" si="4"/>
        <v>0</v>
      </c>
      <c r="K37" s="60">
        <f t="shared" ca="1" si="5"/>
        <v>-1.0723860589812333E-2</v>
      </c>
      <c r="M37" s="60">
        <f t="shared" ca="1" si="35"/>
        <v>-1.6260162601626018E-2</v>
      </c>
      <c r="N37" s="60">
        <f t="shared" ca="1" si="36"/>
        <v>-2.6809651474530832E-2</v>
      </c>
      <c r="P37" s="57" t="str">
        <f t="shared" ca="1" si="37"/>
        <v>＋6</v>
      </c>
      <c r="Q37" s="12" t="str">
        <f t="shared" ca="1" si="6"/>
        <v>割安</v>
      </c>
      <c r="R37" s="21">
        <f ca="1">終値履歴!D37</f>
        <v>370.6</v>
      </c>
      <c r="S37" s="107">
        <f t="shared" ca="1" si="38"/>
        <v>-4.3360433604336659E-3</v>
      </c>
      <c r="T37" s="21">
        <f ca="1">終値履歴!E37</f>
        <v>377.33333333333331</v>
      </c>
      <c r="U37" s="107">
        <f t="shared" ca="1" si="39"/>
        <v>-2.2583559168924971E-2</v>
      </c>
      <c r="W37" s="21">
        <f ca="1">終値履歴!F37</f>
        <v>363</v>
      </c>
      <c r="X37" s="107">
        <f t="shared" ca="1" si="40"/>
        <v>1.6260162601626018E-2</v>
      </c>
    </row>
    <row r="38" spans="2:24" x14ac:dyDescent="0.25">
      <c r="B38" s="49" t="str">
        <f>IPO監視一覧!B35</f>
        <v>エーアイ</v>
      </c>
      <c r="C38" s="62">
        <f>株価一覧!H37</f>
        <v>113100</v>
      </c>
      <c r="D38" s="15">
        <f ca="1">OFFSET(終値履歴!A38,0,COUNTA(終値履歴!G38:'終値履歴'!XFD38)+2,1,-1)</f>
        <v>2674</v>
      </c>
      <c r="E38" s="15">
        <f ca="1">OFFSET(終値履歴!A38,0,COUNTA(終値履歴!G38:'終値履歴'!XFD38)+3,1,-1)</f>
        <v>2831</v>
      </c>
      <c r="F38" s="15">
        <f ca="1">OFFSET(終値履歴!A38,0,COUNTA(終値履歴!G38:'終値履歴'!XFD38)+4,1,-1)</f>
        <v>2844</v>
      </c>
      <c r="G38" s="15">
        <f ca="1">OFFSET(終値履歴!A38,0,COUNTA(終値履歴!G38:'終値履歴'!XFD38)+5,1,-1)</f>
        <v>2999</v>
      </c>
      <c r="I38" s="60">
        <f t="shared" ca="1" si="3"/>
        <v>5.4500703234880453E-2</v>
      </c>
      <c r="J38" s="60">
        <f t="shared" ca="1" si="4"/>
        <v>5.9342988343341577E-2</v>
      </c>
      <c r="K38" s="60">
        <f t="shared" ca="1" si="5"/>
        <v>0.12154076290201944</v>
      </c>
      <c r="M38" s="60">
        <f t="shared" ca="1" si="35"/>
        <v>4.5920169551395265E-3</v>
      </c>
      <c r="N38" s="60">
        <f t="shared" ca="1" si="36"/>
        <v>6.3575168287210174E-2</v>
      </c>
      <c r="P38" s="57" t="str">
        <f t="shared" ca="1" si="37"/>
        <v>＋155</v>
      </c>
      <c r="Q38" s="12" t="str">
        <f t="shared" ca="1" si="6"/>
        <v>割高</v>
      </c>
      <c r="R38" s="21">
        <f ca="1">終値履歴!D38</f>
        <v>2818.4</v>
      </c>
      <c r="S38" s="107">
        <f t="shared" ca="1" si="38"/>
        <v>6.3793712469092156E-2</v>
      </c>
      <c r="T38" s="21">
        <f ca="1">終値履歴!E38</f>
        <v>2509.5333333333333</v>
      </c>
      <c r="U38" s="107">
        <f t="shared" ca="1" si="39"/>
        <v>0.16320995887518064</v>
      </c>
      <c r="W38" s="21">
        <f ca="1">終値履歴!F38</f>
        <v>1993</v>
      </c>
      <c r="X38" s="107">
        <f t="shared" ca="1" si="40"/>
        <v>0.33544514838279427</v>
      </c>
    </row>
    <row r="39" spans="2:24" x14ac:dyDescent="0.25">
      <c r="B39" s="49" t="str">
        <f>IPO監視一覧!B36</f>
        <v>プロパティデータバンク</v>
      </c>
      <c r="C39" s="62">
        <f>株価一覧!H38</f>
        <v>5600</v>
      </c>
      <c r="D39" s="15">
        <f ca="1">OFFSET(終値履歴!A39,0,COUNTA(終値履歴!G39:'終値履歴'!XFD39)+2,1,-1)</f>
        <v>2471</v>
      </c>
      <c r="E39" s="15">
        <f ca="1">OFFSET(終値履歴!A39,0,COUNTA(終値履歴!G39:'終値履歴'!XFD39)+3,1,-1)</f>
        <v>2438</v>
      </c>
      <c r="F39" s="15">
        <f ca="1">OFFSET(終値履歴!A39,0,COUNTA(終値履歴!G39:'終値履歴'!XFD39)+4,1,-1)</f>
        <v>2387</v>
      </c>
      <c r="G39" s="15">
        <f ca="1">OFFSET(終値履歴!A39,0,COUNTA(終値履歴!G39:'終値履歴'!XFD39)+5,1,-1)</f>
        <v>2330</v>
      </c>
      <c r="I39" s="60">
        <f t="shared" ca="1" si="3"/>
        <v>-2.387934645999162E-2</v>
      </c>
      <c r="J39" s="60">
        <f t="shared" ca="1" si="4"/>
        <v>-4.4298605414273995E-2</v>
      </c>
      <c r="K39" s="60">
        <f t="shared" ca="1" si="5"/>
        <v>-5.7061918251719954E-2</v>
      </c>
      <c r="M39" s="60">
        <f t="shared" ca="1" si="35"/>
        <v>-2.0918785890073829E-2</v>
      </c>
      <c r="N39" s="60">
        <f t="shared" ca="1" si="36"/>
        <v>-3.39943342776204E-2</v>
      </c>
      <c r="P39" s="57">
        <f t="shared" ca="1" si="37"/>
        <v>-57</v>
      </c>
      <c r="Q39" s="12" t="str">
        <f t="shared" ca="1" si="6"/>
        <v>割安</v>
      </c>
      <c r="R39" s="21">
        <f ca="1">終値履歴!D39</f>
        <v>2411.1999999999998</v>
      </c>
      <c r="S39" s="107">
        <f t="shared" ca="1" si="38"/>
        <v>-3.3305988515176299E-2</v>
      </c>
      <c r="T39" s="21">
        <f ca="1">終値履歴!E39</f>
        <v>2467.0666666666666</v>
      </c>
      <c r="U39" s="107">
        <f t="shared" ca="1" si="39"/>
        <v>-5.8826895565092963E-2</v>
      </c>
      <c r="W39" s="21">
        <f ca="1">終値履歴!F39</f>
        <v>2330</v>
      </c>
      <c r="X39" s="107">
        <f t="shared" ca="1" si="40"/>
        <v>0</v>
      </c>
    </row>
    <row r="40" spans="2:24" x14ac:dyDescent="0.25">
      <c r="B40" s="49" t="str">
        <f>IPO監視一覧!B37</f>
        <v>IPS</v>
      </c>
      <c r="C40" s="62">
        <f>株価一覧!H39</f>
        <v>89300</v>
      </c>
      <c r="D40" s="15">
        <f ca="1">OFFSET(終値履歴!A40,0,COUNTA(終値履歴!G40:'終値履歴'!XFD40)+2,1,-1)</f>
        <v>8270</v>
      </c>
      <c r="E40" s="15">
        <f ca="1">OFFSET(終値履歴!A40,0,COUNTA(終値履歴!G40:'終値履歴'!XFD40)+3,1,-1)</f>
        <v>8060</v>
      </c>
      <c r="F40" s="15">
        <f ca="1">OFFSET(終値履歴!A40,0,COUNTA(終値履歴!G40:'終値履歴'!XFD40)+4,1,-1)</f>
        <v>8450</v>
      </c>
      <c r="G40" s="15">
        <f ca="1">OFFSET(終値履歴!A40,0,COUNTA(終値履歴!G40:'終値履歴'!XFD40)+5,1,-1)</f>
        <v>8500</v>
      </c>
      <c r="I40" s="60">
        <f t="shared" ca="1" si="3"/>
        <v>5.9171597633136093E-3</v>
      </c>
      <c r="J40" s="60">
        <f t="shared" ca="1" si="4"/>
        <v>5.4590570719602979E-2</v>
      </c>
      <c r="K40" s="60">
        <f t="shared" ca="1" si="5"/>
        <v>2.7811366384522369E-2</v>
      </c>
      <c r="M40" s="60">
        <f t="shared" ca="1" si="35"/>
        <v>4.8387096774193547E-2</v>
      </c>
      <c r="N40" s="60">
        <f t="shared" ca="1" si="36"/>
        <v>2.1765417170495769E-2</v>
      </c>
      <c r="P40" s="57" t="str">
        <f t="shared" ca="1" si="37"/>
        <v>＋50</v>
      </c>
      <c r="Q40" s="12" t="str">
        <f t="shared" ca="1" si="6"/>
        <v>割高</v>
      </c>
      <c r="R40" s="21">
        <f ca="1">終値履歴!D40</f>
        <v>8282</v>
      </c>
      <c r="S40" s="107">
        <f t="shared" ca="1" si="38"/>
        <v>2.7047146401985113E-2</v>
      </c>
      <c r="T40" s="21">
        <f ca="1">終値履歴!E40</f>
        <v>7886</v>
      </c>
      <c r="U40" s="107">
        <f t="shared" ca="1" si="39"/>
        <v>7.2235294117647064E-2</v>
      </c>
      <c r="W40" s="21">
        <f ca="1">終値履歴!F40</f>
        <v>7420</v>
      </c>
      <c r="X40" s="107">
        <f t="shared" ca="1" si="40"/>
        <v>0.12705882352941175</v>
      </c>
    </row>
    <row r="41" spans="2:24" x14ac:dyDescent="0.25">
      <c r="B41" s="49" t="str">
        <f>IPO監視一覧!B38</f>
        <v>スプリックス</v>
      </c>
      <c r="C41" s="62">
        <f>株価一覧!H40</f>
        <v>61900</v>
      </c>
      <c r="D41" s="15">
        <f ca="1">OFFSET(終値履歴!A41,0,COUNTA(終値履歴!G41:'終値履歴'!XFD41)+2,1,-1)</f>
        <v>2806</v>
      </c>
      <c r="E41" s="15">
        <f ca="1">OFFSET(終値履歴!A41,0,COUNTA(終値履歴!G41:'終値履歴'!XFD41)+3,1,-1)</f>
        <v>2751</v>
      </c>
      <c r="F41" s="15">
        <f ca="1">OFFSET(終値履歴!A41,0,COUNTA(終値履歴!G41:'終値履歴'!XFD41)+4,1,-1)</f>
        <v>2790</v>
      </c>
      <c r="G41" s="15">
        <f ca="1">OFFSET(終値履歴!A41,0,COUNTA(終値履歴!G41:'終値履歴'!XFD41)+5,1,-1)</f>
        <v>2816</v>
      </c>
      <c r="I41" s="60">
        <f t="shared" ref="I41:I42" ca="1" si="41">IF(ISERROR((G41-F41)/F41),"",(G41-F41)/F41)</f>
        <v>9.3189964157706102E-3</v>
      </c>
      <c r="J41" s="60">
        <f t="shared" ref="J41:J42" ca="1" si="42">IF(ISERROR((G41-E41)/E41),"",(G41-E41)/E41)</f>
        <v>2.3627771719374774E-2</v>
      </c>
      <c r="K41" s="60">
        <f t="shared" ref="K41:K42" ca="1" si="43">IF(ISERROR((G41-D41)/D41),"",(G41-D41)/D41)</f>
        <v>3.5637918745545262E-3</v>
      </c>
      <c r="M41" s="60">
        <f t="shared" ref="M41:M42" ca="1" si="44">(F41-E41)/E41</f>
        <v>1.4176663031624863E-2</v>
      </c>
      <c r="N41" s="60">
        <f t="shared" ref="N41:N42" ca="1" si="45">(F41-D41)/D41</f>
        <v>-5.7020669992872419E-3</v>
      </c>
      <c r="P41" s="57" t="str">
        <f t="shared" ref="P41:P42" ca="1" si="46">IF(G41-F41 &gt; 0,CONCATENATE("＋",G41-F41),G41-F41)</f>
        <v>＋26</v>
      </c>
      <c r="Q41" s="12" t="str">
        <f t="shared" ref="Q41:Q42" ca="1" si="47">IF(T41=0,"集計外",IF(AND(G41&lt;=T41,G41&lt;=R41),"割安",IF(AND(G41&gt;T41,G41&lt;=R41),"普通",IF(AND(G41&lt;=T41,G41&gt;R41),"普通","割高"))))</f>
        <v>割高</v>
      </c>
      <c r="R41" s="21">
        <f ca="1">終値履歴!D41</f>
        <v>2789.2</v>
      </c>
      <c r="S41" s="107">
        <f t="shared" ref="S41:S42" ca="1" si="48">(G41-R41)/E41</f>
        <v>9.7419120319884346E-3</v>
      </c>
      <c r="T41" s="21">
        <f ca="1">終値履歴!E41</f>
        <v>2750.2</v>
      </c>
      <c r="U41" s="107">
        <f t="shared" ref="U41:U42" ca="1" si="49">(G41-T41)/G41</f>
        <v>2.3366477272727337E-2</v>
      </c>
      <c r="W41" s="21">
        <f ca="1">終値履歴!F41</f>
        <v>2673</v>
      </c>
      <c r="X41" s="107">
        <f t="shared" ref="X41:X42" ca="1" si="50">(G41-W41)/G41</f>
        <v>5.078125E-2</v>
      </c>
    </row>
    <row r="42" spans="2:24" x14ac:dyDescent="0.25">
      <c r="B42" s="49" t="str">
        <f>IPO監視一覧!B39</f>
        <v>ロジザード</v>
      </c>
      <c r="C42" s="62">
        <f>株価一覧!H41</f>
        <v>55800</v>
      </c>
      <c r="D42" s="15">
        <f ca="1">OFFSET(終値履歴!A42,0,COUNTA(終値履歴!G42:'終値履歴'!XFD42)+2,1,-1)</f>
        <v>1835</v>
      </c>
      <c r="E42" s="15">
        <f ca="1">OFFSET(終値履歴!A42,0,COUNTA(終値履歴!G42:'終値履歴'!XFD42)+3,1,-1)</f>
        <v>1780</v>
      </c>
      <c r="F42" s="15">
        <f ca="1">OFFSET(終値履歴!A42,0,COUNTA(終値履歴!G42:'終値履歴'!XFD42)+4,1,-1)</f>
        <v>1837</v>
      </c>
      <c r="G42" s="15">
        <f ca="1">OFFSET(終値履歴!A42,0,COUNTA(終値履歴!G42:'終値履歴'!XFD42)+5,1,-1)</f>
        <v>1946</v>
      </c>
      <c r="I42" s="60">
        <f t="shared" ca="1" si="41"/>
        <v>5.9335873707131191E-2</v>
      </c>
      <c r="J42" s="60">
        <f t="shared" ca="1" si="42"/>
        <v>9.3258426966292135E-2</v>
      </c>
      <c r="K42" s="60">
        <f t="shared" ca="1" si="43"/>
        <v>6.0490463215258854E-2</v>
      </c>
      <c r="M42" s="60">
        <f t="shared" ca="1" si="44"/>
        <v>3.2022471910112357E-2</v>
      </c>
      <c r="N42" s="60">
        <f t="shared" ca="1" si="45"/>
        <v>1.0899182561307902E-3</v>
      </c>
      <c r="P42" s="57" t="str">
        <f t="shared" ca="1" si="46"/>
        <v>＋109</v>
      </c>
      <c r="Q42" s="12" t="str">
        <f t="shared" ca="1" si="47"/>
        <v>割高</v>
      </c>
      <c r="R42" s="21">
        <f ca="1">終値履歴!D42</f>
        <v>1859.2</v>
      </c>
      <c r="S42" s="107">
        <f t="shared" ca="1" si="48"/>
        <v>4.8764044943820202E-2</v>
      </c>
      <c r="T42" s="21">
        <f ca="1">終値履歴!E42</f>
        <v>1886.8666666666666</v>
      </c>
      <c r="U42" s="107">
        <f t="shared" ca="1" si="49"/>
        <v>3.0387118876327564E-2</v>
      </c>
      <c r="W42" s="21">
        <f ca="1">終値履歴!F42</f>
        <v>1780</v>
      </c>
      <c r="X42" s="107">
        <f t="shared" ca="1" si="50"/>
        <v>8.5303186022610486E-2</v>
      </c>
    </row>
    <row r="43" spans="2:24" x14ac:dyDescent="0.25">
      <c r="B43" s="49" t="str">
        <f>IPO監視一覧!B40</f>
        <v>キャンディル</v>
      </c>
      <c r="C43" s="62">
        <f>株価一覧!H42</f>
        <v>6700</v>
      </c>
      <c r="D43" s="15">
        <f ca="1">OFFSET(終値履歴!A43,0,COUNTA(終値履歴!G43:'終値履歴'!XFD43)+2,1,-1)</f>
        <v>1490</v>
      </c>
      <c r="E43" s="15">
        <f ca="1">OFFSET(終値履歴!A43,0,COUNTA(終値履歴!G43:'終値履歴'!XFD43)+3,1,-1)</f>
        <v>1430</v>
      </c>
      <c r="F43" s="15">
        <f ca="1">OFFSET(終値履歴!A43,0,COUNTA(終値履歴!G43:'終値履歴'!XFD43)+4,1,-1)</f>
        <v>1413</v>
      </c>
      <c r="G43" s="15">
        <f ca="1">OFFSET(終値履歴!A43,0,COUNTA(終値履歴!G43:'終値履歴'!XFD43)+5,1,-1)</f>
        <v>1445</v>
      </c>
      <c r="I43" s="60">
        <f t="shared" ref="I43:I45" ca="1" si="51">IF(ISERROR((G43-F43)/F43),"",(G43-F43)/F43)</f>
        <v>2.264685067232838E-2</v>
      </c>
      <c r="J43" s="60">
        <f t="shared" ref="J43:J45" ca="1" si="52">IF(ISERROR((G43-E43)/E43),"",(G43-E43)/E43)</f>
        <v>1.048951048951049E-2</v>
      </c>
      <c r="K43" s="60">
        <f t="shared" ref="K43:K45" ca="1" si="53">IF(ISERROR((G43-D43)/D43),"",(G43-D43)/D43)</f>
        <v>-3.0201342281879196E-2</v>
      </c>
      <c r="M43" s="60">
        <f t="shared" ref="M43:M45" ca="1" si="54">(F43-E43)/E43</f>
        <v>-1.1888111888111888E-2</v>
      </c>
      <c r="N43" s="60">
        <f t="shared" ref="N43:N45" ca="1" si="55">(F43-D43)/D43</f>
        <v>-5.1677852348993289E-2</v>
      </c>
      <c r="P43" s="57" t="str">
        <f t="shared" ref="P43:P45" ca="1" si="56">IF(G43-F43 &gt; 0,CONCATENATE("＋",G43-F43),G43-F43)</f>
        <v>＋32</v>
      </c>
      <c r="Q43" s="12" t="str">
        <f t="shared" ref="Q43:Q45" ca="1" si="57">IF(T43=0,"集計外",IF(AND(G43&lt;=T43,G43&lt;=R43),"割安",IF(AND(G43&gt;T43,G43&lt;=R43),"普通",IF(AND(G43&lt;=T43,G43&gt;R43),"普通","割高"))))</f>
        <v>割高</v>
      </c>
      <c r="R43" s="21">
        <f ca="1">終値履歴!D43</f>
        <v>1444.2</v>
      </c>
      <c r="S43" s="107">
        <f t="shared" ref="S43:S45" ca="1" si="58">(G43-R43)/E43</f>
        <v>5.5944055944052767E-4</v>
      </c>
      <c r="T43" s="21">
        <f ca="1">終値履歴!E43</f>
        <v>1343.1333333333334</v>
      </c>
      <c r="U43" s="107">
        <f t="shared" ref="U43:U45" ca="1" si="59">(G43-T43)/G43</f>
        <v>7.0495963091118732E-2</v>
      </c>
      <c r="W43" s="21">
        <f ca="1">終値履歴!F43</f>
        <v>1233</v>
      </c>
      <c r="X43" s="107">
        <f t="shared" ref="X43:X45" ca="1" si="60">(G43-W43)/G43</f>
        <v>0.14671280276816609</v>
      </c>
    </row>
    <row r="44" spans="2:24" x14ac:dyDescent="0.25">
      <c r="B44" s="49" t="str">
        <f>IPO監視一覧!B41</f>
        <v>ＭＴＧ</v>
      </c>
      <c r="C44" s="62">
        <f>株価一覧!H43</f>
        <v>53400</v>
      </c>
      <c r="D44" s="15">
        <f ca="1">OFFSET(終値履歴!A44,0,COUNTA(終値履歴!G44:'終値履歴'!XFD44)+2,1,-1)</f>
        <v>6350</v>
      </c>
      <c r="E44" s="15">
        <f ca="1">OFFSET(終値履歴!A44,0,COUNTA(終値履歴!G44:'終値履歴'!XFD44)+3,1,-1)</f>
        <v>6350</v>
      </c>
      <c r="F44" s="15">
        <f ca="1">OFFSET(終値履歴!A44,0,COUNTA(終値履歴!G44:'終値履歴'!XFD44)+4,1,-1)</f>
        <v>6230</v>
      </c>
      <c r="G44" s="15">
        <f ca="1">OFFSET(終値履歴!A44,0,COUNTA(終値履歴!G44:'終値履歴'!XFD44)+5,1,-1)</f>
        <v>6270</v>
      </c>
      <c r="I44" s="60">
        <f t="shared" ca="1" si="51"/>
        <v>6.420545746388443E-3</v>
      </c>
      <c r="J44" s="60">
        <f t="shared" ca="1" si="52"/>
        <v>-1.2598425196850394E-2</v>
      </c>
      <c r="K44" s="60">
        <f t="shared" ca="1" si="53"/>
        <v>-1.2598425196850394E-2</v>
      </c>
      <c r="M44" s="60">
        <f t="shared" ca="1" si="54"/>
        <v>-1.889763779527559E-2</v>
      </c>
      <c r="N44" s="60">
        <f t="shared" ca="1" si="55"/>
        <v>-1.889763779527559E-2</v>
      </c>
      <c r="P44" s="57" t="str">
        <f t="shared" ca="1" si="56"/>
        <v>＋40</v>
      </c>
      <c r="Q44" s="12" t="str">
        <f t="shared" ca="1" si="57"/>
        <v>割安</v>
      </c>
      <c r="R44" s="21">
        <f ca="1">終値履歴!D44</f>
        <v>6322</v>
      </c>
      <c r="S44" s="107">
        <f t="shared" ca="1" si="58"/>
        <v>-8.1889763779527565E-3</v>
      </c>
      <c r="T44" s="21">
        <f ca="1">終値履歴!E44</f>
        <v>6442.666666666667</v>
      </c>
      <c r="U44" s="107">
        <f t="shared" ca="1" si="59"/>
        <v>-2.753854332801706E-2</v>
      </c>
      <c r="W44" s="21">
        <f ca="1">終値履歴!F44</f>
        <v>6230</v>
      </c>
      <c r="X44" s="107">
        <f t="shared" ca="1" si="60"/>
        <v>6.379585326953748E-3</v>
      </c>
    </row>
    <row r="45" spans="2:24" x14ac:dyDescent="0.25">
      <c r="B45" s="49" t="str">
        <f>IPO監視一覧!B42</f>
        <v>マネジメントソリューションズ</v>
      </c>
      <c r="C45" s="62">
        <f>株価一覧!H44</f>
        <v>12400</v>
      </c>
      <c r="D45" s="15">
        <f ca="1">OFFSET(終値履歴!A45,0,COUNTA(終値履歴!G45:'終値履歴'!XFD45)+2,1,-1)</f>
        <v>3000</v>
      </c>
      <c r="E45" s="15">
        <f ca="1">OFFSET(終値履歴!A45,0,COUNTA(終値履歴!G45:'終値履歴'!XFD45)+3,1,-1)</f>
        <v>2820</v>
      </c>
      <c r="F45" s="15">
        <f ca="1">OFFSET(終値履歴!A45,0,COUNTA(終値履歴!G45:'終値履歴'!XFD45)+4,1,-1)</f>
        <v>2770</v>
      </c>
      <c r="G45" s="15">
        <f ca="1">OFFSET(終値履歴!A45,0,COUNTA(終値履歴!G45:'終値履歴'!XFD45)+5,1,-1)</f>
        <v>2829</v>
      </c>
      <c r="I45" s="60">
        <f t="shared" ca="1" si="51"/>
        <v>2.1299638989169676E-2</v>
      </c>
      <c r="J45" s="60">
        <f t="shared" ca="1" si="52"/>
        <v>3.1914893617021275E-3</v>
      </c>
      <c r="K45" s="60">
        <f t="shared" ca="1" si="53"/>
        <v>-5.7000000000000002E-2</v>
      </c>
      <c r="M45" s="60">
        <f t="shared" ca="1" si="54"/>
        <v>-1.7730496453900711E-2</v>
      </c>
      <c r="N45" s="60">
        <f t="shared" ca="1" si="55"/>
        <v>-7.6666666666666661E-2</v>
      </c>
      <c r="P45" s="57" t="str">
        <f t="shared" ca="1" si="56"/>
        <v>＋59</v>
      </c>
      <c r="Q45" s="12" t="str">
        <f t="shared" ca="1" si="57"/>
        <v>普通</v>
      </c>
      <c r="R45" s="21">
        <f ca="1">終値履歴!D45</f>
        <v>2911.8</v>
      </c>
      <c r="S45" s="107">
        <f t="shared" ca="1" si="58"/>
        <v>-2.936170212765964E-2</v>
      </c>
      <c r="T45" s="21">
        <f ca="1">終値履歴!E45</f>
        <v>2665.7333333333331</v>
      </c>
      <c r="U45" s="107">
        <f t="shared" ca="1" si="59"/>
        <v>5.7711794509249514E-2</v>
      </c>
      <c r="W45" s="21">
        <f ca="1">終値履歴!F45</f>
        <v>2368</v>
      </c>
      <c r="X45" s="107">
        <f t="shared" ca="1" si="60"/>
        <v>0.16295510781194769</v>
      </c>
    </row>
    <row r="46" spans="2:24" x14ac:dyDescent="0.25">
      <c r="B46" s="49" t="str">
        <f>IPO監視一覧!B43</f>
        <v>バンク・オブ・イノベーション</v>
      </c>
      <c r="C46" s="62">
        <f>株価一覧!H45</f>
        <v>48700</v>
      </c>
      <c r="D46" s="15">
        <f ca="1">OFFSET(終値履歴!A46,0,COUNTA(終値履歴!G46:'終値履歴'!XFD46)+2,1,-1)</f>
        <v>1654</v>
      </c>
      <c r="E46" s="15">
        <f ca="1">OFFSET(終値履歴!A46,0,COUNTA(終値履歴!G46:'終値履歴'!XFD46)+3,1,-1)</f>
        <v>1590</v>
      </c>
      <c r="F46" s="15">
        <f ca="1">OFFSET(終値履歴!A46,0,COUNTA(終値履歴!G46:'終値履歴'!XFD46)+4,1,-1)</f>
        <v>1622</v>
      </c>
      <c r="G46" s="15">
        <f ca="1">OFFSET(終値履歴!A46,0,COUNTA(終値履歴!G46:'終値履歴'!XFD46)+5,1,-1)</f>
        <v>1643</v>
      </c>
      <c r="I46" s="60">
        <f t="shared" ref="I46:I52" ca="1" si="61">IF(ISERROR((G46-F46)/F46),"",(G46-F46)/F46)</f>
        <v>1.2946979038224414E-2</v>
      </c>
      <c r="J46" s="60">
        <f t="shared" ref="J46:J52" ca="1" si="62">IF(ISERROR((G46-E46)/E46),"",(G46-E46)/E46)</f>
        <v>3.3333333333333333E-2</v>
      </c>
      <c r="K46" s="60">
        <f t="shared" ref="K46:K52" ca="1" si="63">IF(ISERROR((G46-D46)/D46),"",(G46-D46)/D46)</f>
        <v>-6.650544135429262E-3</v>
      </c>
      <c r="M46" s="60">
        <f t="shared" ref="M46:M52" ca="1" si="64">(F46-E46)/E46</f>
        <v>2.0125786163522012E-2</v>
      </c>
      <c r="N46" s="60">
        <f t="shared" ref="N46:N52" ca="1" si="65">(F46-D46)/D46</f>
        <v>-1.9347037484885126E-2</v>
      </c>
      <c r="P46" s="57" t="str">
        <f t="shared" ref="P46:P52" ca="1" si="66">IF(G46-F46 &gt; 0,CONCATENATE("＋",G46-F46),G46-F46)</f>
        <v>＋21</v>
      </c>
      <c r="Q46" s="12" t="str">
        <f t="shared" ref="Q46:Q52" ca="1" si="67">IF(T46=0,"集計外",IF(AND(G46&lt;=T46,G46&lt;=R46),"割安",IF(AND(G46&gt;T46,G46&lt;=R46),"普通",IF(AND(G46&lt;=T46,G46&gt;R46),"普通","割高"))))</f>
        <v>普通</v>
      </c>
      <c r="R46" s="21">
        <f ca="1">終値履歴!D46</f>
        <v>1641.8</v>
      </c>
      <c r="S46" s="107">
        <f t="shared" ref="S46:S52" ca="1" si="68">(G46-R46)/E46</f>
        <v>7.5471698113210406E-4</v>
      </c>
      <c r="T46" s="21">
        <f ca="1">終値履歴!E46</f>
        <v>1722.7333333333333</v>
      </c>
      <c r="U46" s="107">
        <f t="shared" ref="U46:U52" ca="1" si="69">(G46-T46)/G46</f>
        <v>-4.8529113410428086E-2</v>
      </c>
      <c r="W46" s="21">
        <f ca="1">終値履歴!F46</f>
        <v>1590</v>
      </c>
      <c r="X46" s="107">
        <f t="shared" ref="X46:X52" ca="1" si="70">(G46-W46)/G46</f>
        <v>3.2258064516129031E-2</v>
      </c>
    </row>
    <row r="47" spans="2:24" x14ac:dyDescent="0.25">
      <c r="B47" s="49" t="str">
        <f>IPO監視一覧!B44</f>
        <v>ga technologies</v>
      </c>
      <c r="C47" s="62">
        <f>株価一覧!H46</f>
        <v>694200</v>
      </c>
      <c r="D47" s="15">
        <f ca="1">OFFSET(終値履歴!A47,0,COUNTA(終値履歴!G47:'終値履歴'!XFD47)+2,1,-1)</f>
        <v>6720</v>
      </c>
      <c r="E47" s="15">
        <f ca="1">OFFSET(終値履歴!A47,0,COUNTA(終値履歴!G47:'終値履歴'!XFD47)+3,1,-1)</f>
        <v>7030</v>
      </c>
      <c r="F47" s="15">
        <f ca="1">OFFSET(終値履歴!A47,0,COUNTA(終値履歴!G47:'終値履歴'!XFD47)+4,1,-1)</f>
        <v>8470</v>
      </c>
      <c r="G47" s="15">
        <f ca="1">OFFSET(終値履歴!A47,0,COUNTA(終値履歴!G47:'終値履歴'!XFD47)+5,1,-1)</f>
        <v>7980</v>
      </c>
      <c r="I47" s="60">
        <f t="shared" ca="1" si="61"/>
        <v>-5.7851239669421489E-2</v>
      </c>
      <c r="J47" s="60">
        <f t="shared" ca="1" si="62"/>
        <v>0.13513513513513514</v>
      </c>
      <c r="K47" s="60">
        <f t="shared" ca="1" si="63"/>
        <v>0.1875</v>
      </c>
      <c r="M47" s="60">
        <f t="shared" ca="1" si="64"/>
        <v>0.20483641536273114</v>
      </c>
      <c r="N47" s="60">
        <f t="shared" ca="1" si="65"/>
        <v>0.26041666666666669</v>
      </c>
      <c r="P47" s="57">
        <f t="shared" ca="1" si="66"/>
        <v>-490</v>
      </c>
      <c r="Q47" s="12" t="str">
        <f t="shared" ca="1" si="67"/>
        <v>普通</v>
      </c>
      <c r="R47" s="21">
        <f ca="1">終値履歴!D47</f>
        <v>7600</v>
      </c>
      <c r="S47" s="107">
        <f t="shared" ca="1" si="68"/>
        <v>5.4054054054054057E-2</v>
      </c>
      <c r="T47" s="21">
        <f ca="1">終値履歴!E47</f>
        <v>9049.3333333333339</v>
      </c>
      <c r="U47" s="107">
        <f t="shared" ca="1" si="69"/>
        <v>-0.13400167084377618</v>
      </c>
      <c r="W47" s="21">
        <f ca="1">終値履歴!F47</f>
        <v>6720</v>
      </c>
      <c r="X47" s="107">
        <f t="shared" ca="1" si="70"/>
        <v>0.15789473684210525</v>
      </c>
    </row>
    <row r="48" spans="2:24" x14ac:dyDescent="0.25">
      <c r="B48" s="49" t="str">
        <f>IPO監視一覧!B45</f>
        <v>エクスモーション</v>
      </c>
      <c r="C48" s="62">
        <f>株価一覧!H47</f>
        <v>50300</v>
      </c>
      <c r="D48" s="15">
        <f ca="1">OFFSET(終値履歴!A48,0,COUNTA(終値履歴!G48:'終値履歴'!XFD48)+2,1,-1)</f>
        <v>4620</v>
      </c>
      <c r="E48" s="15">
        <f ca="1">OFFSET(終値履歴!A48,0,COUNTA(終値履歴!G48:'終値履歴'!XFD48)+3,1,-1)</f>
        <v>4305</v>
      </c>
      <c r="F48" s="15">
        <f ca="1">OFFSET(終値履歴!A48,0,COUNTA(終値履歴!G48:'終値履歴'!XFD48)+4,1,-1)</f>
        <v>4210</v>
      </c>
      <c r="G48" s="15">
        <f ca="1">OFFSET(終値履歴!A48,0,COUNTA(終値履歴!G48:'終値履歴'!XFD48)+5,1,-1)</f>
        <v>4470</v>
      </c>
      <c r="I48" s="60">
        <f t="shared" ca="1" si="61"/>
        <v>6.1757719714964368E-2</v>
      </c>
      <c r="J48" s="60">
        <f t="shared" ca="1" si="62"/>
        <v>3.8327526132404179E-2</v>
      </c>
      <c r="K48" s="60">
        <f t="shared" ca="1" si="63"/>
        <v>-3.2467532467532464E-2</v>
      </c>
      <c r="M48" s="60">
        <f t="shared" ca="1" si="64"/>
        <v>-2.2067363530778164E-2</v>
      </c>
      <c r="N48" s="60">
        <f t="shared" ca="1" si="65"/>
        <v>-8.8744588744588751E-2</v>
      </c>
      <c r="P48" s="57" t="str">
        <f t="shared" ca="1" si="66"/>
        <v>＋260</v>
      </c>
      <c r="Q48" s="12" t="str">
        <f t="shared" ca="1" si="67"/>
        <v>割安</v>
      </c>
      <c r="R48" s="21">
        <f ca="1">終値履歴!D48</f>
        <v>4470</v>
      </c>
      <c r="S48" s="107">
        <f t="shared" ca="1" si="68"/>
        <v>0</v>
      </c>
      <c r="T48" s="21">
        <f ca="1">終値履歴!E48</f>
        <v>4669</v>
      </c>
      <c r="U48" s="107">
        <f t="shared" ca="1" si="69"/>
        <v>-4.4519015659955259E-2</v>
      </c>
      <c r="W48" s="21">
        <f ca="1">終値履歴!F48</f>
        <v>4210</v>
      </c>
      <c r="X48" s="107">
        <f t="shared" ca="1" si="70"/>
        <v>5.8165548098434001E-2</v>
      </c>
    </row>
    <row r="49" spans="2:24" x14ac:dyDescent="0.25">
      <c r="B49" s="49" t="str">
        <f>IPO監視一覧!B46</f>
        <v>アクリート</v>
      </c>
      <c r="C49" s="62">
        <f>株価一覧!H48</f>
        <v>146400</v>
      </c>
      <c r="D49" s="15">
        <f ca="1">OFFSET(終値履歴!A49,0,COUNTA(終値履歴!G49:'終値履歴'!XFD49)+2,1,-1)</f>
        <v>1470</v>
      </c>
      <c r="E49" s="15">
        <f ca="1">OFFSET(終値履歴!A49,0,COUNTA(終値履歴!G49:'終値履歴'!XFD49)+3,1,-1)</f>
        <v>1385</v>
      </c>
      <c r="F49" s="15">
        <f ca="1">OFFSET(終値履歴!A49,0,COUNTA(終値履歴!G49:'終値履歴'!XFD49)+4,1,-1)</f>
        <v>1362</v>
      </c>
      <c r="G49" s="15">
        <f ca="1">OFFSET(終値履歴!A49,0,COUNTA(終値履歴!G49:'終値履歴'!XFD49)+5,1,-1)</f>
        <v>1388</v>
      </c>
      <c r="I49" s="60">
        <f t="shared" ca="1" si="61"/>
        <v>1.908957415565345E-2</v>
      </c>
      <c r="J49" s="60">
        <f t="shared" ca="1" si="62"/>
        <v>2.1660649819494585E-3</v>
      </c>
      <c r="K49" s="60">
        <f t="shared" ca="1" si="63"/>
        <v>-5.5782312925170066E-2</v>
      </c>
      <c r="M49" s="60">
        <f t="shared" ca="1" si="64"/>
        <v>-1.6606498194945848E-2</v>
      </c>
      <c r="N49" s="60">
        <f t="shared" ca="1" si="65"/>
        <v>-7.3469387755102047E-2</v>
      </c>
      <c r="P49" s="57" t="str">
        <f t="shared" ca="1" si="66"/>
        <v>＋26</v>
      </c>
      <c r="Q49" s="12" t="str">
        <f t="shared" ca="1" si="67"/>
        <v>割安</v>
      </c>
      <c r="R49" s="21">
        <f ca="1">終値履歴!D49</f>
        <v>1411</v>
      </c>
      <c r="S49" s="107">
        <f t="shared" ca="1" si="68"/>
        <v>-1.6606498194945848E-2</v>
      </c>
      <c r="T49" s="21">
        <f ca="1">終値履歴!E49</f>
        <v>1388.2</v>
      </c>
      <c r="U49" s="107">
        <f t="shared" ca="1" si="69"/>
        <v>-1.4409221902020566E-4</v>
      </c>
      <c r="W49" s="21">
        <f ca="1">終値履歴!F49</f>
        <v>1245</v>
      </c>
      <c r="X49" s="107">
        <f t="shared" ca="1" si="70"/>
        <v>0.10302593659942363</v>
      </c>
    </row>
    <row r="50" spans="2:24" x14ac:dyDescent="0.25">
      <c r="B50" s="49" t="str">
        <f>IPO監視一覧!B47</f>
        <v>プロレド・パートナーズ</v>
      </c>
      <c r="C50" s="62">
        <f>株価一覧!H49</f>
        <v>30200</v>
      </c>
      <c r="D50" s="15">
        <f ca="1">OFFSET(終値履歴!A50,0,COUNTA(終値履歴!G50:'終値履歴'!XFD50)+2,1,-1)</f>
        <v>9590</v>
      </c>
      <c r="E50" s="15">
        <f ca="1">OFFSET(終値履歴!A50,0,COUNTA(終値履歴!G50:'終値履歴'!XFD50)+3,1,-1)</f>
        <v>9040</v>
      </c>
      <c r="F50" s="15">
        <f ca="1">OFFSET(終値履歴!A50,0,COUNTA(終値履歴!G50:'終値履歴'!XFD50)+4,1,-1)</f>
        <v>9140</v>
      </c>
      <c r="G50" s="15">
        <f ca="1">OFFSET(終値履歴!A50,0,COUNTA(終値履歴!G50:'終値履歴'!XFD50)+5,1,-1)</f>
        <v>8900</v>
      </c>
      <c r="I50" s="60">
        <f t="shared" ca="1" si="61"/>
        <v>-2.6258205689277898E-2</v>
      </c>
      <c r="J50" s="60">
        <f t="shared" ca="1" si="62"/>
        <v>-1.5486725663716814E-2</v>
      </c>
      <c r="K50" s="60">
        <f t="shared" ca="1" si="63"/>
        <v>-7.1949947862356617E-2</v>
      </c>
      <c r="M50" s="60">
        <f t="shared" ca="1" si="64"/>
        <v>1.1061946902654867E-2</v>
      </c>
      <c r="N50" s="60">
        <f t="shared" ca="1" si="65"/>
        <v>-4.692387904066736E-2</v>
      </c>
      <c r="P50" s="57">
        <f t="shared" ca="1" si="66"/>
        <v>-240</v>
      </c>
      <c r="Q50" s="12" t="str">
        <f t="shared" ca="1" si="67"/>
        <v>普通</v>
      </c>
      <c r="R50" s="21">
        <f ca="1">終値履歴!D50</f>
        <v>9334</v>
      </c>
      <c r="S50" s="107">
        <f t="shared" ca="1" si="68"/>
        <v>-4.8008849557522125E-2</v>
      </c>
      <c r="T50" s="21">
        <f ca="1">終値履歴!E50</f>
        <v>8548.6666666666661</v>
      </c>
      <c r="U50" s="107">
        <f t="shared" ca="1" si="69"/>
        <v>3.947565543071168E-2</v>
      </c>
      <c r="W50" s="21">
        <f ca="1">終値履歴!F50</f>
        <v>6540</v>
      </c>
      <c r="X50" s="107">
        <f t="shared" ca="1" si="70"/>
        <v>0.26516853932584272</v>
      </c>
    </row>
    <row r="51" spans="2:24" x14ac:dyDescent="0.25">
      <c r="B51" s="49" t="str">
        <f>IPO監視一覧!B48</f>
        <v>システムサポート</v>
      </c>
      <c r="C51" s="62">
        <f>株価一覧!H50</f>
        <v>19400</v>
      </c>
      <c r="D51" s="15">
        <f ca="1">OFFSET(終値履歴!A51,0,COUNTA(終値履歴!G51:'終値履歴'!XFD51)+2,1,-1)</f>
        <v>2782</v>
      </c>
      <c r="E51" s="15">
        <f ca="1">OFFSET(終値履歴!A51,0,COUNTA(終値履歴!G51:'終値履歴'!XFD51)+3,1,-1)</f>
        <v>2623</v>
      </c>
      <c r="F51" s="15">
        <f ca="1">OFFSET(終値履歴!A51,0,COUNTA(終値履歴!G51:'終値履歴'!XFD51)+4,1,-1)</f>
        <v>2574</v>
      </c>
      <c r="G51" s="15">
        <f ca="1">OFFSET(終値履歴!A51,0,COUNTA(終値履歴!G51:'終値履歴'!XFD51)+5,1,-1)</f>
        <v>2584</v>
      </c>
      <c r="I51" s="60">
        <f t="shared" ca="1" si="61"/>
        <v>3.885003885003885E-3</v>
      </c>
      <c r="J51" s="60">
        <f t="shared" ca="1" si="62"/>
        <v>-1.4868471216164697E-2</v>
      </c>
      <c r="K51" s="60">
        <f t="shared" ca="1" si="63"/>
        <v>-7.1171818835370243E-2</v>
      </c>
      <c r="M51" s="60">
        <f t="shared" ca="1" si="64"/>
        <v>-1.8680899733130005E-2</v>
      </c>
      <c r="N51" s="60">
        <f t="shared" ca="1" si="65"/>
        <v>-7.476635514018691E-2</v>
      </c>
      <c r="P51" s="57" t="str">
        <f t="shared" ca="1" si="66"/>
        <v>＋10</v>
      </c>
      <c r="Q51" s="12" t="str">
        <f t="shared" ca="1" si="67"/>
        <v>割安</v>
      </c>
      <c r="R51" s="21">
        <f ca="1">終値履歴!D51</f>
        <v>2676.2</v>
      </c>
      <c r="S51" s="107">
        <f t="shared" ca="1" si="68"/>
        <v>-3.5150590926420061E-2</v>
      </c>
      <c r="T51" s="21">
        <f ca="1">終値履歴!E51</f>
        <v>2640.4</v>
      </c>
      <c r="U51" s="107">
        <f t="shared" ca="1" si="69"/>
        <v>-2.182662538699694E-2</v>
      </c>
      <c r="W51" s="21">
        <f ca="1">終値履歴!F51</f>
        <v>2438</v>
      </c>
      <c r="X51" s="107">
        <f t="shared" ca="1" si="70"/>
        <v>5.6501547987616099E-2</v>
      </c>
    </row>
    <row r="52" spans="2:24" x14ac:dyDescent="0.25">
      <c r="B52" s="49" t="str">
        <f>IPO監視一覧!B49</f>
        <v>イボキン</v>
      </c>
      <c r="C52" s="62">
        <f>株価一覧!H51</f>
        <v>23500</v>
      </c>
      <c r="D52" s="15">
        <f ca="1">OFFSET(終値履歴!A52,0,COUNTA(終値履歴!G52:'終値履歴'!XFD52)+2,1,-1)</f>
        <v>2104</v>
      </c>
      <c r="E52" s="15">
        <f ca="1">OFFSET(終値履歴!A52,0,COUNTA(終値履歴!G52:'終値履歴'!XFD52)+3,1,-1)</f>
        <v>2089</v>
      </c>
      <c r="F52" s="15">
        <f ca="1">OFFSET(終値履歴!A52,0,COUNTA(終値履歴!G52:'終値履歴'!XFD52)+4,1,-1)</f>
        <v>2040</v>
      </c>
      <c r="G52" s="15">
        <f ca="1">OFFSET(終値履歴!A52,0,COUNTA(終値履歴!G52:'終値履歴'!XFD52)+5,1,-1)</f>
        <v>1992</v>
      </c>
      <c r="I52" s="60">
        <f t="shared" ca="1" si="61"/>
        <v>-2.3529411764705882E-2</v>
      </c>
      <c r="J52" s="60">
        <f t="shared" ca="1" si="62"/>
        <v>-4.6433700335088562E-2</v>
      </c>
      <c r="K52" s="60">
        <f t="shared" ca="1" si="63"/>
        <v>-5.3231939163498096E-2</v>
      </c>
      <c r="M52" s="60">
        <f t="shared" ca="1" si="64"/>
        <v>-2.3456199138343705E-2</v>
      </c>
      <c r="N52" s="60">
        <f t="shared" ca="1" si="65"/>
        <v>-3.0418250950570342E-2</v>
      </c>
      <c r="P52" s="57">
        <f t="shared" ca="1" si="66"/>
        <v>-48</v>
      </c>
      <c r="Q52" s="12" t="str">
        <f t="shared" ca="1" si="67"/>
        <v>割安</v>
      </c>
      <c r="R52" s="21">
        <f ca="1">終値履歴!D52</f>
        <v>2070.4</v>
      </c>
      <c r="S52" s="107">
        <f t="shared" ca="1" si="68"/>
        <v>-3.7529918621349974E-2</v>
      </c>
      <c r="T52" s="21">
        <f ca="1">終値履歴!E52</f>
        <v>2050.2666666666669</v>
      </c>
      <c r="U52" s="107">
        <f t="shared" ca="1" si="69"/>
        <v>-2.9250334672021525E-2</v>
      </c>
      <c r="W52" s="21">
        <f ca="1">終値履歴!F52</f>
        <v>1940</v>
      </c>
      <c r="X52" s="107">
        <f t="shared" ca="1" si="70"/>
        <v>2.6104417670682729E-2</v>
      </c>
    </row>
    <row r="53" spans="2:24" x14ac:dyDescent="0.25">
      <c r="B53" s="49" t="str">
        <f>IPO監視一覧!B50</f>
        <v>チームスピリット</v>
      </c>
      <c r="C53" s="62">
        <f>株価一覧!H52</f>
        <v>175900</v>
      </c>
      <c r="D53" s="15">
        <f ca="1">OFFSET(終値履歴!A53,0,COUNTA(終値履歴!G53:'終値履歴'!XFD53)+2,1,-1)</f>
        <v>1549</v>
      </c>
      <c r="E53" s="15">
        <f ca="1">OFFSET(終値履歴!A53,0,COUNTA(終値履歴!G53:'終値履歴'!XFD53)+3,1,-1)</f>
        <v>1458</v>
      </c>
      <c r="F53" s="15">
        <f ca="1">OFFSET(終値履歴!A53,0,COUNTA(終値履歴!G53:'終値履歴'!XFD53)+4,1,-1)</f>
        <v>1451</v>
      </c>
      <c r="G53" s="15">
        <f ca="1">OFFSET(終値履歴!A53,0,COUNTA(終値履歴!G53:'終値履歴'!XFD53)+5,1,-1)</f>
        <v>1594</v>
      </c>
      <c r="I53" s="60">
        <f t="shared" ref="I53:I55" ca="1" si="71">IF(ISERROR((G53-F53)/F53),"",(G53-F53)/F53)</f>
        <v>9.8552722260509998E-2</v>
      </c>
      <c r="J53" s="60">
        <f t="shared" ref="J53:J55" ca="1" si="72">IF(ISERROR((G53-E53)/E53),"",(G53-E53)/E53)</f>
        <v>9.327846364883402E-2</v>
      </c>
      <c r="K53" s="60">
        <f t="shared" ref="K53:K55" ca="1" si="73">IF(ISERROR((G53-D53)/D53),"",(G53-D53)/D53)</f>
        <v>2.9051000645577793E-2</v>
      </c>
      <c r="M53" s="60">
        <f t="shared" ref="M53:M55" ca="1" si="74">(F53-E53)/E53</f>
        <v>-4.8010973936899867E-3</v>
      </c>
      <c r="N53" s="60">
        <f t="shared" ref="N53:N55" ca="1" si="75">(F53-D53)/D53</f>
        <v>-6.3266623628147195E-2</v>
      </c>
      <c r="P53" s="57" t="str">
        <f t="shared" ref="P53:P55" ca="1" si="76">IF(G53-F53 &gt; 0,CONCATENATE("＋",G53-F53),G53-F53)</f>
        <v>＋143</v>
      </c>
      <c r="Q53" s="12" t="str">
        <f t="shared" ref="Q53:Q55" ca="1" si="77">IF(T53=0,"集計外",IF(AND(G53&lt;=T53,G53&lt;=R53),"割安",IF(AND(G53&gt;T53,G53&lt;=R53),"普通",IF(AND(G53&lt;=T53,G53&gt;R53),"普通","割高"))))</f>
        <v>割高</v>
      </c>
      <c r="R53" s="21">
        <f ca="1">終値履歴!D53</f>
        <v>1540.8</v>
      </c>
      <c r="S53" s="107">
        <f t="shared" ref="S53:S55" ca="1" si="78">(G53-R53)/E53</f>
        <v>3.6488340192043923E-2</v>
      </c>
      <c r="T53" s="21">
        <f ca="1">終値履歴!E53</f>
        <v>1571.8666666666666</v>
      </c>
      <c r="U53" s="107">
        <f t="shared" ref="U53:U55" ca="1" si="79">(G53-T53)/G53</f>
        <v>1.388540359682148E-2</v>
      </c>
      <c r="W53" s="21">
        <f ca="1">終値履歴!F53</f>
        <v>1451</v>
      </c>
      <c r="X53" s="107">
        <f t="shared" ref="X53:X55" ca="1" si="80">(G53-W53)/G53</f>
        <v>8.9711417816813049E-2</v>
      </c>
    </row>
    <row r="54" spans="2:24" x14ac:dyDescent="0.25">
      <c r="B54" s="49" t="str">
        <f>IPO監視一覧!B51</f>
        <v>and factory</v>
      </c>
      <c r="C54" s="62">
        <f>株価一覧!H55</f>
        <v>0</v>
      </c>
      <c r="D54" s="15">
        <f ca="1">OFFSET(終値履歴!A54,0,COUNTA(終値履歴!G54:'終値履歴'!XFD54)+2,1,-1)</f>
        <v>0</v>
      </c>
      <c r="E54" s="15">
        <f ca="1">OFFSET(終値履歴!A54,0,COUNTA(終値履歴!G54:'終値履歴'!XFD54)+3,1,-1)</f>
        <v>0</v>
      </c>
      <c r="F54" s="15">
        <f ca="1">OFFSET(終値履歴!A54,0,COUNTA(終値履歴!G54:'終値履歴'!XFD54)+4,1,-1)</f>
        <v>4150</v>
      </c>
      <c r="G54" s="15">
        <f ca="1">OFFSET(終値履歴!A54,0,COUNTA(終値履歴!G54:'終値履歴'!XFD54)+5,1,-1)</f>
        <v>4850</v>
      </c>
      <c r="I54" s="60">
        <f t="shared" ca="1" si="71"/>
        <v>0.16867469879518071</v>
      </c>
      <c r="J54" s="60" t="str">
        <f t="shared" ca="1" si="72"/>
        <v/>
      </c>
      <c r="K54" s="60" t="str">
        <f t="shared" ca="1" si="73"/>
        <v/>
      </c>
      <c r="M54" s="60" t="e">
        <f t="shared" ca="1" si="74"/>
        <v>#DIV/0!</v>
      </c>
      <c r="N54" s="60" t="e">
        <f t="shared" ca="1" si="75"/>
        <v>#DIV/0!</v>
      </c>
      <c r="P54" s="57" t="str">
        <f t="shared" ca="1" si="76"/>
        <v>＋700</v>
      </c>
      <c r="Q54" s="12" t="str">
        <f t="shared" ca="1" si="77"/>
        <v>集計外</v>
      </c>
      <c r="R54" s="21">
        <f ca="1">終値履歴!D54</f>
        <v>1800</v>
      </c>
      <c r="S54" s="107" t="e">
        <f t="shared" ca="1" si="78"/>
        <v>#DIV/0!</v>
      </c>
      <c r="T54" s="21">
        <f ca="1">終値履歴!E54</f>
        <v>0</v>
      </c>
      <c r="U54" s="107">
        <f t="shared" ca="1" si="79"/>
        <v>1</v>
      </c>
      <c r="W54" s="21">
        <f ca="1">終値履歴!F54</f>
        <v>0</v>
      </c>
      <c r="X54" s="107">
        <f t="shared" ca="1" si="80"/>
        <v>1</v>
      </c>
    </row>
    <row r="55" spans="2:24" x14ac:dyDescent="0.25">
      <c r="B55" s="49" t="str">
        <f>IPO監視一覧!B52</f>
        <v>ナルミヤ・インターナショナル</v>
      </c>
      <c r="C55" s="62">
        <f>株価一覧!H56</f>
        <v>0</v>
      </c>
      <c r="D55" s="15">
        <f ca="1">OFFSET(終値履歴!A55,0,COUNTA(終値履歴!G55:'終値履歴'!XFD55)+2,1,-1)</f>
        <v>0</v>
      </c>
      <c r="E55" s="15">
        <f ca="1">OFFSET(終値履歴!A55,0,COUNTA(終値履歴!G55:'終値履歴'!XFD55)+3,1,-1)</f>
        <v>0</v>
      </c>
      <c r="F55" s="15">
        <f ca="1">OFFSET(終値履歴!A55,0,COUNTA(終値履歴!G55:'終値履歴'!XFD55)+4,1,-1)</f>
        <v>1407</v>
      </c>
      <c r="G55" s="15">
        <f ca="1">OFFSET(終値履歴!A55,0,COUNTA(終値履歴!G55:'終値履歴'!XFD55)+5,1,-1)</f>
        <v>1459</v>
      </c>
      <c r="I55" s="60">
        <f t="shared" ca="1" si="71"/>
        <v>3.6958066808813077E-2</v>
      </c>
      <c r="J55" s="60" t="str">
        <f t="shared" ca="1" si="72"/>
        <v/>
      </c>
      <c r="K55" s="60" t="str">
        <f t="shared" ca="1" si="73"/>
        <v/>
      </c>
      <c r="M55" s="60" t="e">
        <f t="shared" ca="1" si="74"/>
        <v>#DIV/0!</v>
      </c>
      <c r="N55" s="60" t="e">
        <f t="shared" ca="1" si="75"/>
        <v>#DIV/0!</v>
      </c>
      <c r="P55" s="57" t="str">
        <f t="shared" ca="1" si="76"/>
        <v>＋52</v>
      </c>
      <c r="Q55" s="12" t="str">
        <f t="shared" ca="1" si="77"/>
        <v>集計外</v>
      </c>
      <c r="R55" s="21">
        <f ca="1">終値履歴!D55</f>
        <v>573.20000000000005</v>
      </c>
      <c r="S55" s="107" t="e">
        <f t="shared" ca="1" si="78"/>
        <v>#DIV/0!</v>
      </c>
      <c r="T55" s="21">
        <f ca="1">終値履歴!E55</f>
        <v>0</v>
      </c>
      <c r="U55" s="107">
        <f t="shared" ca="1" si="79"/>
        <v>1</v>
      </c>
      <c r="W55" s="21">
        <f ca="1">終値履歴!F55</f>
        <v>0</v>
      </c>
      <c r="X55" s="107">
        <f t="shared" ca="1" si="80"/>
        <v>1</v>
      </c>
    </row>
    <row r="56" spans="2:24" x14ac:dyDescent="0.25">
      <c r="B56" s="49" t="str">
        <f>IPO監視一覧!B53</f>
        <v>マリオン</v>
      </c>
      <c r="C56" s="62">
        <f>株価一覧!H57</f>
        <v>0</v>
      </c>
      <c r="D56" s="15">
        <f ca="1">OFFSET(終値履歴!A56,0,COUNTA(終値履歴!G56:'終値履歴'!XFD56)+2,1,-1)</f>
        <v>0</v>
      </c>
      <c r="E56" s="15">
        <f ca="1">OFFSET(終値履歴!A56,0,COUNTA(終値履歴!G56:'終値履歴'!XFD56)+3,1,-1)</f>
        <v>0</v>
      </c>
      <c r="F56" s="15">
        <f ca="1">OFFSET(終値履歴!A56,0,COUNTA(終値履歴!G56:'終値履歴'!XFD56)+4,1,-1)</f>
        <v>0</v>
      </c>
      <c r="G56" s="15">
        <f ca="1">OFFSET(終値履歴!A56,0,COUNTA(終値履歴!G56:'終値履歴'!XFD56)+5,1,-1)</f>
        <v>0</v>
      </c>
      <c r="I56" s="60" t="str">
        <f t="shared" ref="I56:I58" ca="1" si="81">IF(ISERROR((G56-F56)/F56),"",(G56-F56)/F56)</f>
        <v/>
      </c>
      <c r="J56" s="60" t="str">
        <f t="shared" ref="J56:J58" ca="1" si="82">IF(ISERROR((G56-E56)/E56),"",(G56-E56)/E56)</f>
        <v/>
      </c>
      <c r="K56" s="60" t="str">
        <f t="shared" ref="K56:K58" ca="1" si="83">IF(ISERROR((G56-D56)/D56),"",(G56-D56)/D56)</f>
        <v/>
      </c>
      <c r="M56" s="60" t="e">
        <f t="shared" ref="M56:M58" ca="1" si="84">(F56-E56)/E56</f>
        <v>#DIV/0!</v>
      </c>
      <c r="N56" s="60" t="e">
        <f t="shared" ref="N56:N58" ca="1" si="85">(F56-D56)/D56</f>
        <v>#DIV/0!</v>
      </c>
      <c r="P56" s="57">
        <f t="shared" ref="P56:P58" ca="1" si="86">IF(G56-F56 &gt; 0,CONCATENATE("＋",G56-F56),G56-F56)</f>
        <v>0</v>
      </c>
      <c r="Q56" s="12" t="str">
        <f t="shared" ref="Q56:Q58" ca="1" si="87">IF(T56=0,"集計外",IF(AND(G56&lt;=T56,G56&lt;=R56),"割安",IF(AND(G56&gt;T56,G56&lt;=R56),"普通",IF(AND(G56&lt;=T56,G56&gt;R56),"普通","割高"))))</f>
        <v>集計外</v>
      </c>
      <c r="R56" s="21">
        <f ca="1">終値履歴!D56</f>
        <v>0</v>
      </c>
      <c r="S56" s="107" t="e">
        <f t="shared" ref="S56:S58" ca="1" si="88">(G56-R56)/E56</f>
        <v>#DIV/0!</v>
      </c>
      <c r="T56" s="21">
        <f ca="1">終値履歴!E56</f>
        <v>0</v>
      </c>
      <c r="U56" s="107" t="e">
        <f t="shared" ref="U56:U58" ca="1" si="89">(G56-T56)/G56</f>
        <v>#DIV/0!</v>
      </c>
      <c r="W56" s="21">
        <f ca="1">終値履歴!F56</f>
        <v>0</v>
      </c>
      <c r="X56" s="107" t="e">
        <f t="shared" ref="X56:X58" ca="1" si="90">(G56-W56)/G56</f>
        <v>#DIV/0!</v>
      </c>
    </row>
    <row r="57" spans="2:24" x14ac:dyDescent="0.25">
      <c r="B57" s="49" t="str">
        <f>IPO監視一覧!B54</f>
        <v>香陵住販</v>
      </c>
      <c r="C57" s="62">
        <f>株価一覧!H58</f>
        <v>0</v>
      </c>
      <c r="D57" s="15">
        <f ca="1">OFFSET(終値履歴!A57,0,COUNTA(終値履歴!G57:'終値履歴'!XFD57)+2,1,-1)</f>
        <v>0</v>
      </c>
      <c r="E57" s="15">
        <f ca="1">OFFSET(終値履歴!A57,0,COUNTA(終値履歴!G57:'終値履歴'!XFD57)+3,1,-1)</f>
        <v>0</v>
      </c>
      <c r="F57" s="15">
        <f ca="1">OFFSET(終値履歴!A57,0,COUNTA(終値履歴!G57:'終値履歴'!XFD57)+4,1,-1)</f>
        <v>0</v>
      </c>
      <c r="G57" s="15">
        <f ca="1">OFFSET(終値履歴!A57,0,COUNTA(終値履歴!G57:'終値履歴'!XFD57)+5,1,-1)</f>
        <v>0</v>
      </c>
      <c r="I57" s="60" t="str">
        <f t="shared" ca="1" si="81"/>
        <v/>
      </c>
      <c r="J57" s="60" t="str">
        <f t="shared" ca="1" si="82"/>
        <v/>
      </c>
      <c r="K57" s="60" t="str">
        <f t="shared" ca="1" si="83"/>
        <v/>
      </c>
      <c r="M57" s="60" t="e">
        <f t="shared" ca="1" si="84"/>
        <v>#DIV/0!</v>
      </c>
      <c r="N57" s="60" t="e">
        <f t="shared" ca="1" si="85"/>
        <v>#DIV/0!</v>
      </c>
      <c r="P57" s="57">
        <f t="shared" ca="1" si="86"/>
        <v>0</v>
      </c>
      <c r="Q57" s="12" t="str">
        <f t="shared" ca="1" si="87"/>
        <v>集計外</v>
      </c>
      <c r="R57" s="21">
        <f ca="1">終値履歴!D57</f>
        <v>0</v>
      </c>
      <c r="S57" s="107" t="e">
        <f t="shared" ca="1" si="88"/>
        <v>#DIV/0!</v>
      </c>
      <c r="T57" s="21">
        <f ca="1">終値履歴!E57</f>
        <v>0</v>
      </c>
      <c r="U57" s="107" t="e">
        <f t="shared" ca="1" si="89"/>
        <v>#DIV/0!</v>
      </c>
      <c r="W57" s="21">
        <f ca="1">終値履歴!F57</f>
        <v>0</v>
      </c>
      <c r="X57" s="107" t="e">
        <f t="shared" ca="1" si="90"/>
        <v>#DIV/0!</v>
      </c>
    </row>
    <row r="58" spans="2:24" x14ac:dyDescent="0.25">
      <c r="B58" s="49" t="str">
        <f>IPO監視一覧!B55</f>
        <v>アズーム</v>
      </c>
      <c r="C58" s="62">
        <f>株価一覧!H59</f>
        <v>0</v>
      </c>
      <c r="D58" s="15">
        <f ca="1">OFFSET(終値履歴!A58,0,COUNTA(終値履歴!G58:'終値履歴'!XFD58)+2,1,-1)</f>
        <v>0</v>
      </c>
      <c r="E58" s="15">
        <f ca="1">OFFSET(終値履歴!A58,0,COUNTA(終値履歴!G58:'終値履歴'!XFD58)+3,1,-1)</f>
        <v>0</v>
      </c>
      <c r="F58" s="15">
        <f ca="1">OFFSET(終値履歴!A58,0,COUNTA(終値履歴!G58:'終値履歴'!XFD58)+4,1,-1)</f>
        <v>0</v>
      </c>
      <c r="G58" s="15">
        <f ca="1">OFFSET(終値履歴!A58,0,COUNTA(終値履歴!G58:'終値履歴'!XFD58)+5,1,-1)</f>
        <v>0</v>
      </c>
      <c r="I58" s="60" t="str">
        <f t="shared" ca="1" si="81"/>
        <v/>
      </c>
      <c r="J58" s="60" t="str">
        <f t="shared" ca="1" si="82"/>
        <v/>
      </c>
      <c r="K58" s="60" t="str">
        <f t="shared" ca="1" si="83"/>
        <v/>
      </c>
      <c r="M58" s="60" t="e">
        <f t="shared" ca="1" si="84"/>
        <v>#DIV/0!</v>
      </c>
      <c r="N58" s="60" t="e">
        <f t="shared" ca="1" si="85"/>
        <v>#DIV/0!</v>
      </c>
      <c r="P58" s="57">
        <f t="shared" ca="1" si="86"/>
        <v>0</v>
      </c>
      <c r="Q58" s="12" t="str">
        <f t="shared" ca="1" si="87"/>
        <v>集計外</v>
      </c>
      <c r="R58" s="21">
        <f ca="1">終値履歴!D58</f>
        <v>0</v>
      </c>
      <c r="S58" s="107" t="e">
        <f t="shared" ca="1" si="88"/>
        <v>#DIV/0!</v>
      </c>
      <c r="T58" s="21">
        <f ca="1">終値履歴!E58</f>
        <v>0</v>
      </c>
      <c r="U58" s="107" t="e">
        <f t="shared" ca="1" si="89"/>
        <v>#DIV/0!</v>
      </c>
      <c r="W58" s="21">
        <f ca="1">終値履歴!F58</f>
        <v>0</v>
      </c>
      <c r="X58" s="107" t="e">
        <f t="shared" ca="1" si="90"/>
        <v>#DIV/0!</v>
      </c>
    </row>
    <row r="59" spans="2:24" x14ac:dyDescent="0.25">
      <c r="B59" s="49" t="str">
        <f>IPO監視一覧!B56</f>
        <v>テノ．HD</v>
      </c>
      <c r="C59" s="62">
        <f>株価一覧!H60</f>
        <v>0</v>
      </c>
      <c r="D59" s="15">
        <f ca="1">OFFSET(終値履歴!A59,0,COUNTA(終値履歴!G59:'終値履歴'!XFD59)+2,1,-1)</f>
        <v>0</v>
      </c>
      <c r="E59" s="15">
        <f ca="1">OFFSET(終値履歴!A59,0,COUNTA(終値履歴!G59:'終値履歴'!XFD59)+3,1,-1)</f>
        <v>0</v>
      </c>
      <c r="F59" s="15">
        <f ca="1">OFFSET(終値履歴!A59,0,COUNTA(終値履歴!G59:'終値履歴'!XFD59)+4,1,-1)</f>
        <v>0</v>
      </c>
      <c r="G59" s="15">
        <f ca="1">OFFSET(終値履歴!A59,0,COUNTA(終値履歴!G59:'終値履歴'!XFD59)+5,1,-1)</f>
        <v>0</v>
      </c>
      <c r="I59" s="60" t="str">
        <f t="shared" ref="I59:I61" ca="1" si="91">IF(ISERROR((G59-F59)/F59),"",(G59-F59)/F59)</f>
        <v/>
      </c>
      <c r="J59" s="60" t="str">
        <f t="shared" ref="J59:J61" ca="1" si="92">IF(ISERROR((G59-E59)/E59),"",(G59-E59)/E59)</f>
        <v/>
      </c>
      <c r="K59" s="60" t="str">
        <f t="shared" ref="K59:K61" ca="1" si="93">IF(ISERROR((G59-D59)/D59),"",(G59-D59)/D59)</f>
        <v/>
      </c>
      <c r="M59" s="60" t="e">
        <f t="shared" ref="M59:M61" ca="1" si="94">(F59-E59)/E59</f>
        <v>#DIV/0!</v>
      </c>
      <c r="N59" s="60" t="e">
        <f t="shared" ref="N59:N61" ca="1" si="95">(F59-D59)/D59</f>
        <v>#DIV/0!</v>
      </c>
      <c r="P59" s="57">
        <f t="shared" ref="P59:P61" ca="1" si="96">IF(G59-F59 &gt; 0,CONCATENATE("＋",G59-F59),G59-F59)</f>
        <v>0</v>
      </c>
      <c r="Q59" s="12" t="str">
        <f t="shared" ref="Q59:Q61" ca="1" si="97">IF(T59=0,"集計外",IF(AND(G59&lt;=T59,G59&lt;=R59),"割安",IF(AND(G59&gt;T59,G59&lt;=R59),"普通",IF(AND(G59&lt;=T59,G59&gt;R59),"普通","割高"))))</f>
        <v>集計外</v>
      </c>
      <c r="R59" s="21">
        <f ca="1">終値履歴!D59</f>
        <v>0</v>
      </c>
      <c r="S59" s="107" t="e">
        <f t="shared" ref="S59:S61" ca="1" si="98">(G59-R59)/E59</f>
        <v>#DIV/0!</v>
      </c>
      <c r="T59" s="21">
        <f ca="1">終値履歴!E59</f>
        <v>0</v>
      </c>
      <c r="U59" s="107" t="e">
        <f t="shared" ref="U59:U61" ca="1" si="99">(G59-T59)/G59</f>
        <v>#DIV/0!</v>
      </c>
      <c r="W59" s="21">
        <f ca="1">終値履歴!F59</f>
        <v>0</v>
      </c>
      <c r="X59" s="107" t="e">
        <f t="shared" ref="X59:X61" ca="1" si="100">(G59-W59)/G59</f>
        <v>#DIV/0!</v>
      </c>
    </row>
    <row r="60" spans="2:24" x14ac:dyDescent="0.25">
      <c r="B60" s="49" t="str">
        <f>IPO監視一覧!B57</f>
        <v>イーエムネットジャパン</v>
      </c>
      <c r="C60" s="62">
        <f>株価一覧!H61</f>
        <v>0</v>
      </c>
      <c r="D60" s="15">
        <f ca="1">OFFSET(終値履歴!A60,0,COUNTA(終値履歴!G60:'終値履歴'!XFD60)+2,1,-1)</f>
        <v>0</v>
      </c>
      <c r="E60" s="15">
        <f ca="1">OFFSET(終値履歴!A60,0,COUNTA(終値履歴!G60:'終値履歴'!XFD60)+3,1,-1)</f>
        <v>0</v>
      </c>
      <c r="F60" s="15">
        <f ca="1">OFFSET(終値履歴!A60,0,COUNTA(終値履歴!G60:'終値履歴'!XFD60)+4,1,-1)</f>
        <v>0</v>
      </c>
      <c r="G60" s="15">
        <f ca="1">OFFSET(終値履歴!A60,0,COUNTA(終値履歴!G60:'終値履歴'!XFD60)+5,1,-1)</f>
        <v>0</v>
      </c>
      <c r="I60" s="60" t="str">
        <f t="shared" ca="1" si="91"/>
        <v/>
      </c>
      <c r="J60" s="60" t="str">
        <f t="shared" ca="1" si="92"/>
        <v/>
      </c>
      <c r="K60" s="60" t="str">
        <f t="shared" ca="1" si="93"/>
        <v/>
      </c>
      <c r="M60" s="60" t="e">
        <f t="shared" ca="1" si="94"/>
        <v>#DIV/0!</v>
      </c>
      <c r="N60" s="60" t="e">
        <f t="shared" ca="1" si="95"/>
        <v>#DIV/0!</v>
      </c>
      <c r="P60" s="57">
        <f t="shared" ca="1" si="96"/>
        <v>0</v>
      </c>
      <c r="Q60" s="12" t="str">
        <f t="shared" ca="1" si="97"/>
        <v>集計外</v>
      </c>
      <c r="R60" s="21">
        <f ca="1">終値履歴!D60</f>
        <v>0</v>
      </c>
      <c r="S60" s="107" t="e">
        <f t="shared" ca="1" si="98"/>
        <v>#DIV/0!</v>
      </c>
      <c r="T60" s="21">
        <f ca="1">終値履歴!E60</f>
        <v>0</v>
      </c>
      <c r="U60" s="107" t="e">
        <f t="shared" ca="1" si="99"/>
        <v>#DIV/0!</v>
      </c>
      <c r="W60" s="21">
        <f ca="1">終値履歴!F60</f>
        <v>0</v>
      </c>
      <c r="X60" s="107" t="e">
        <f t="shared" ca="1" si="100"/>
        <v>#DIV/0!</v>
      </c>
    </row>
    <row r="61" spans="2:24" x14ac:dyDescent="0.25">
      <c r="B61" s="49" t="str">
        <f>IPO監視一覧!B58</f>
        <v>アイリックコーポレーション</v>
      </c>
      <c r="C61" s="62">
        <f>株価一覧!H62</f>
        <v>0</v>
      </c>
      <c r="D61" s="15">
        <f ca="1">OFFSET(終値履歴!A61,0,COUNTA(終値履歴!G61:'終値履歴'!XFD61)+2,1,-1)</f>
        <v>0</v>
      </c>
      <c r="E61" s="15">
        <f ca="1">OFFSET(終値履歴!A61,0,COUNTA(終値履歴!G61:'終値履歴'!XFD61)+3,1,-1)</f>
        <v>0</v>
      </c>
      <c r="F61" s="15">
        <f ca="1">OFFSET(終値履歴!A61,0,COUNTA(終値履歴!G61:'終値履歴'!XFD61)+4,1,-1)</f>
        <v>0</v>
      </c>
      <c r="G61" s="15">
        <f ca="1">OFFSET(終値履歴!A61,0,COUNTA(終値履歴!G61:'終値履歴'!XFD61)+5,1,-1)</f>
        <v>0</v>
      </c>
      <c r="I61" s="60" t="str">
        <f t="shared" ca="1" si="91"/>
        <v/>
      </c>
      <c r="J61" s="60" t="str">
        <f t="shared" ca="1" si="92"/>
        <v/>
      </c>
      <c r="K61" s="60" t="str">
        <f t="shared" ca="1" si="93"/>
        <v/>
      </c>
      <c r="M61" s="60" t="e">
        <f t="shared" ca="1" si="94"/>
        <v>#DIV/0!</v>
      </c>
      <c r="N61" s="60" t="e">
        <f t="shared" ca="1" si="95"/>
        <v>#DIV/0!</v>
      </c>
      <c r="P61" s="57">
        <f t="shared" ca="1" si="96"/>
        <v>0</v>
      </c>
      <c r="Q61" s="12" t="str">
        <f t="shared" ca="1" si="97"/>
        <v>集計外</v>
      </c>
      <c r="R61" s="21">
        <f ca="1">終値履歴!D61</f>
        <v>0</v>
      </c>
      <c r="S61" s="107" t="e">
        <f t="shared" ca="1" si="98"/>
        <v>#DIV/0!</v>
      </c>
      <c r="T61" s="21">
        <f ca="1">終値履歴!E61</f>
        <v>0</v>
      </c>
      <c r="U61" s="107" t="e">
        <f t="shared" ca="1" si="99"/>
        <v>#DIV/0!</v>
      </c>
      <c r="W61" s="21">
        <f ca="1">終値履歴!F61</f>
        <v>0</v>
      </c>
      <c r="X61" s="107" t="e">
        <f t="shared" ca="1" si="100"/>
        <v>#DIV/0!</v>
      </c>
    </row>
    <row r="62" spans="2:24" x14ac:dyDescent="0.25">
      <c r="B62" s="49" t="str">
        <f>IPO監視一覧!B59</f>
        <v>ブロードバンドセキュリティ</v>
      </c>
      <c r="C62" s="62">
        <f>株価一覧!H63</f>
        <v>0</v>
      </c>
      <c r="D62" s="15">
        <f ca="1">OFFSET(終値履歴!A62,0,COUNTA(終値履歴!G62:'終値履歴'!XFD62)+2,1,-1)</f>
        <v>0</v>
      </c>
      <c r="E62" s="15">
        <f ca="1">OFFSET(終値履歴!A62,0,COUNTA(終値履歴!G62:'終値履歴'!XFD62)+3,1,-1)</f>
        <v>0</v>
      </c>
      <c r="F62" s="15">
        <f ca="1">OFFSET(終値履歴!A62,0,COUNTA(終値履歴!G62:'終値履歴'!XFD62)+4,1,-1)</f>
        <v>0</v>
      </c>
      <c r="G62" s="15">
        <f ca="1">OFFSET(終値履歴!A62,0,COUNTA(終値履歴!G62:'終値履歴'!XFD62)+5,1,-1)</f>
        <v>0</v>
      </c>
      <c r="I62" s="60" t="str">
        <f t="shared" ref="I62:I73" ca="1" si="101">IF(ISERROR((G62-F62)/F62),"",(G62-F62)/F62)</f>
        <v/>
      </c>
      <c r="J62" s="60" t="str">
        <f t="shared" ref="J62:J73" ca="1" si="102">IF(ISERROR((G62-E62)/E62),"",(G62-E62)/E62)</f>
        <v/>
      </c>
      <c r="K62" s="60" t="str">
        <f t="shared" ref="K62:K73" ca="1" si="103">IF(ISERROR((G62-D62)/D62),"",(G62-D62)/D62)</f>
        <v/>
      </c>
      <c r="M62" s="60" t="e">
        <f t="shared" ref="M62:M73" ca="1" si="104">(F62-E62)/E62</f>
        <v>#DIV/0!</v>
      </c>
      <c r="N62" s="60" t="e">
        <f t="shared" ref="N62:N73" ca="1" si="105">(F62-D62)/D62</f>
        <v>#DIV/0!</v>
      </c>
      <c r="P62" s="57">
        <f t="shared" ref="P62:P73" ca="1" si="106">IF(G62-F62 &gt; 0,CONCATENATE("＋",G62-F62),G62-F62)</f>
        <v>0</v>
      </c>
      <c r="Q62" s="12" t="str">
        <f t="shared" ref="Q62:Q73" ca="1" si="107">IF(T62=0,"集計外",IF(AND(G62&lt;=T62,G62&lt;=R62),"割安",IF(AND(G62&gt;T62,G62&lt;=R62),"普通",IF(AND(G62&lt;=T62,G62&gt;R62),"普通","割高"))))</f>
        <v>集計外</v>
      </c>
      <c r="R62" s="21">
        <f ca="1">終値履歴!D62</f>
        <v>0</v>
      </c>
      <c r="S62" s="107" t="e">
        <f t="shared" ref="S62:S73" ca="1" si="108">(G62-R62)/E62</f>
        <v>#DIV/0!</v>
      </c>
      <c r="T62" s="21">
        <f ca="1">終値履歴!E62</f>
        <v>0</v>
      </c>
      <c r="U62" s="107" t="e">
        <f t="shared" ref="U62:U73" ca="1" si="109">(G62-T62)/G62</f>
        <v>#DIV/0!</v>
      </c>
      <c r="W62" s="21">
        <f ca="1">終値履歴!F62</f>
        <v>0</v>
      </c>
      <c r="X62" s="107" t="e">
        <f t="shared" ref="X62:X73" ca="1" si="110">(G62-W62)/G62</f>
        <v>#DIV/0!</v>
      </c>
    </row>
    <row r="63" spans="2:24" x14ac:dyDescent="0.25">
      <c r="B63" s="49" t="str">
        <f>IPO監視一覧!B60</f>
        <v>極東産機</v>
      </c>
      <c r="C63" s="62">
        <f>株価一覧!H64</f>
        <v>0</v>
      </c>
      <c r="D63" s="15">
        <f ca="1">OFFSET(終値履歴!A63,0,COUNTA(終値履歴!G63:'終値履歴'!XFD63)+2,1,-1)</f>
        <v>0</v>
      </c>
      <c r="E63" s="15">
        <f ca="1">OFFSET(終値履歴!A63,0,COUNTA(終値履歴!G63:'終値履歴'!XFD63)+3,1,-1)</f>
        <v>0</v>
      </c>
      <c r="F63" s="15">
        <f ca="1">OFFSET(終値履歴!A63,0,COUNTA(終値履歴!G63:'終値履歴'!XFD63)+4,1,-1)</f>
        <v>0</v>
      </c>
      <c r="G63" s="15">
        <f ca="1">OFFSET(終値履歴!A63,0,COUNTA(終値履歴!G63:'終値履歴'!XFD63)+5,1,-1)</f>
        <v>0</v>
      </c>
      <c r="I63" s="60" t="str">
        <f t="shared" ca="1" si="101"/>
        <v/>
      </c>
      <c r="J63" s="60" t="str">
        <f t="shared" ca="1" si="102"/>
        <v/>
      </c>
      <c r="K63" s="60" t="str">
        <f t="shared" ca="1" si="103"/>
        <v/>
      </c>
      <c r="M63" s="60" t="e">
        <f t="shared" ca="1" si="104"/>
        <v>#DIV/0!</v>
      </c>
      <c r="N63" s="60" t="e">
        <f t="shared" ca="1" si="105"/>
        <v>#DIV/0!</v>
      </c>
      <c r="P63" s="57">
        <f t="shared" ca="1" si="106"/>
        <v>0</v>
      </c>
      <c r="Q63" s="12" t="str">
        <f t="shared" ca="1" si="107"/>
        <v>集計外</v>
      </c>
      <c r="R63" s="21">
        <f ca="1">終値履歴!D63</f>
        <v>0</v>
      </c>
      <c r="S63" s="107" t="e">
        <f t="shared" ca="1" si="108"/>
        <v>#DIV/0!</v>
      </c>
      <c r="T63" s="21">
        <f ca="1">終値履歴!E63</f>
        <v>0</v>
      </c>
      <c r="U63" s="107" t="e">
        <f t="shared" ca="1" si="109"/>
        <v>#DIV/0!</v>
      </c>
      <c r="W63" s="21">
        <f ca="1">終値履歴!F63</f>
        <v>0</v>
      </c>
      <c r="X63" s="107" t="e">
        <f t="shared" ca="1" si="110"/>
        <v>#DIV/0!</v>
      </c>
    </row>
    <row r="64" spans="2:24" x14ac:dyDescent="0.25">
      <c r="B64" s="49" t="str">
        <f>IPO監視一覧!B61</f>
        <v>ＳＢＩインシュアランスグループ</v>
      </c>
      <c r="C64" s="62">
        <f>株価一覧!H65</f>
        <v>0</v>
      </c>
      <c r="D64" s="15">
        <f ca="1">OFFSET(終値履歴!A64,0,COUNTA(終値履歴!G64:'終値履歴'!XFD64)+2,1,-1)</f>
        <v>0</v>
      </c>
      <c r="E64" s="15">
        <f ca="1">OFFSET(終値履歴!A64,0,COUNTA(終値履歴!G64:'終値履歴'!XFD64)+3,1,-1)</f>
        <v>0</v>
      </c>
      <c r="F64" s="15">
        <f ca="1">OFFSET(終値履歴!A64,0,COUNTA(終値履歴!G64:'終値履歴'!XFD64)+4,1,-1)</f>
        <v>0</v>
      </c>
      <c r="G64" s="15">
        <f ca="1">OFFSET(終値履歴!A64,0,COUNTA(終値履歴!G64:'終値履歴'!XFD64)+5,1,-1)</f>
        <v>0</v>
      </c>
      <c r="I64" s="60" t="str">
        <f t="shared" ca="1" si="101"/>
        <v/>
      </c>
      <c r="J64" s="60" t="str">
        <f t="shared" ca="1" si="102"/>
        <v/>
      </c>
      <c r="K64" s="60" t="str">
        <f t="shared" ca="1" si="103"/>
        <v/>
      </c>
      <c r="M64" s="60" t="e">
        <f t="shared" ca="1" si="104"/>
        <v>#DIV/0!</v>
      </c>
      <c r="N64" s="60" t="e">
        <f t="shared" ca="1" si="105"/>
        <v>#DIV/0!</v>
      </c>
      <c r="P64" s="57">
        <f t="shared" ca="1" si="106"/>
        <v>0</v>
      </c>
      <c r="Q64" s="12" t="str">
        <f t="shared" ca="1" si="107"/>
        <v>集計外</v>
      </c>
      <c r="R64" s="21">
        <f ca="1">終値履歴!D64</f>
        <v>0</v>
      </c>
      <c r="S64" s="107" t="e">
        <f t="shared" ca="1" si="108"/>
        <v>#DIV/0!</v>
      </c>
      <c r="T64" s="21">
        <f ca="1">終値履歴!E64</f>
        <v>0</v>
      </c>
      <c r="U64" s="107" t="e">
        <f t="shared" ca="1" si="109"/>
        <v>#DIV/0!</v>
      </c>
      <c r="W64" s="21">
        <f ca="1">終値履歴!F64</f>
        <v>0</v>
      </c>
      <c r="X64" s="107" t="e">
        <f t="shared" ca="1" si="110"/>
        <v>#DIV/0!</v>
      </c>
    </row>
    <row r="65" spans="2:24" x14ac:dyDescent="0.25">
      <c r="B65" s="49" t="str">
        <f>IPO監視一覧!B62</f>
        <v>ワールド</v>
      </c>
      <c r="C65" s="62">
        <f>株価一覧!H66</f>
        <v>0</v>
      </c>
      <c r="D65" s="15">
        <f ca="1">OFFSET(終値履歴!A65,0,COUNTA(終値履歴!G65:'終値履歴'!XFD65)+2,1,-1)</f>
        <v>0</v>
      </c>
      <c r="E65" s="15">
        <f ca="1">OFFSET(終値履歴!A65,0,COUNTA(終値履歴!G65:'終値履歴'!XFD65)+3,1,-1)</f>
        <v>0</v>
      </c>
      <c r="F65" s="15">
        <f ca="1">OFFSET(終値履歴!A65,0,COUNTA(終値履歴!G65:'終値履歴'!XFD65)+4,1,-1)</f>
        <v>0</v>
      </c>
      <c r="G65" s="15">
        <f ca="1">OFFSET(終値履歴!A65,0,COUNTA(終値履歴!G65:'終値履歴'!XFD65)+5,1,-1)</f>
        <v>0</v>
      </c>
      <c r="I65" s="60" t="str">
        <f t="shared" ca="1" si="101"/>
        <v/>
      </c>
      <c r="J65" s="60" t="str">
        <f t="shared" ca="1" si="102"/>
        <v/>
      </c>
      <c r="K65" s="60" t="str">
        <f t="shared" ca="1" si="103"/>
        <v/>
      </c>
      <c r="M65" s="60" t="e">
        <f t="shared" ca="1" si="104"/>
        <v>#DIV/0!</v>
      </c>
      <c r="N65" s="60" t="e">
        <f t="shared" ca="1" si="105"/>
        <v>#DIV/0!</v>
      </c>
      <c r="P65" s="57">
        <f t="shared" ca="1" si="106"/>
        <v>0</v>
      </c>
      <c r="Q65" s="12" t="str">
        <f t="shared" ca="1" si="107"/>
        <v>集計外</v>
      </c>
      <c r="R65" s="21">
        <f ca="1">終値履歴!D65</f>
        <v>0</v>
      </c>
      <c r="S65" s="107" t="e">
        <f t="shared" ca="1" si="108"/>
        <v>#DIV/0!</v>
      </c>
      <c r="T65" s="21">
        <f ca="1">終値履歴!E65</f>
        <v>0</v>
      </c>
      <c r="U65" s="107" t="e">
        <f t="shared" ca="1" si="109"/>
        <v>#DIV/0!</v>
      </c>
      <c r="W65" s="21">
        <f ca="1">終値履歴!F65</f>
        <v>0</v>
      </c>
      <c r="X65" s="107" t="e">
        <f t="shared" ca="1" si="110"/>
        <v>#DIV/0!</v>
      </c>
    </row>
    <row r="66" spans="2:24" x14ac:dyDescent="0.25">
      <c r="B66" s="49" t="str">
        <f>IPO監視一覧!B63</f>
        <v>フロンティア・マネジメント</v>
      </c>
      <c r="C66" s="62">
        <f>株価一覧!H67</f>
        <v>0</v>
      </c>
      <c r="D66" s="15">
        <f ca="1">OFFSET(終値履歴!A66,0,COUNTA(終値履歴!G66:'終値履歴'!XFD66)+2,1,-1)</f>
        <v>0</v>
      </c>
      <c r="E66" s="15">
        <f ca="1">OFFSET(終値履歴!A66,0,COUNTA(終値履歴!G66:'終値履歴'!XFD66)+3,1,-1)</f>
        <v>0</v>
      </c>
      <c r="F66" s="15">
        <f ca="1">OFFSET(終値履歴!A66,0,COUNTA(終値履歴!G66:'終値履歴'!XFD66)+4,1,-1)</f>
        <v>0</v>
      </c>
      <c r="G66" s="15">
        <f ca="1">OFFSET(終値履歴!A66,0,COUNTA(終値履歴!G66:'終値履歴'!XFD66)+5,1,-1)</f>
        <v>0</v>
      </c>
      <c r="I66" s="60" t="str">
        <f t="shared" ca="1" si="101"/>
        <v/>
      </c>
      <c r="J66" s="60" t="str">
        <f t="shared" ca="1" si="102"/>
        <v/>
      </c>
      <c r="K66" s="60" t="str">
        <f t="shared" ca="1" si="103"/>
        <v/>
      </c>
      <c r="M66" s="60" t="e">
        <f t="shared" ca="1" si="104"/>
        <v>#DIV/0!</v>
      </c>
      <c r="N66" s="60" t="e">
        <f t="shared" ca="1" si="105"/>
        <v>#DIV/0!</v>
      </c>
      <c r="P66" s="57">
        <f t="shared" ca="1" si="106"/>
        <v>0</v>
      </c>
      <c r="Q66" s="12" t="str">
        <f t="shared" ca="1" si="107"/>
        <v>集計外</v>
      </c>
      <c r="R66" s="21">
        <f ca="1">終値履歴!D66</f>
        <v>0</v>
      </c>
      <c r="S66" s="107" t="e">
        <f t="shared" ca="1" si="108"/>
        <v>#DIV/0!</v>
      </c>
      <c r="T66" s="21">
        <f ca="1">終値履歴!E66</f>
        <v>0</v>
      </c>
      <c r="U66" s="107" t="e">
        <f t="shared" ca="1" si="109"/>
        <v>#DIV/0!</v>
      </c>
      <c r="W66" s="21">
        <f ca="1">終値履歴!F66</f>
        <v>0</v>
      </c>
      <c r="X66" s="107" t="e">
        <f t="shared" ca="1" si="110"/>
        <v>#DIV/0!</v>
      </c>
    </row>
    <row r="67" spans="2:24" x14ac:dyDescent="0.25">
      <c r="B67" s="49" t="str">
        <f>IPO監視一覧!B64</f>
        <v>ブリッジインターナショナル</v>
      </c>
      <c r="C67" s="62">
        <f>株価一覧!H68</f>
        <v>0</v>
      </c>
      <c r="D67" s="15">
        <f ca="1">OFFSET(終値履歴!A67,0,COUNTA(終値履歴!G67:'終値履歴'!XFD67)+2,1,-1)</f>
        <v>0</v>
      </c>
      <c r="E67" s="15">
        <f ca="1">OFFSET(終値履歴!A67,0,COUNTA(終値履歴!G67:'終値履歴'!XFD67)+3,1,-1)</f>
        <v>0</v>
      </c>
      <c r="F67" s="15">
        <f ca="1">OFFSET(終値履歴!A67,0,COUNTA(終値履歴!G67:'終値履歴'!XFD67)+4,1,-1)</f>
        <v>0</v>
      </c>
      <c r="G67" s="15">
        <f ca="1">OFFSET(終値履歴!A67,0,COUNTA(終値履歴!G67:'終値履歴'!XFD67)+5,1,-1)</f>
        <v>0</v>
      </c>
      <c r="I67" s="60" t="str">
        <f t="shared" ca="1" si="101"/>
        <v/>
      </c>
      <c r="J67" s="60" t="str">
        <f t="shared" ca="1" si="102"/>
        <v/>
      </c>
      <c r="K67" s="60" t="str">
        <f t="shared" ca="1" si="103"/>
        <v/>
      </c>
      <c r="M67" s="60" t="e">
        <f t="shared" ca="1" si="104"/>
        <v>#DIV/0!</v>
      </c>
      <c r="N67" s="60" t="e">
        <f t="shared" ca="1" si="105"/>
        <v>#DIV/0!</v>
      </c>
      <c r="P67" s="57">
        <f t="shared" ca="1" si="106"/>
        <v>0</v>
      </c>
      <c r="Q67" s="12" t="str">
        <f t="shared" ca="1" si="107"/>
        <v>集計外</v>
      </c>
      <c r="R67" s="21">
        <f ca="1">終値履歴!D67</f>
        <v>0</v>
      </c>
      <c r="S67" s="107" t="e">
        <f t="shared" ca="1" si="108"/>
        <v>#DIV/0!</v>
      </c>
      <c r="T67" s="21">
        <f ca="1">終値履歴!E67</f>
        <v>0</v>
      </c>
      <c r="U67" s="107" t="e">
        <f t="shared" ca="1" si="109"/>
        <v>#DIV/0!</v>
      </c>
      <c r="W67" s="21">
        <f ca="1">終値履歴!F67</f>
        <v>0</v>
      </c>
      <c r="X67" s="107" t="e">
        <f t="shared" ca="1" si="110"/>
        <v>#DIV/0!</v>
      </c>
    </row>
    <row r="68" spans="2:24" x14ac:dyDescent="0.25">
      <c r="B68" s="49" t="str">
        <f>IPO監視一覧!B65</f>
        <v>ＣＲＧHD</v>
      </c>
      <c r="C68" s="62">
        <f>株価一覧!H69</f>
        <v>0</v>
      </c>
      <c r="D68" s="15">
        <f ca="1">OFFSET(終値履歴!A68,0,COUNTA(終値履歴!G68:'終値履歴'!XFD68)+2,1,-1)</f>
        <v>0</v>
      </c>
      <c r="E68" s="15">
        <f ca="1">OFFSET(終値履歴!A68,0,COUNTA(終値履歴!G68:'終値履歴'!XFD68)+3,1,-1)</f>
        <v>0</v>
      </c>
      <c r="F68" s="15">
        <f ca="1">OFFSET(終値履歴!A68,0,COUNTA(終値履歴!G68:'終値履歴'!XFD68)+4,1,-1)</f>
        <v>0</v>
      </c>
      <c r="G68" s="15">
        <f ca="1">OFFSET(終値履歴!A68,0,COUNTA(終値履歴!G68:'終値履歴'!XFD68)+5,1,-1)</f>
        <v>0</v>
      </c>
      <c r="I68" s="60" t="str">
        <f t="shared" ca="1" si="101"/>
        <v/>
      </c>
      <c r="J68" s="60" t="str">
        <f t="shared" ca="1" si="102"/>
        <v/>
      </c>
      <c r="K68" s="60" t="str">
        <f t="shared" ca="1" si="103"/>
        <v/>
      </c>
      <c r="M68" s="60" t="e">
        <f t="shared" ca="1" si="104"/>
        <v>#DIV/0!</v>
      </c>
      <c r="N68" s="60" t="e">
        <f t="shared" ca="1" si="105"/>
        <v>#DIV/0!</v>
      </c>
      <c r="P68" s="57">
        <f t="shared" ca="1" si="106"/>
        <v>0</v>
      </c>
      <c r="Q68" s="12" t="str">
        <f t="shared" ca="1" si="107"/>
        <v>集計外</v>
      </c>
      <c r="R68" s="21">
        <f ca="1">終値履歴!D68</f>
        <v>0</v>
      </c>
      <c r="S68" s="107" t="e">
        <f t="shared" ca="1" si="108"/>
        <v>#DIV/0!</v>
      </c>
      <c r="T68" s="21">
        <f ca="1">終値履歴!E68</f>
        <v>0</v>
      </c>
      <c r="U68" s="107" t="e">
        <f t="shared" ca="1" si="109"/>
        <v>#DIV/0!</v>
      </c>
      <c r="W68" s="21">
        <f ca="1">終値履歴!F68</f>
        <v>0</v>
      </c>
      <c r="X68" s="107" t="e">
        <f t="shared" ca="1" si="110"/>
        <v>#DIV/0!</v>
      </c>
    </row>
    <row r="69" spans="2:24" x14ac:dyDescent="0.25">
      <c r="B69" s="49" t="str">
        <f>IPO監視一覧!B66</f>
        <v>Delta-Fly Pharma</v>
      </c>
      <c r="C69" s="62">
        <f>株価一覧!H70</f>
        <v>0</v>
      </c>
      <c r="D69" s="15">
        <f ca="1">OFFSET(終値履歴!A69,0,COUNTA(終値履歴!G69:'終値履歴'!XFD69)+2,1,-1)</f>
        <v>0</v>
      </c>
      <c r="E69" s="15">
        <f ca="1">OFFSET(終値履歴!A69,0,COUNTA(終値履歴!G69:'終値履歴'!XFD69)+3,1,-1)</f>
        <v>0</v>
      </c>
      <c r="F69" s="15">
        <f ca="1">OFFSET(終値履歴!A69,0,COUNTA(終値履歴!G69:'終値履歴'!XFD69)+4,1,-1)</f>
        <v>0</v>
      </c>
      <c r="G69" s="15">
        <f ca="1">OFFSET(終値履歴!A69,0,COUNTA(終値履歴!G69:'終値履歴'!XFD69)+5,1,-1)</f>
        <v>0</v>
      </c>
      <c r="I69" s="60" t="str">
        <f t="shared" ca="1" si="101"/>
        <v/>
      </c>
      <c r="J69" s="60" t="str">
        <f t="shared" ca="1" si="102"/>
        <v/>
      </c>
      <c r="K69" s="60" t="str">
        <f t="shared" ca="1" si="103"/>
        <v/>
      </c>
      <c r="M69" s="60" t="e">
        <f t="shared" ca="1" si="104"/>
        <v>#DIV/0!</v>
      </c>
      <c r="N69" s="60" t="e">
        <f t="shared" ca="1" si="105"/>
        <v>#DIV/0!</v>
      </c>
      <c r="P69" s="57">
        <f t="shared" ca="1" si="106"/>
        <v>0</v>
      </c>
      <c r="Q69" s="12" t="str">
        <f t="shared" ca="1" si="107"/>
        <v>集計外</v>
      </c>
      <c r="R69" s="21">
        <f ca="1">終値履歴!D69</f>
        <v>0</v>
      </c>
      <c r="S69" s="107" t="e">
        <f t="shared" ca="1" si="108"/>
        <v>#DIV/0!</v>
      </c>
      <c r="T69" s="21">
        <f ca="1">終値履歴!E69</f>
        <v>0</v>
      </c>
      <c r="U69" s="107" t="e">
        <f t="shared" ca="1" si="109"/>
        <v>#DIV/0!</v>
      </c>
      <c r="W69" s="21">
        <f ca="1">終値履歴!F69</f>
        <v>0</v>
      </c>
      <c r="X69" s="107" t="e">
        <f t="shared" ca="1" si="110"/>
        <v>#DIV/0!</v>
      </c>
    </row>
    <row r="70" spans="2:24" x14ac:dyDescent="0.25">
      <c r="B70" s="49" t="str">
        <f>IPO監視一覧!B67</f>
        <v>イーソル</v>
      </c>
      <c r="C70" s="62">
        <f>株価一覧!H71</f>
        <v>0</v>
      </c>
      <c r="D70" s="15">
        <f ca="1">OFFSET(終値履歴!A70,0,COUNTA(終値履歴!G70:'終値履歴'!XFD70)+2,1,-1)</f>
        <v>0</v>
      </c>
      <c r="E70" s="15">
        <f ca="1">OFFSET(終値履歴!A70,0,COUNTA(終値履歴!G70:'終値履歴'!XFD70)+3,1,-1)</f>
        <v>0</v>
      </c>
      <c r="F70" s="15">
        <f ca="1">OFFSET(終値履歴!A70,0,COUNTA(終値履歴!G70:'終値履歴'!XFD70)+4,1,-1)</f>
        <v>0</v>
      </c>
      <c r="G70" s="15">
        <f ca="1">OFFSET(終値履歴!A70,0,COUNTA(終値履歴!G70:'終値履歴'!XFD70)+5,1,-1)</f>
        <v>0</v>
      </c>
      <c r="I70" s="60" t="str">
        <f t="shared" ca="1" si="101"/>
        <v/>
      </c>
      <c r="J70" s="60" t="str">
        <f t="shared" ca="1" si="102"/>
        <v/>
      </c>
      <c r="K70" s="60" t="str">
        <f t="shared" ca="1" si="103"/>
        <v/>
      </c>
      <c r="M70" s="60" t="e">
        <f t="shared" ca="1" si="104"/>
        <v>#DIV/0!</v>
      </c>
      <c r="N70" s="60" t="e">
        <f t="shared" ca="1" si="105"/>
        <v>#DIV/0!</v>
      </c>
      <c r="P70" s="57">
        <f t="shared" ca="1" si="106"/>
        <v>0</v>
      </c>
      <c r="Q70" s="12" t="str">
        <f t="shared" ca="1" si="107"/>
        <v>集計外</v>
      </c>
      <c r="R70" s="21">
        <f ca="1">終値履歴!D70</f>
        <v>0</v>
      </c>
      <c r="S70" s="107" t="e">
        <f t="shared" ca="1" si="108"/>
        <v>#DIV/0!</v>
      </c>
      <c r="T70" s="21">
        <f ca="1">終値履歴!E70</f>
        <v>0</v>
      </c>
      <c r="U70" s="107" t="e">
        <f t="shared" ca="1" si="109"/>
        <v>#DIV/0!</v>
      </c>
      <c r="W70" s="21">
        <f ca="1">終値履歴!F70</f>
        <v>0</v>
      </c>
      <c r="X70" s="107" t="e">
        <f t="shared" ca="1" si="110"/>
        <v>#DIV/0!</v>
      </c>
    </row>
    <row r="71" spans="2:24" x14ac:dyDescent="0.25">
      <c r="B71" s="49">
        <f>IPO監視一覧!B68</f>
        <v>0</v>
      </c>
      <c r="C71" s="62">
        <f>株価一覧!H72</f>
        <v>0</v>
      </c>
      <c r="D71" s="15">
        <f ca="1">OFFSET(終値履歴!A71,0,COUNTA(終値履歴!G71:'終値履歴'!XFD71)+2,1,-1)</f>
        <v>0</v>
      </c>
      <c r="E71" s="15">
        <f ca="1">OFFSET(終値履歴!A71,0,COUNTA(終値履歴!G71:'終値履歴'!XFD71)+3,1,-1)</f>
        <v>0</v>
      </c>
      <c r="F71" s="15">
        <f ca="1">OFFSET(終値履歴!A71,0,COUNTA(終値履歴!G71:'終値履歴'!XFD71)+4,1,-1)</f>
        <v>0</v>
      </c>
      <c r="G71" s="15">
        <f ca="1">OFFSET(終値履歴!A71,0,COUNTA(終値履歴!G71:'終値履歴'!XFD71)+5,1,-1)</f>
        <v>0</v>
      </c>
      <c r="I71" s="60" t="str">
        <f t="shared" ca="1" si="101"/>
        <v/>
      </c>
      <c r="J71" s="60" t="str">
        <f t="shared" ca="1" si="102"/>
        <v/>
      </c>
      <c r="K71" s="60" t="str">
        <f t="shared" ca="1" si="103"/>
        <v/>
      </c>
      <c r="M71" s="60" t="e">
        <f t="shared" ca="1" si="104"/>
        <v>#DIV/0!</v>
      </c>
      <c r="N71" s="60" t="e">
        <f t="shared" ca="1" si="105"/>
        <v>#DIV/0!</v>
      </c>
      <c r="P71" s="57">
        <f t="shared" ca="1" si="106"/>
        <v>0</v>
      </c>
      <c r="Q71" s="12" t="str">
        <f t="shared" ca="1" si="107"/>
        <v>集計外</v>
      </c>
      <c r="R71" s="21">
        <f ca="1">終値履歴!D71</f>
        <v>0</v>
      </c>
      <c r="S71" s="107" t="e">
        <f t="shared" ca="1" si="108"/>
        <v>#DIV/0!</v>
      </c>
      <c r="T71" s="21">
        <f ca="1">終値履歴!E71</f>
        <v>0</v>
      </c>
      <c r="U71" s="107" t="e">
        <f t="shared" ca="1" si="109"/>
        <v>#DIV/0!</v>
      </c>
      <c r="W71" s="21">
        <f ca="1">終値履歴!F71</f>
        <v>0</v>
      </c>
      <c r="X71" s="107" t="e">
        <f t="shared" ca="1" si="110"/>
        <v>#DIV/0!</v>
      </c>
    </row>
    <row r="72" spans="2:24" x14ac:dyDescent="0.25">
      <c r="B72" s="49">
        <f>IPO監視一覧!B69</f>
        <v>0</v>
      </c>
      <c r="C72" s="62">
        <f>株価一覧!H73</f>
        <v>0</v>
      </c>
      <c r="D72" s="15">
        <f ca="1">OFFSET(終値履歴!A72,0,COUNTA(終値履歴!G72:'終値履歴'!XFD72)+2,1,-1)</f>
        <v>0</v>
      </c>
      <c r="E72" s="15">
        <f ca="1">OFFSET(終値履歴!A72,0,COUNTA(終値履歴!G72:'終値履歴'!XFD72)+3,1,-1)</f>
        <v>0</v>
      </c>
      <c r="F72" s="15">
        <f ca="1">OFFSET(終値履歴!A72,0,COUNTA(終値履歴!G72:'終値履歴'!XFD72)+4,1,-1)</f>
        <v>0</v>
      </c>
      <c r="G72" s="15">
        <f ca="1">OFFSET(終値履歴!A72,0,COUNTA(終値履歴!G72:'終値履歴'!XFD72)+5,1,-1)</f>
        <v>0</v>
      </c>
      <c r="I72" s="60" t="str">
        <f t="shared" ca="1" si="101"/>
        <v/>
      </c>
      <c r="J72" s="60" t="str">
        <f t="shared" ca="1" si="102"/>
        <v/>
      </c>
      <c r="K72" s="60" t="str">
        <f t="shared" ca="1" si="103"/>
        <v/>
      </c>
      <c r="M72" s="60" t="e">
        <f t="shared" ca="1" si="104"/>
        <v>#DIV/0!</v>
      </c>
      <c r="N72" s="60" t="e">
        <f t="shared" ca="1" si="105"/>
        <v>#DIV/0!</v>
      </c>
      <c r="P72" s="57">
        <f t="shared" ca="1" si="106"/>
        <v>0</v>
      </c>
      <c r="Q72" s="12" t="str">
        <f t="shared" si="107"/>
        <v>集計外</v>
      </c>
      <c r="R72" s="21">
        <f>終値履歴!D72</f>
        <v>0</v>
      </c>
      <c r="S72" s="107" t="e">
        <f t="shared" ca="1" si="108"/>
        <v>#DIV/0!</v>
      </c>
      <c r="T72" s="21">
        <f>終値履歴!E72</f>
        <v>0</v>
      </c>
      <c r="U72" s="107" t="e">
        <f t="shared" ca="1" si="109"/>
        <v>#DIV/0!</v>
      </c>
      <c r="W72" s="21">
        <f>終値履歴!F72</f>
        <v>0</v>
      </c>
      <c r="X72" s="107" t="e">
        <f t="shared" ca="1" si="110"/>
        <v>#DIV/0!</v>
      </c>
    </row>
    <row r="73" spans="2:24" x14ac:dyDescent="0.25">
      <c r="B73" s="49">
        <f>IPO監視一覧!B70</f>
        <v>0</v>
      </c>
      <c r="C73" s="62">
        <f>株価一覧!H74</f>
        <v>0</v>
      </c>
      <c r="D73" s="15">
        <f ca="1">OFFSET(終値履歴!A73,0,COUNTA(終値履歴!G73:'終値履歴'!XFD73)+2,1,-1)</f>
        <v>0</v>
      </c>
      <c r="E73" s="15">
        <f ca="1">OFFSET(終値履歴!A73,0,COUNTA(終値履歴!G73:'終値履歴'!XFD73)+3,1,-1)</f>
        <v>0</v>
      </c>
      <c r="F73" s="15">
        <f ca="1">OFFSET(終値履歴!A73,0,COUNTA(終値履歴!G73:'終値履歴'!XFD73)+4,1,-1)</f>
        <v>0</v>
      </c>
      <c r="G73" s="15">
        <f ca="1">OFFSET(終値履歴!A73,0,COUNTA(終値履歴!G73:'終値履歴'!XFD73)+5,1,-1)</f>
        <v>0</v>
      </c>
      <c r="I73" s="60" t="str">
        <f t="shared" ca="1" si="101"/>
        <v/>
      </c>
      <c r="J73" s="60" t="str">
        <f t="shared" ca="1" si="102"/>
        <v/>
      </c>
      <c r="K73" s="60" t="str">
        <f t="shared" ca="1" si="103"/>
        <v/>
      </c>
      <c r="M73" s="60" t="e">
        <f t="shared" ca="1" si="104"/>
        <v>#DIV/0!</v>
      </c>
      <c r="N73" s="60" t="e">
        <f t="shared" ca="1" si="105"/>
        <v>#DIV/0!</v>
      </c>
      <c r="P73" s="57">
        <f t="shared" ca="1" si="106"/>
        <v>0</v>
      </c>
      <c r="Q73" s="12" t="str">
        <f t="shared" si="107"/>
        <v>集計外</v>
      </c>
      <c r="R73" s="21">
        <f>終値履歴!D73</f>
        <v>0</v>
      </c>
      <c r="S73" s="107" t="e">
        <f t="shared" ca="1" si="108"/>
        <v>#DIV/0!</v>
      </c>
      <c r="T73" s="21">
        <f>終値履歴!E73</f>
        <v>0</v>
      </c>
      <c r="U73" s="107" t="e">
        <f t="shared" ca="1" si="109"/>
        <v>#DIV/0!</v>
      </c>
      <c r="W73" s="21">
        <f>終値履歴!F73</f>
        <v>0</v>
      </c>
      <c r="X73" s="107" t="e">
        <f t="shared" ca="1" si="110"/>
        <v>#DIV/0!</v>
      </c>
    </row>
  </sheetData>
  <mergeCells count="2">
    <mergeCell ref="I1:K1"/>
    <mergeCell ref="M1:N1"/>
  </mergeCells>
  <phoneticPr fontId="2"/>
  <conditionalFormatting sqref="O2">
    <cfRule type="cellIs" dxfId="34" priority="141" operator="lessThan">
      <formula>-0.1</formula>
    </cfRule>
  </conditionalFormatting>
  <conditionalFormatting sqref="O2">
    <cfRule type="cellIs" dxfId="33" priority="140" operator="lessThan">
      <formula>-0.1</formula>
    </cfRule>
  </conditionalFormatting>
  <conditionalFormatting sqref="I74:N1048576 L6:N73 I4:K73">
    <cfRule type="cellIs" dxfId="32" priority="139" operator="lessThan">
      <formula>-0.07</formula>
    </cfRule>
  </conditionalFormatting>
  <conditionalFormatting sqref="I74:N1048576 L6:N73 I4:K73">
    <cfRule type="cellIs" dxfId="31" priority="138" operator="greaterThan">
      <formula>0</formula>
    </cfRule>
  </conditionalFormatting>
  <conditionalFormatting sqref="C2 C12:C1048576">
    <cfRule type="cellIs" dxfId="30" priority="136" operator="lessThan">
      <formula>100000</formula>
    </cfRule>
    <cfRule type="cellIs" dxfId="29" priority="137" operator="lessThan">
      <formula>1000000</formula>
    </cfRule>
  </conditionalFormatting>
  <conditionalFormatting sqref="P6:P1048576">
    <cfRule type="cellIs" dxfId="28" priority="135" operator="greaterThan">
      <formula>0</formula>
    </cfRule>
  </conditionalFormatting>
  <conditionalFormatting sqref="P1:P2 P6:P1048576">
    <cfRule type="cellIs" dxfId="27" priority="134" operator="lessThan">
      <formula>0</formula>
    </cfRule>
  </conditionalFormatting>
  <conditionalFormatting sqref="U1:U2 S12:S1048576 U6:U1048576">
    <cfRule type="cellIs" dxfId="26" priority="132" operator="greaterThan">
      <formula>0.04</formula>
    </cfRule>
    <cfRule type="cellIs" dxfId="25" priority="133" operator="lessThan">
      <formula>0</formula>
    </cfRule>
  </conditionalFormatting>
  <conditionalFormatting sqref="B6:B1048576">
    <cfRule type="expression" dxfId="24" priority="130">
      <formula>$U6&gt;=0.1</formula>
    </cfRule>
    <cfRule type="expression" dxfId="23" priority="131">
      <formula>$G6&gt;$T6</formula>
    </cfRule>
  </conditionalFormatting>
  <conditionalFormatting sqref="X6:X1048576">
    <cfRule type="cellIs" dxfId="22" priority="128" operator="greaterThan">
      <formula>0.1</formula>
    </cfRule>
  </conditionalFormatting>
  <conditionalFormatting sqref="T6:XFD11 B6:B11 H6:H11 B74:XFD1048576 L6:Q11 L12:XFD73 Q4:Q73 I4:K73 B12:H73">
    <cfRule type="expression" dxfId="21" priority="116">
      <formula>CELL("ROW")=ROW()</formula>
    </cfRule>
  </conditionalFormatting>
  <conditionalFormatting sqref="V1:V1048576 L1:L1048576 O1:O1048576 Y1:Y1048576 H1:H1048576 A1:A1048576 Q1:Q1048576">
    <cfRule type="expression" dxfId="20" priority="115">
      <formula>CELL("ROW")=ROW()</formula>
    </cfRule>
  </conditionalFormatting>
  <conditionalFormatting sqref="S1:S2 S6:S11">
    <cfRule type="cellIs" dxfId="19" priority="113" operator="greaterThan">
      <formula>0.04</formula>
    </cfRule>
    <cfRule type="cellIs" dxfId="18" priority="114" operator="lessThan">
      <formula>0</formula>
    </cfRule>
  </conditionalFormatting>
  <conditionalFormatting sqref="R6:S11">
    <cfRule type="expression" dxfId="17" priority="110">
      <formula>CELL("ROW")=ROW()</formula>
    </cfRule>
  </conditionalFormatting>
  <conditionalFormatting sqref="Q1:Q1048576">
    <cfRule type="cellIs" dxfId="16" priority="108" operator="equal">
      <formula>"割安"</formula>
    </cfRule>
    <cfRule type="cellIs" dxfId="15" priority="109" operator="equal">
      <formula>"普通"</formula>
    </cfRule>
  </conditionalFormatting>
  <conditionalFormatting sqref="I3:N3 L4:N5">
    <cfRule type="cellIs" dxfId="14" priority="20" operator="lessThan">
      <formula>-0.07</formula>
    </cfRule>
  </conditionalFormatting>
  <conditionalFormatting sqref="I3:N3 L4:N5">
    <cfRule type="cellIs" dxfId="13" priority="19" operator="greaterThan">
      <formula>0</formula>
    </cfRule>
  </conditionalFormatting>
  <conditionalFormatting sqref="P3:P5">
    <cfRule type="cellIs" dxfId="12" priority="16" operator="greaterThan">
      <formula>0</formula>
    </cfRule>
  </conditionalFormatting>
  <conditionalFormatting sqref="P3:P5">
    <cfRule type="cellIs" dxfId="11" priority="15" operator="lessThan">
      <formula>0</formula>
    </cfRule>
  </conditionalFormatting>
  <conditionalFormatting sqref="S3:S5 U3:U5">
    <cfRule type="cellIs" dxfId="10" priority="13" operator="greaterThan">
      <formula>0.04</formula>
    </cfRule>
    <cfRule type="cellIs" dxfId="9" priority="14" operator="lessThan">
      <formula>0</formula>
    </cfRule>
  </conditionalFormatting>
  <conditionalFormatting sqref="X3:X5">
    <cfRule type="cellIs" dxfId="8" priority="10" operator="greaterThan">
      <formula>0.1</formula>
    </cfRule>
  </conditionalFormatting>
  <conditionalFormatting sqref="D3:XFD3 D6:G11 D4:H5 L4:XFD5">
    <cfRule type="expression" dxfId="7" priority="9">
      <formula>CELL("ROW")=ROW()</formula>
    </cfRule>
  </conditionalFormatting>
  <conditionalFormatting sqref="V3:V5 L3:L5 O3:O5 Y3:Y5 H3:H5 A3:A5">
    <cfRule type="expression" dxfId="6" priority="8">
      <formula>CELL("ROW")=ROW()</formula>
    </cfRule>
  </conditionalFormatting>
  <conditionalFormatting sqref="B3:B5">
    <cfRule type="expression" dxfId="5" priority="5">
      <formula>CELL("ROW")=ROW()</formula>
    </cfRule>
  </conditionalFormatting>
  <conditionalFormatting sqref="C3:C11">
    <cfRule type="cellIs" dxfId="4" priority="3" operator="lessThan">
      <formula>100000</formula>
    </cfRule>
    <cfRule type="cellIs" dxfId="3" priority="4" operator="lessThan">
      <formula>1000000</formula>
    </cfRule>
  </conditionalFormatting>
  <conditionalFormatting sqref="C3:C11">
    <cfRule type="expression" dxfId="2" priority="2">
      <formula>CELL("ROW")=ROW()</formula>
    </cfRule>
  </conditionalFormatting>
  <conditionalFormatting sqref="I1:K1048576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EH71"/>
  <sheetViews>
    <sheetView zoomScale="55" zoomScaleNormal="55" workbookViewId="0">
      <pane xSplit="6" ySplit="2" topLeftCell="DW3" activePane="bottomRight" state="frozen"/>
      <selection pane="topRight" activeCell="G1" sqref="G1"/>
      <selection pane="bottomLeft" activeCell="A3" sqref="A3"/>
      <selection pane="bottomRight" activeCell="EB25" sqref="EB25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1" customWidth="1"/>
    <col min="5" max="6" width="13.77734375" style="111" customWidth="1"/>
    <col min="7" max="8" width="13" style="178" bestFit="1" customWidth="1"/>
    <col min="9" max="17" width="11.6640625" style="178" bestFit="1" customWidth="1"/>
    <col min="18" max="22" width="10.44140625" style="178" bestFit="1" customWidth="1"/>
    <col min="23" max="35" width="11.6640625" style="178" bestFit="1" customWidth="1"/>
    <col min="36" max="39" width="10.44140625" style="178" bestFit="1" customWidth="1"/>
    <col min="40" max="53" width="11.6640625" style="178" bestFit="1" customWidth="1"/>
    <col min="54" max="56" width="10.44140625" style="178" bestFit="1" customWidth="1"/>
    <col min="57" max="72" width="11.6640625" style="178" bestFit="1" customWidth="1"/>
    <col min="73" max="77" width="10.44140625" style="178" bestFit="1" customWidth="1"/>
    <col min="78" max="91" width="11.6640625" style="178" bestFit="1" customWidth="1"/>
    <col min="92" max="97" width="10.44140625" style="178" bestFit="1" customWidth="1"/>
    <col min="98" max="111" width="11.44140625" style="178" bestFit="1" customWidth="1"/>
    <col min="112" max="117" width="10.44140625" style="178" bestFit="1" customWidth="1"/>
    <col min="118" max="132" width="11.44140625" style="178" bestFit="1" customWidth="1"/>
    <col min="133" max="137" width="10.44140625" style="178" bestFit="1" customWidth="1"/>
    <col min="138" max="138" width="11.44140625" style="178" bestFit="1" customWidth="1"/>
    <col min="139" max="16384" width="8" style="178"/>
  </cols>
  <sheetData>
    <row r="1" spans="1:138" s="181" customFormat="1" x14ac:dyDescent="0.25">
      <c r="A1" s="180" t="s">
        <v>100</v>
      </c>
      <c r="B1" s="181" t="s">
        <v>101</v>
      </c>
      <c r="C1" s="182"/>
      <c r="D1" s="183"/>
      <c r="E1" s="182"/>
      <c r="F1" s="182"/>
    </row>
    <row r="2" spans="1:138" s="185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257</v>
      </c>
      <c r="F2" s="93" t="s">
        <v>258</v>
      </c>
      <c r="G2" s="184">
        <v>43145</v>
      </c>
      <c r="H2" s="184">
        <v>43150</v>
      </c>
      <c r="I2" s="184">
        <v>43151</v>
      </c>
      <c r="J2" s="184">
        <v>43152</v>
      </c>
      <c r="K2" s="184">
        <v>43153</v>
      </c>
      <c r="L2" s="184">
        <v>43154</v>
      </c>
      <c r="M2" s="184">
        <v>43157</v>
      </c>
      <c r="N2" s="184">
        <v>43158</v>
      </c>
      <c r="O2" s="184">
        <v>43159</v>
      </c>
      <c r="P2" s="184">
        <v>43160</v>
      </c>
      <c r="Q2" s="184">
        <v>43161</v>
      </c>
      <c r="R2" s="184">
        <v>43164</v>
      </c>
      <c r="S2" s="184">
        <v>43165</v>
      </c>
      <c r="T2" s="184">
        <v>43166</v>
      </c>
      <c r="U2" s="184">
        <v>43167</v>
      </c>
      <c r="V2" s="184">
        <v>43168</v>
      </c>
      <c r="W2" s="184">
        <v>43171</v>
      </c>
      <c r="X2" s="184">
        <v>43172</v>
      </c>
      <c r="Y2" s="184">
        <v>43173</v>
      </c>
      <c r="Z2" s="184">
        <v>43174</v>
      </c>
      <c r="AA2" s="184">
        <v>43175</v>
      </c>
      <c r="AB2" s="184">
        <v>43178</v>
      </c>
      <c r="AC2" s="184">
        <v>43181</v>
      </c>
      <c r="AD2" s="184">
        <v>43182</v>
      </c>
      <c r="AE2" s="184">
        <v>43185</v>
      </c>
      <c r="AF2" s="184">
        <v>43186</v>
      </c>
      <c r="AG2" s="184">
        <v>43187</v>
      </c>
      <c r="AH2" s="184">
        <v>43188</v>
      </c>
      <c r="AI2" s="184">
        <v>43189</v>
      </c>
      <c r="AJ2" s="184">
        <v>43192</v>
      </c>
      <c r="AK2" s="184">
        <v>43193</v>
      </c>
      <c r="AL2" s="184">
        <v>43194</v>
      </c>
      <c r="AM2" s="184">
        <v>43195</v>
      </c>
      <c r="AN2" s="184">
        <v>43200</v>
      </c>
      <c r="AO2" s="184">
        <v>43201</v>
      </c>
      <c r="AP2" s="184">
        <v>43202</v>
      </c>
      <c r="AQ2" s="184">
        <v>43203</v>
      </c>
      <c r="AR2" s="184">
        <v>43206</v>
      </c>
      <c r="AS2" s="184">
        <v>43207</v>
      </c>
      <c r="AT2" s="184">
        <v>43208</v>
      </c>
      <c r="AU2" s="184">
        <v>43209</v>
      </c>
      <c r="AV2" s="184">
        <v>43210</v>
      </c>
      <c r="AW2" s="184">
        <v>43213</v>
      </c>
      <c r="AX2" s="184">
        <v>43214</v>
      </c>
      <c r="AY2" s="184">
        <v>43215</v>
      </c>
      <c r="AZ2" s="184">
        <v>43216</v>
      </c>
      <c r="BA2" s="184">
        <v>43217</v>
      </c>
      <c r="BB2" s="184">
        <v>43227</v>
      </c>
      <c r="BC2" s="184">
        <v>43228</v>
      </c>
      <c r="BD2" s="184">
        <v>43229</v>
      </c>
      <c r="BE2" s="184">
        <v>43230</v>
      </c>
      <c r="BF2" s="184">
        <v>43231</v>
      </c>
      <c r="BG2" s="184">
        <v>43234</v>
      </c>
      <c r="BH2" s="184">
        <v>43235</v>
      </c>
      <c r="BI2" s="184">
        <v>43236</v>
      </c>
      <c r="BJ2" s="184">
        <v>43237</v>
      </c>
      <c r="BK2" s="184">
        <v>43238</v>
      </c>
      <c r="BL2" s="184">
        <v>43241</v>
      </c>
      <c r="BM2" s="184">
        <v>43242</v>
      </c>
      <c r="BN2" s="184">
        <v>43243</v>
      </c>
      <c r="BO2" s="184">
        <v>43244</v>
      </c>
      <c r="BP2" s="184">
        <v>43245</v>
      </c>
      <c r="BQ2" s="184">
        <v>43248</v>
      </c>
      <c r="BR2" s="184">
        <v>43249</v>
      </c>
      <c r="BS2" s="184">
        <v>43250</v>
      </c>
      <c r="BT2" s="184">
        <v>43251</v>
      </c>
      <c r="BU2" s="184">
        <v>43252</v>
      </c>
      <c r="BV2" s="184">
        <v>43255</v>
      </c>
      <c r="BW2" s="184">
        <v>43256</v>
      </c>
      <c r="BX2" s="184">
        <v>43257</v>
      </c>
      <c r="BY2" s="184">
        <v>43258</v>
      </c>
      <c r="BZ2" s="184">
        <v>43262</v>
      </c>
      <c r="CA2" s="184">
        <v>43263</v>
      </c>
      <c r="CB2" s="184">
        <v>43264</v>
      </c>
      <c r="CC2" s="184">
        <v>43265</v>
      </c>
      <c r="CD2" s="184">
        <v>43266</v>
      </c>
      <c r="CE2" s="184">
        <v>43269</v>
      </c>
      <c r="CF2" s="184">
        <v>43270</v>
      </c>
      <c r="CG2" s="184">
        <v>43271</v>
      </c>
      <c r="CH2" s="184">
        <v>43272</v>
      </c>
      <c r="CI2" s="184">
        <v>43273</v>
      </c>
      <c r="CJ2" s="184">
        <v>43277</v>
      </c>
      <c r="CK2" s="184">
        <v>43278</v>
      </c>
      <c r="CL2" s="184">
        <v>43279</v>
      </c>
      <c r="CM2" s="184">
        <v>43280</v>
      </c>
      <c r="CN2" s="184">
        <v>43283</v>
      </c>
      <c r="CO2" s="184">
        <v>43284</v>
      </c>
      <c r="CP2" s="184">
        <v>43285</v>
      </c>
      <c r="CQ2" s="184">
        <v>43286</v>
      </c>
      <c r="CR2" s="184">
        <v>43287</v>
      </c>
      <c r="CS2" s="184">
        <v>43290</v>
      </c>
      <c r="CT2" s="184">
        <v>43291</v>
      </c>
      <c r="CU2" s="184">
        <v>43292</v>
      </c>
      <c r="CV2" s="184">
        <v>43293</v>
      </c>
      <c r="CW2" s="184">
        <v>43298</v>
      </c>
      <c r="CX2" s="184">
        <v>43299</v>
      </c>
      <c r="CY2" s="184">
        <v>43300</v>
      </c>
      <c r="CZ2" s="184">
        <v>43301</v>
      </c>
      <c r="DA2" s="184">
        <v>43304</v>
      </c>
      <c r="DB2" s="184">
        <v>43305</v>
      </c>
      <c r="DC2" s="184">
        <v>43306</v>
      </c>
      <c r="DD2" s="184">
        <v>43307</v>
      </c>
      <c r="DE2" s="184">
        <v>43308</v>
      </c>
      <c r="DF2" s="184">
        <v>43311</v>
      </c>
      <c r="DG2" s="184">
        <v>43312</v>
      </c>
      <c r="DH2" s="184">
        <v>43313</v>
      </c>
      <c r="DI2" s="184">
        <v>43314</v>
      </c>
      <c r="DJ2" s="184">
        <v>43318</v>
      </c>
      <c r="DK2" s="184">
        <v>43319</v>
      </c>
      <c r="DL2" s="184">
        <v>43320</v>
      </c>
      <c r="DM2" s="184">
        <v>43321</v>
      </c>
      <c r="DN2" s="184">
        <v>43325</v>
      </c>
      <c r="DO2" s="184">
        <v>43326</v>
      </c>
      <c r="DP2" s="184">
        <v>43327</v>
      </c>
      <c r="DQ2" s="184">
        <v>43328</v>
      </c>
      <c r="DR2" s="184">
        <v>43329</v>
      </c>
      <c r="DS2" s="184">
        <v>43332</v>
      </c>
      <c r="DT2" s="184">
        <v>43333</v>
      </c>
      <c r="DU2" s="184">
        <v>43334</v>
      </c>
      <c r="DV2" s="184">
        <v>43335</v>
      </c>
      <c r="DW2" s="184">
        <v>43336</v>
      </c>
      <c r="DX2" s="184">
        <v>43339</v>
      </c>
      <c r="DY2" s="184">
        <v>43340</v>
      </c>
      <c r="DZ2" s="184">
        <v>43341</v>
      </c>
      <c r="EA2" s="184">
        <v>43342</v>
      </c>
      <c r="EB2" s="184">
        <v>43343</v>
      </c>
      <c r="EC2" s="184">
        <v>43346</v>
      </c>
      <c r="ED2" s="184">
        <v>43347</v>
      </c>
      <c r="EE2" s="184">
        <v>43348</v>
      </c>
      <c r="EF2" s="184">
        <v>43349</v>
      </c>
      <c r="EG2" s="184">
        <v>43350</v>
      </c>
      <c r="EH2" s="184">
        <v>43353</v>
      </c>
    </row>
    <row r="3" spans="1:138" s="179" customFormat="1" ht="16.5" thickTop="1" x14ac:dyDescent="0.25">
      <c r="A3" s="43" t="s">
        <v>126</v>
      </c>
      <c r="B3" s="43" t="str">
        <f>セカンダリ投資分析!B3</f>
        <v>リミックスポイント</v>
      </c>
      <c r="C3" s="177">
        <f>株価一覧!E2</f>
        <v>1026</v>
      </c>
      <c r="D3" s="177">
        <f t="shared" ref="D3:D11" ca="1" si="0">AVERAGE(OFFSET(A3,0,COUNTA(G3:XFD3)+5,1,-5))</f>
        <v>1072.5999999999999</v>
      </c>
      <c r="E3" s="177">
        <f ca="1">IF(F3=0,0,AVERAGE(OFFSET(A3,0,COUNTA(G3:XFD3)+5,1,-15)))</f>
        <v>1048.4000000000001</v>
      </c>
      <c r="F3" s="177">
        <f ca="1">MIN(OFFSET(B3,0,COUNTA(G3:XFD3)+5,1,-15))</f>
        <v>992</v>
      </c>
      <c r="G3" s="179">
        <v>875</v>
      </c>
      <c r="H3" s="179">
        <v>1042</v>
      </c>
      <c r="I3" s="179">
        <v>1062</v>
      </c>
      <c r="J3" s="179">
        <v>1008</v>
      </c>
      <c r="K3" s="179">
        <v>1084</v>
      </c>
      <c r="L3" s="179">
        <v>1071</v>
      </c>
      <c r="M3" s="179">
        <v>1052</v>
      </c>
      <c r="N3" s="179">
        <v>1015</v>
      </c>
      <c r="O3" s="179">
        <v>1059</v>
      </c>
      <c r="P3" s="179">
        <v>1044</v>
      </c>
      <c r="Q3" s="179">
        <v>1073</v>
      </c>
      <c r="R3" s="179">
        <v>1002</v>
      </c>
      <c r="S3" s="179">
        <v>982</v>
      </c>
      <c r="T3" s="179">
        <v>921</v>
      </c>
      <c r="U3" s="179">
        <v>952</v>
      </c>
      <c r="V3" s="179">
        <v>977</v>
      </c>
      <c r="W3" s="179">
        <v>966</v>
      </c>
      <c r="X3" s="179">
        <v>996</v>
      </c>
      <c r="Y3" s="179">
        <v>1030</v>
      </c>
      <c r="Z3" s="179">
        <v>1008</v>
      </c>
      <c r="AA3" s="179">
        <v>1040</v>
      </c>
      <c r="AB3" s="179">
        <v>976</v>
      </c>
      <c r="AC3" s="179">
        <v>902</v>
      </c>
      <c r="AD3" s="179">
        <v>838</v>
      </c>
      <c r="AE3" s="179">
        <v>852</v>
      </c>
      <c r="AF3" s="179">
        <v>845</v>
      </c>
      <c r="AG3" s="179">
        <v>890</v>
      </c>
      <c r="AH3" s="179">
        <v>871</v>
      </c>
      <c r="AI3" s="179">
        <v>874</v>
      </c>
      <c r="AJ3" s="179">
        <v>889</v>
      </c>
      <c r="AK3" s="179">
        <v>890</v>
      </c>
      <c r="AL3" s="179">
        <v>909</v>
      </c>
      <c r="AM3" s="179">
        <v>871</v>
      </c>
      <c r="AN3" s="179">
        <v>855</v>
      </c>
      <c r="AO3" s="179">
        <v>839</v>
      </c>
      <c r="AP3" s="179">
        <v>804</v>
      </c>
      <c r="AQ3" s="179">
        <v>818</v>
      </c>
      <c r="AR3" s="179">
        <v>810</v>
      </c>
      <c r="AS3" s="179">
        <v>811</v>
      </c>
      <c r="AT3" s="179">
        <v>820</v>
      </c>
      <c r="AU3" s="179">
        <v>904</v>
      </c>
      <c r="AV3" s="179">
        <v>991</v>
      </c>
      <c r="AW3" s="179">
        <v>1055</v>
      </c>
      <c r="AX3" s="179">
        <v>1025</v>
      </c>
      <c r="AY3" s="179">
        <v>1036</v>
      </c>
      <c r="AZ3" s="179">
        <v>1089</v>
      </c>
      <c r="BA3" s="179">
        <v>1042</v>
      </c>
      <c r="BB3" s="179">
        <v>1162</v>
      </c>
      <c r="BC3" s="179">
        <v>1098</v>
      </c>
      <c r="BD3" s="179">
        <v>1069</v>
      </c>
      <c r="BE3" s="179">
        <v>1047</v>
      </c>
      <c r="BF3" s="179">
        <v>1029</v>
      </c>
      <c r="BG3" s="179">
        <v>1042</v>
      </c>
      <c r="BH3" s="179">
        <v>1107</v>
      </c>
      <c r="BI3" s="179">
        <v>1407</v>
      </c>
      <c r="BJ3" s="179">
        <v>1599</v>
      </c>
      <c r="BK3" s="179">
        <v>1603</v>
      </c>
      <c r="BL3" s="179">
        <v>1639</v>
      </c>
      <c r="BM3" s="179">
        <v>1743</v>
      </c>
      <c r="BN3" s="179">
        <v>1792</v>
      </c>
      <c r="BO3" s="179">
        <v>1688</v>
      </c>
      <c r="BP3" s="179">
        <v>1575</v>
      </c>
      <c r="BQ3" s="179">
        <v>1720</v>
      </c>
      <c r="BR3" s="179">
        <v>1580</v>
      </c>
      <c r="BS3" s="179">
        <v>1597</v>
      </c>
      <c r="BT3" s="179">
        <v>1670</v>
      </c>
      <c r="BU3" s="179">
        <v>1603</v>
      </c>
      <c r="BV3" s="179">
        <v>1469</v>
      </c>
      <c r="BW3" s="179">
        <v>1332</v>
      </c>
      <c r="BX3" s="179">
        <v>1267</v>
      </c>
      <c r="BY3" s="179">
        <v>1339</v>
      </c>
      <c r="BZ3" s="179">
        <v>1284</v>
      </c>
      <c r="CA3" s="179">
        <v>1354</v>
      </c>
      <c r="CB3" s="179">
        <v>1403</v>
      </c>
      <c r="CC3" s="179">
        <v>1390</v>
      </c>
      <c r="CD3" s="179">
        <v>1441</v>
      </c>
      <c r="CE3" s="179">
        <v>1367</v>
      </c>
      <c r="CF3" s="179">
        <v>1232</v>
      </c>
      <c r="CG3" s="179">
        <v>1284</v>
      </c>
      <c r="CH3" s="179">
        <v>1179</v>
      </c>
      <c r="CI3" s="179">
        <v>1164</v>
      </c>
      <c r="CJ3" s="179">
        <v>1177</v>
      </c>
      <c r="CK3" s="179">
        <v>1158</v>
      </c>
      <c r="CL3" s="179">
        <v>1149</v>
      </c>
      <c r="CM3" s="179">
        <v>1096</v>
      </c>
      <c r="CN3" s="179">
        <v>1055</v>
      </c>
      <c r="CO3" s="179">
        <v>1069</v>
      </c>
      <c r="CP3" s="179">
        <v>1062</v>
      </c>
      <c r="CQ3" s="179">
        <v>1009</v>
      </c>
      <c r="CR3" s="179">
        <v>1080</v>
      </c>
      <c r="CS3" s="179">
        <v>1058</v>
      </c>
      <c r="CT3" s="179">
        <v>1055</v>
      </c>
      <c r="CU3" s="179">
        <v>1007</v>
      </c>
      <c r="CV3" s="179">
        <v>1022</v>
      </c>
      <c r="CW3" s="179">
        <v>1026</v>
      </c>
      <c r="CX3" s="179">
        <v>1236</v>
      </c>
      <c r="CY3" s="179">
        <v>1222</v>
      </c>
      <c r="CZ3" s="179">
        <v>1298</v>
      </c>
      <c r="DA3" s="179">
        <v>1301</v>
      </c>
      <c r="DB3" s="179">
        <v>1348</v>
      </c>
      <c r="DC3" s="179">
        <v>1353</v>
      </c>
      <c r="DD3" s="179">
        <v>1233</v>
      </c>
      <c r="DE3" s="179">
        <v>1167</v>
      </c>
      <c r="DF3" s="179">
        <v>1115</v>
      </c>
      <c r="DG3" s="179">
        <v>1103</v>
      </c>
      <c r="DH3" s="179">
        <v>1107</v>
      </c>
      <c r="DI3" s="179">
        <v>1091</v>
      </c>
      <c r="DJ3" s="179">
        <v>1023</v>
      </c>
      <c r="DK3" s="179">
        <v>1008</v>
      </c>
      <c r="DL3" s="179">
        <v>1027</v>
      </c>
      <c r="DM3" s="179">
        <v>1015</v>
      </c>
      <c r="DN3" s="179">
        <v>1022</v>
      </c>
      <c r="DO3" s="179">
        <v>1085</v>
      </c>
      <c r="DP3" s="179">
        <v>944</v>
      </c>
      <c r="DQ3" s="179">
        <v>909</v>
      </c>
      <c r="DR3" s="179">
        <v>948</v>
      </c>
      <c r="DS3" s="179">
        <v>998</v>
      </c>
      <c r="DT3" s="179">
        <v>951</v>
      </c>
      <c r="DU3" s="179">
        <v>992</v>
      </c>
      <c r="DV3" s="179">
        <v>1017</v>
      </c>
      <c r="DW3" s="179">
        <v>1003</v>
      </c>
      <c r="DX3" s="179">
        <v>1033</v>
      </c>
      <c r="DY3" s="179">
        <v>1025</v>
      </c>
      <c r="DZ3" s="179">
        <v>1069</v>
      </c>
      <c r="EA3" s="179">
        <v>1104</v>
      </c>
      <c r="EB3" s="179">
        <v>1071</v>
      </c>
      <c r="EC3" s="179">
        <v>1098</v>
      </c>
      <c r="ED3" s="179">
        <v>1148</v>
      </c>
      <c r="EE3" s="179">
        <v>1128</v>
      </c>
      <c r="EF3" s="179">
        <v>1036</v>
      </c>
      <c r="EG3" s="179">
        <v>1025</v>
      </c>
      <c r="EH3" s="179">
        <v>1026</v>
      </c>
    </row>
    <row r="4" spans="1:138" x14ac:dyDescent="0.25">
      <c r="A4" s="49" t="s">
        <v>126</v>
      </c>
      <c r="B4" s="49" t="str">
        <f>セカンダリ投資分析!B6</f>
        <v>トレイダーズHD</v>
      </c>
      <c r="C4" s="177">
        <f>株価一覧!E3</f>
        <v>74</v>
      </c>
      <c r="D4" s="105">
        <f t="shared" ca="1" si="0"/>
        <v>70.400000000000006</v>
      </c>
      <c r="E4" s="177">
        <f t="shared" ref="E4:E33" ca="1" si="1">IF(F4=0,0,AVERAGE(OFFSET(A4,0,COUNTA(G4:XFD4)+5,1,-15)))</f>
        <v>74.266666666666666</v>
      </c>
      <c r="F4" s="110">
        <f ca="1">MIN(OFFSET(B4,0,COUNTA(G4:XFD4)+5,1,-15))</f>
        <v>68</v>
      </c>
      <c r="G4" s="178">
        <v>125</v>
      </c>
      <c r="H4" s="178">
        <v>132</v>
      </c>
      <c r="I4" s="178">
        <v>128</v>
      </c>
      <c r="J4" s="178">
        <v>129</v>
      </c>
      <c r="K4" s="178">
        <v>127</v>
      </c>
      <c r="L4" s="178">
        <v>127</v>
      </c>
      <c r="M4" s="178">
        <v>126</v>
      </c>
      <c r="N4" s="178">
        <v>123</v>
      </c>
      <c r="O4" s="178">
        <v>126</v>
      </c>
      <c r="P4" s="178">
        <v>124</v>
      </c>
      <c r="Q4" s="178">
        <v>122</v>
      </c>
      <c r="R4" s="178">
        <v>116</v>
      </c>
      <c r="S4" s="178">
        <v>117</v>
      </c>
      <c r="T4" s="178">
        <v>114</v>
      </c>
      <c r="U4" s="178">
        <v>121</v>
      </c>
      <c r="V4" s="178">
        <v>121</v>
      </c>
      <c r="W4" s="178">
        <v>117</v>
      </c>
      <c r="X4" s="178">
        <v>119</v>
      </c>
      <c r="Y4" s="178">
        <v>118</v>
      </c>
      <c r="Z4" s="178">
        <v>119</v>
      </c>
      <c r="AA4" s="178">
        <v>116</v>
      </c>
      <c r="AB4" s="178">
        <v>113</v>
      </c>
      <c r="AC4" s="178">
        <v>108</v>
      </c>
      <c r="AD4" s="178">
        <v>102</v>
      </c>
      <c r="AE4" s="178">
        <v>101</v>
      </c>
      <c r="AF4" s="178">
        <v>101</v>
      </c>
      <c r="AG4" s="178">
        <v>107</v>
      </c>
      <c r="AH4" s="178">
        <v>107</v>
      </c>
      <c r="AI4" s="178">
        <v>111</v>
      </c>
      <c r="AJ4" s="178">
        <v>107</v>
      </c>
      <c r="AK4" s="178">
        <v>105</v>
      </c>
      <c r="AL4" s="178">
        <v>104</v>
      </c>
      <c r="AM4" s="178">
        <v>104</v>
      </c>
      <c r="AN4" s="178">
        <v>111</v>
      </c>
      <c r="AO4" s="178">
        <v>105</v>
      </c>
      <c r="AP4" s="178">
        <v>106</v>
      </c>
      <c r="AQ4" s="178">
        <v>106</v>
      </c>
      <c r="AR4" s="178">
        <v>104</v>
      </c>
      <c r="AS4" s="178">
        <v>102</v>
      </c>
      <c r="AT4" s="178">
        <v>112</v>
      </c>
      <c r="AU4" s="178">
        <v>106</v>
      </c>
      <c r="AV4" s="178">
        <v>108</v>
      </c>
      <c r="AW4" s="178">
        <v>112</v>
      </c>
      <c r="AX4" s="178">
        <v>121</v>
      </c>
      <c r="AY4" s="178">
        <v>119</v>
      </c>
      <c r="AZ4" s="178">
        <v>111</v>
      </c>
      <c r="BA4" s="178">
        <v>123</v>
      </c>
      <c r="BB4" s="178">
        <v>122</v>
      </c>
      <c r="BC4" s="178">
        <v>119</v>
      </c>
      <c r="BD4" s="178">
        <v>118</v>
      </c>
      <c r="BE4" s="178">
        <v>116</v>
      </c>
      <c r="BF4" s="178">
        <v>115</v>
      </c>
      <c r="BG4" s="178">
        <v>118</v>
      </c>
      <c r="BH4" s="178">
        <v>112</v>
      </c>
      <c r="BI4" s="178">
        <v>114</v>
      </c>
      <c r="BJ4" s="178">
        <v>116</v>
      </c>
      <c r="BK4" s="178">
        <v>114</v>
      </c>
      <c r="BL4" s="178">
        <v>116</v>
      </c>
      <c r="BM4" s="178">
        <v>116</v>
      </c>
      <c r="BN4" s="178">
        <v>123</v>
      </c>
      <c r="BO4" s="178">
        <v>123</v>
      </c>
      <c r="BP4" s="178">
        <v>128</v>
      </c>
      <c r="BQ4" s="178">
        <v>128</v>
      </c>
      <c r="BR4" s="178">
        <v>120</v>
      </c>
      <c r="BS4" s="178">
        <v>120</v>
      </c>
      <c r="BT4" s="178">
        <v>117</v>
      </c>
      <c r="BU4" s="178">
        <v>118</v>
      </c>
      <c r="BV4" s="178">
        <v>126</v>
      </c>
      <c r="BW4" s="178">
        <v>120</v>
      </c>
      <c r="BX4" s="178">
        <v>116</v>
      </c>
      <c r="BY4" s="178">
        <v>117</v>
      </c>
      <c r="BZ4" s="178">
        <v>113</v>
      </c>
      <c r="CA4" s="178">
        <v>116</v>
      </c>
      <c r="CB4" s="178">
        <v>119</v>
      </c>
      <c r="CC4" s="178">
        <v>115</v>
      </c>
      <c r="CD4" s="178">
        <v>94</v>
      </c>
      <c r="CE4" s="178">
        <v>93</v>
      </c>
      <c r="CF4" s="178">
        <v>87</v>
      </c>
      <c r="CG4" s="178">
        <v>86</v>
      </c>
      <c r="CH4" s="178">
        <v>81</v>
      </c>
      <c r="CI4" s="178">
        <v>78</v>
      </c>
      <c r="CJ4" s="178">
        <v>73</v>
      </c>
      <c r="CK4" s="178">
        <v>77</v>
      </c>
      <c r="CL4" s="178">
        <v>74</v>
      </c>
      <c r="CM4" s="178">
        <v>74</v>
      </c>
      <c r="CN4" s="178">
        <v>76</v>
      </c>
      <c r="CO4" s="178">
        <v>75</v>
      </c>
      <c r="CP4" s="178">
        <v>72</v>
      </c>
      <c r="CQ4" s="178">
        <v>69</v>
      </c>
      <c r="CR4" s="178">
        <v>73</v>
      </c>
      <c r="CS4" s="178">
        <v>78</v>
      </c>
      <c r="CT4" s="178">
        <v>77</v>
      </c>
      <c r="CU4" s="178">
        <v>74</v>
      </c>
      <c r="CV4" s="178">
        <v>76</v>
      </c>
      <c r="CW4" s="178">
        <v>75</v>
      </c>
      <c r="CX4" s="178">
        <v>75</v>
      </c>
      <c r="CY4" s="178">
        <v>74</v>
      </c>
      <c r="CZ4" s="178">
        <v>75</v>
      </c>
      <c r="DA4" s="178">
        <v>77</v>
      </c>
      <c r="DB4" s="178">
        <v>79</v>
      </c>
      <c r="DC4" s="178">
        <v>78</v>
      </c>
      <c r="DD4" s="178">
        <v>77</v>
      </c>
      <c r="DE4" s="178">
        <v>76</v>
      </c>
      <c r="DF4" s="178">
        <v>75</v>
      </c>
      <c r="DG4" s="178">
        <v>74</v>
      </c>
      <c r="DH4" s="178">
        <v>76</v>
      </c>
      <c r="DI4" s="178">
        <v>76</v>
      </c>
      <c r="DJ4" s="178">
        <v>72</v>
      </c>
      <c r="DK4" s="178">
        <v>71</v>
      </c>
      <c r="DL4" s="178">
        <v>72</v>
      </c>
      <c r="DM4" s="178">
        <v>71</v>
      </c>
      <c r="DN4" s="178">
        <v>68</v>
      </c>
      <c r="DO4" s="178">
        <v>69</v>
      </c>
      <c r="DP4" s="178">
        <v>69</v>
      </c>
      <c r="DQ4" s="178">
        <v>69</v>
      </c>
      <c r="DR4" s="178">
        <v>69</v>
      </c>
      <c r="DS4" s="178">
        <v>76</v>
      </c>
      <c r="DT4" s="178">
        <v>73</v>
      </c>
      <c r="DU4" s="178">
        <v>76</v>
      </c>
      <c r="DV4" s="178">
        <v>77</v>
      </c>
      <c r="DW4" s="178">
        <v>80</v>
      </c>
      <c r="DX4" s="178">
        <v>79</v>
      </c>
      <c r="DY4" s="178">
        <v>77</v>
      </c>
      <c r="DZ4" s="178">
        <v>76</v>
      </c>
      <c r="EA4" s="178">
        <v>77</v>
      </c>
      <c r="EB4" s="178">
        <v>77</v>
      </c>
      <c r="EC4" s="178">
        <v>70</v>
      </c>
      <c r="ED4" s="178">
        <v>70</v>
      </c>
      <c r="EE4" s="178">
        <v>70</v>
      </c>
      <c r="EF4" s="178">
        <v>68</v>
      </c>
      <c r="EG4" s="178">
        <v>70</v>
      </c>
      <c r="EH4" s="178">
        <v>74</v>
      </c>
    </row>
    <row r="5" spans="1:138" x14ac:dyDescent="0.25">
      <c r="A5" s="49" t="s">
        <v>126</v>
      </c>
      <c r="B5" s="49" t="str">
        <f>セカンダリ投資分析!B7</f>
        <v>ソレイジア・ファーマ</v>
      </c>
      <c r="C5" s="177">
        <f>株価一覧!E4</f>
        <v>222</v>
      </c>
      <c r="D5" s="105">
        <f ca="1">AVERAGE(OFFSET(A5,0,COUNTA(G5:XFD5)+5,1,-5))</f>
        <v>238.4</v>
      </c>
      <c r="E5" s="177">
        <f t="shared" ca="1" si="1"/>
        <v>252.86666666666667</v>
      </c>
      <c r="F5" s="110">
        <f ca="1">MIN(OFFSET(B5,0,COUNTA(G5:XFD5)+5,1,-15))</f>
        <v>222</v>
      </c>
      <c r="G5" s="178">
        <v>290</v>
      </c>
      <c r="H5" s="178">
        <v>317</v>
      </c>
      <c r="I5" s="178">
        <v>313</v>
      </c>
      <c r="J5" s="178">
        <v>319</v>
      </c>
      <c r="K5" s="178">
        <v>309</v>
      </c>
      <c r="L5" s="178">
        <v>309</v>
      </c>
      <c r="M5" s="178">
        <v>309</v>
      </c>
      <c r="N5" s="178">
        <v>309</v>
      </c>
      <c r="O5" s="178">
        <v>314</v>
      </c>
      <c r="P5" s="178">
        <v>312</v>
      </c>
      <c r="Q5" s="178">
        <v>313</v>
      </c>
      <c r="R5" s="178">
        <v>306</v>
      </c>
      <c r="S5" s="178">
        <v>310</v>
      </c>
      <c r="T5" s="178">
        <v>304</v>
      </c>
      <c r="U5" s="178">
        <v>310</v>
      </c>
      <c r="V5" s="178">
        <v>311</v>
      </c>
      <c r="W5" s="178">
        <v>319</v>
      </c>
      <c r="X5" s="178">
        <v>368</v>
      </c>
      <c r="Y5" s="178">
        <v>380</v>
      </c>
      <c r="Z5" s="178">
        <v>380</v>
      </c>
      <c r="AA5" s="178">
        <v>361</v>
      </c>
      <c r="AB5" s="178">
        <v>375</v>
      </c>
      <c r="AC5" s="178">
        <v>374</v>
      </c>
      <c r="AD5" s="178">
        <v>359</v>
      </c>
      <c r="AE5" s="178">
        <v>367</v>
      </c>
      <c r="AF5" s="178">
        <v>361</v>
      </c>
      <c r="AG5" s="178">
        <v>369</v>
      </c>
      <c r="AH5" s="178">
        <v>391</v>
      </c>
      <c r="AI5" s="178">
        <v>376</v>
      </c>
      <c r="AJ5" s="178">
        <v>366</v>
      </c>
      <c r="AK5" s="178">
        <v>367</v>
      </c>
      <c r="AL5" s="178">
        <v>362</v>
      </c>
      <c r="AM5" s="178">
        <v>354</v>
      </c>
      <c r="AN5" s="178">
        <v>354</v>
      </c>
      <c r="AO5" s="178">
        <v>338</v>
      </c>
      <c r="AP5" s="178">
        <v>332</v>
      </c>
      <c r="AQ5" s="178">
        <v>344</v>
      </c>
      <c r="AR5" s="178">
        <v>335</v>
      </c>
      <c r="AS5" s="178">
        <v>325</v>
      </c>
      <c r="AT5" s="178">
        <v>327</v>
      </c>
      <c r="AU5" s="178">
        <v>324</v>
      </c>
      <c r="AV5" s="178">
        <v>335</v>
      </c>
      <c r="AW5" s="178">
        <v>338</v>
      </c>
      <c r="AX5" s="178">
        <v>343</v>
      </c>
      <c r="AY5" s="178">
        <v>350</v>
      </c>
      <c r="AZ5" s="178">
        <v>342</v>
      </c>
      <c r="BA5" s="178">
        <v>340</v>
      </c>
      <c r="BB5" s="178">
        <v>338</v>
      </c>
      <c r="BC5" s="178">
        <v>338</v>
      </c>
      <c r="BD5" s="178">
        <v>340</v>
      </c>
      <c r="BE5" s="178">
        <v>338</v>
      </c>
      <c r="BF5" s="178">
        <v>336</v>
      </c>
      <c r="BG5" s="178">
        <v>337</v>
      </c>
      <c r="BH5" s="178">
        <v>328</v>
      </c>
      <c r="BI5" s="178">
        <v>341</v>
      </c>
      <c r="BJ5" s="178">
        <v>340</v>
      </c>
      <c r="BK5" s="178">
        <v>337</v>
      </c>
      <c r="BL5" s="178">
        <v>332</v>
      </c>
      <c r="BM5" s="178">
        <v>331</v>
      </c>
      <c r="BN5" s="178">
        <v>332</v>
      </c>
      <c r="BO5" s="178">
        <v>327</v>
      </c>
      <c r="BP5" s="178">
        <v>333</v>
      </c>
      <c r="BQ5" s="178">
        <v>335</v>
      </c>
      <c r="BR5" s="178">
        <v>327</v>
      </c>
      <c r="BS5" s="178">
        <v>325</v>
      </c>
      <c r="BT5" s="178">
        <v>327</v>
      </c>
      <c r="BU5" s="178">
        <v>326</v>
      </c>
      <c r="BV5" s="178">
        <v>321</v>
      </c>
      <c r="BW5" s="178">
        <v>313</v>
      </c>
      <c r="BX5" s="178">
        <v>299</v>
      </c>
      <c r="BY5" s="178">
        <v>308</v>
      </c>
      <c r="BZ5" s="178">
        <v>309</v>
      </c>
      <c r="CA5" s="178">
        <v>315</v>
      </c>
      <c r="CB5" s="178">
        <v>316</v>
      </c>
      <c r="CC5" s="178">
        <v>320</v>
      </c>
      <c r="CD5" s="178">
        <v>330</v>
      </c>
      <c r="CE5" s="178">
        <v>320</v>
      </c>
      <c r="CF5" s="178">
        <v>307</v>
      </c>
      <c r="CG5" s="178">
        <v>312</v>
      </c>
      <c r="CH5" s="178">
        <v>308</v>
      </c>
      <c r="CI5" s="178">
        <v>306</v>
      </c>
      <c r="CJ5" s="178">
        <v>299</v>
      </c>
      <c r="CK5" s="178">
        <v>299</v>
      </c>
      <c r="CL5" s="178">
        <v>319</v>
      </c>
      <c r="CM5" s="178">
        <v>332</v>
      </c>
      <c r="CN5" s="178">
        <v>320</v>
      </c>
      <c r="CO5" s="178">
        <v>313</v>
      </c>
      <c r="CP5" s="178">
        <v>305</v>
      </c>
      <c r="CQ5" s="178">
        <v>298</v>
      </c>
      <c r="CR5" s="178">
        <v>309</v>
      </c>
      <c r="CS5" s="178">
        <v>315</v>
      </c>
      <c r="CT5" s="178">
        <v>316</v>
      </c>
      <c r="CU5" s="178">
        <v>307</v>
      </c>
      <c r="CV5" s="178">
        <v>311</v>
      </c>
      <c r="CW5" s="178">
        <v>314</v>
      </c>
      <c r="CX5" s="178">
        <v>322</v>
      </c>
      <c r="CY5" s="178">
        <v>315</v>
      </c>
      <c r="CZ5" s="178">
        <v>329</v>
      </c>
      <c r="DA5" s="178">
        <v>329</v>
      </c>
      <c r="DB5" s="178">
        <v>316</v>
      </c>
      <c r="DC5" s="178">
        <v>314</v>
      </c>
      <c r="DD5" s="178">
        <v>305</v>
      </c>
      <c r="DE5" s="178">
        <v>304</v>
      </c>
      <c r="DF5" s="178">
        <v>301</v>
      </c>
      <c r="DG5" s="178">
        <v>302</v>
      </c>
      <c r="DH5" s="178">
        <v>302</v>
      </c>
      <c r="DI5" s="178">
        <v>301</v>
      </c>
      <c r="DJ5" s="178">
        <v>288</v>
      </c>
      <c r="DK5" s="178">
        <v>270</v>
      </c>
      <c r="DL5" s="178">
        <v>276</v>
      </c>
      <c r="DM5" s="178">
        <v>274</v>
      </c>
      <c r="DN5" s="178">
        <v>227</v>
      </c>
      <c r="DO5" s="178">
        <v>231</v>
      </c>
      <c r="DP5" s="178">
        <v>231</v>
      </c>
      <c r="DQ5" s="178">
        <v>231</v>
      </c>
      <c r="DR5" s="178">
        <v>283</v>
      </c>
      <c r="DS5" s="178">
        <v>259</v>
      </c>
      <c r="DT5" s="178">
        <v>256</v>
      </c>
      <c r="DU5" s="178">
        <v>261</v>
      </c>
      <c r="DV5" s="178">
        <v>260</v>
      </c>
      <c r="DW5" s="178">
        <v>262</v>
      </c>
      <c r="DX5" s="178">
        <v>267</v>
      </c>
      <c r="DY5" s="178">
        <v>273</v>
      </c>
      <c r="DZ5" s="178">
        <v>261</v>
      </c>
      <c r="EA5" s="178">
        <v>260</v>
      </c>
      <c r="EB5" s="178">
        <v>255</v>
      </c>
      <c r="EC5" s="178">
        <v>246</v>
      </c>
      <c r="ED5" s="178">
        <v>251</v>
      </c>
      <c r="EE5" s="178">
        <v>245</v>
      </c>
      <c r="EF5" s="178">
        <v>237</v>
      </c>
      <c r="EG5" s="178">
        <v>237</v>
      </c>
      <c r="EH5" s="178">
        <v>222</v>
      </c>
    </row>
    <row r="6" spans="1:138" s="179" customFormat="1" x14ac:dyDescent="0.25">
      <c r="A6" s="49" t="str">
        <f>IPO監視一覧!H3</f>
        <v>A</v>
      </c>
      <c r="B6" s="43" t="str">
        <f>IPO監視一覧!B3</f>
        <v>Ｍマート</v>
      </c>
      <c r="C6" s="177">
        <f>株価一覧!E5</f>
        <v>2641</v>
      </c>
      <c r="D6" s="110">
        <f ca="1">AVERAGE(OFFSET(A6,0,COUNTA(G6:XFD6)+5,1,-5))</f>
        <v>2522.6</v>
      </c>
      <c r="E6" s="177">
        <f t="shared" ca="1" si="1"/>
        <v>2489.6666666666665</v>
      </c>
      <c r="F6" s="110">
        <f ca="1">MIN(OFFSET(B6,0,COUNTA(G6:XFD6)+5,1,-15))</f>
        <v>2010</v>
      </c>
      <c r="G6" s="179">
        <v>0</v>
      </c>
      <c r="H6" s="179">
        <v>0</v>
      </c>
      <c r="I6" s="179">
        <v>0</v>
      </c>
      <c r="J6" s="179">
        <v>0</v>
      </c>
      <c r="K6" s="179">
        <v>0</v>
      </c>
      <c r="L6" s="179">
        <v>0</v>
      </c>
      <c r="M6" s="179">
        <v>6200</v>
      </c>
      <c r="N6" s="179">
        <v>5860</v>
      </c>
      <c r="O6" s="179">
        <v>5790</v>
      </c>
      <c r="P6" s="179">
        <v>5850</v>
      </c>
      <c r="Q6" s="179">
        <v>5370</v>
      </c>
      <c r="R6" s="179">
        <v>4610</v>
      </c>
      <c r="S6" s="179">
        <v>4485</v>
      </c>
      <c r="T6" s="179">
        <v>4255</v>
      </c>
      <c r="U6" s="179">
        <v>4400</v>
      </c>
      <c r="V6" s="179">
        <v>4450</v>
      </c>
      <c r="W6" s="179">
        <v>4295</v>
      </c>
      <c r="X6" s="179">
        <v>4350</v>
      </c>
      <c r="Y6" s="179">
        <v>4475</v>
      </c>
      <c r="Z6" s="179">
        <v>4515</v>
      </c>
      <c r="AA6" s="179">
        <v>4955</v>
      </c>
      <c r="AB6" s="179">
        <v>4535</v>
      </c>
      <c r="AC6" s="179">
        <v>4100</v>
      </c>
      <c r="AD6" s="179">
        <v>3755</v>
      </c>
      <c r="AE6" s="179">
        <v>3860</v>
      </c>
      <c r="AF6" s="179">
        <v>4070</v>
      </c>
      <c r="AG6" s="179">
        <v>4245</v>
      </c>
      <c r="AH6" s="179">
        <v>4240</v>
      </c>
      <c r="AI6" s="179">
        <v>4175</v>
      </c>
      <c r="AJ6" s="179">
        <v>4265</v>
      </c>
      <c r="AK6" s="179">
        <v>4135</v>
      </c>
      <c r="AL6" s="179">
        <v>3880</v>
      </c>
      <c r="AM6" s="179">
        <v>3985</v>
      </c>
      <c r="AN6" s="179">
        <v>4025</v>
      </c>
      <c r="AO6" s="179">
        <v>3890</v>
      </c>
      <c r="AP6" s="179">
        <v>3815</v>
      </c>
      <c r="AQ6" s="179">
        <v>3820</v>
      </c>
      <c r="AR6" s="179">
        <v>3720</v>
      </c>
      <c r="AS6" s="179">
        <v>3775</v>
      </c>
      <c r="AT6" s="179">
        <v>3830</v>
      </c>
      <c r="AU6" s="179">
        <v>3770</v>
      </c>
      <c r="AV6" s="179">
        <v>3755</v>
      </c>
      <c r="AW6" s="179">
        <v>3690</v>
      </c>
      <c r="AX6" s="179">
        <v>3700</v>
      </c>
      <c r="AY6" s="179">
        <v>3655</v>
      </c>
      <c r="AZ6" s="179">
        <v>3665</v>
      </c>
      <c r="BA6" s="179">
        <v>3590</v>
      </c>
      <c r="BB6" s="179">
        <v>3525</v>
      </c>
      <c r="BC6" s="179">
        <v>3565</v>
      </c>
      <c r="BD6" s="179">
        <v>3580</v>
      </c>
      <c r="BE6" s="179">
        <v>3590</v>
      </c>
      <c r="BF6" s="179">
        <v>3740</v>
      </c>
      <c r="BG6" s="179">
        <v>3870</v>
      </c>
      <c r="BH6" s="179">
        <v>3770</v>
      </c>
      <c r="BI6" s="179">
        <v>3555</v>
      </c>
      <c r="BJ6" s="179">
        <v>3525</v>
      </c>
      <c r="BK6" s="179">
        <v>3565</v>
      </c>
      <c r="BL6" s="179">
        <v>3655</v>
      </c>
      <c r="BM6" s="179">
        <v>3715</v>
      </c>
      <c r="BN6" s="179">
        <v>3625</v>
      </c>
      <c r="BO6" s="179">
        <v>3635</v>
      </c>
      <c r="BP6" s="179">
        <v>3580</v>
      </c>
      <c r="BQ6" s="179">
        <v>3715</v>
      </c>
      <c r="BR6" s="179">
        <v>3650</v>
      </c>
      <c r="BS6" s="179">
        <v>3620</v>
      </c>
      <c r="BT6" s="179">
        <v>3565</v>
      </c>
      <c r="BU6" s="179">
        <v>3660</v>
      </c>
      <c r="BV6" s="179">
        <v>3720</v>
      </c>
      <c r="BW6" s="179">
        <v>3710</v>
      </c>
      <c r="BX6" s="179">
        <v>3600</v>
      </c>
      <c r="BY6" s="179">
        <v>3650</v>
      </c>
      <c r="BZ6" s="179">
        <v>3680</v>
      </c>
      <c r="CA6" s="179">
        <v>3685</v>
      </c>
      <c r="CB6" s="179">
        <v>3895</v>
      </c>
      <c r="CC6" s="179">
        <v>3940</v>
      </c>
      <c r="CD6" s="179">
        <v>3530</v>
      </c>
      <c r="CE6" s="179">
        <v>3330</v>
      </c>
      <c r="CF6" s="179">
        <v>3015</v>
      </c>
      <c r="CG6" s="179">
        <v>2986</v>
      </c>
      <c r="CH6" s="179">
        <v>3080</v>
      </c>
      <c r="CI6" s="179">
        <v>3140</v>
      </c>
      <c r="CJ6" s="179">
        <v>3170</v>
      </c>
      <c r="CK6" s="179">
        <v>3285</v>
      </c>
      <c r="CL6" s="179">
        <v>3240</v>
      </c>
      <c r="CM6" s="179">
        <v>3275</v>
      </c>
      <c r="CN6" s="179">
        <v>3020</v>
      </c>
      <c r="CO6" s="179">
        <v>3060</v>
      </c>
      <c r="CP6" s="179">
        <v>3095</v>
      </c>
      <c r="CQ6" s="179">
        <v>2936</v>
      </c>
      <c r="CR6" s="179">
        <v>3020</v>
      </c>
      <c r="CS6" s="179">
        <v>3025</v>
      </c>
      <c r="CT6" s="179">
        <v>3025</v>
      </c>
      <c r="CU6" s="179">
        <v>2984</v>
      </c>
      <c r="CV6" s="179">
        <v>3015</v>
      </c>
      <c r="CW6" s="179">
        <v>2950</v>
      </c>
      <c r="CX6" s="179">
        <v>2965</v>
      </c>
      <c r="CY6" s="179">
        <v>2940</v>
      </c>
      <c r="CZ6" s="179">
        <v>2913</v>
      </c>
      <c r="DA6" s="179">
        <v>2833</v>
      </c>
      <c r="DB6" s="179">
        <v>2730</v>
      </c>
      <c r="DC6" s="179">
        <v>2713</v>
      </c>
      <c r="DD6" s="179">
        <v>2704</v>
      </c>
      <c r="DE6" s="179">
        <v>2681</v>
      </c>
      <c r="DF6" s="179">
        <v>2645</v>
      </c>
      <c r="DG6" s="179">
        <v>2548</v>
      </c>
      <c r="DH6" s="179">
        <v>2488</v>
      </c>
      <c r="DI6" s="179">
        <v>2448</v>
      </c>
      <c r="DJ6" s="179">
        <v>2440</v>
      </c>
      <c r="DK6" s="179">
        <v>2290</v>
      </c>
      <c r="DL6" s="179">
        <v>2214</v>
      </c>
      <c r="DM6" s="179">
        <v>2290</v>
      </c>
      <c r="DN6" s="179">
        <v>2203</v>
      </c>
      <c r="DO6" s="179">
        <v>2230</v>
      </c>
      <c r="DP6" s="179">
        <v>2138</v>
      </c>
      <c r="DQ6" s="179">
        <v>2042</v>
      </c>
      <c r="DR6" s="179">
        <v>2103</v>
      </c>
      <c r="DS6" s="179">
        <v>2023</v>
      </c>
      <c r="DT6" s="179">
        <v>1986</v>
      </c>
      <c r="DU6" s="179">
        <v>2010</v>
      </c>
      <c r="DV6" s="179">
        <v>2030</v>
      </c>
      <c r="DW6" s="179">
        <v>2514</v>
      </c>
      <c r="DX6" s="179">
        <v>2405</v>
      </c>
      <c r="DY6" s="179">
        <v>2640</v>
      </c>
      <c r="DZ6" s="179">
        <v>2750</v>
      </c>
      <c r="EA6" s="179">
        <v>2866</v>
      </c>
      <c r="EB6" s="179">
        <v>2826</v>
      </c>
      <c r="EC6" s="179">
        <v>2705</v>
      </c>
      <c r="ED6" s="179">
        <v>2605</v>
      </c>
      <c r="EE6" s="179">
        <v>2562</v>
      </c>
      <c r="EF6" s="179">
        <v>2404</v>
      </c>
      <c r="EG6" s="179">
        <v>2401</v>
      </c>
      <c r="EH6" s="179">
        <v>2641</v>
      </c>
    </row>
    <row r="7" spans="1:138" x14ac:dyDescent="0.25">
      <c r="A7" s="49" t="str">
        <f>IPO監視一覧!H4</f>
        <v>A</v>
      </c>
      <c r="B7" s="49" t="str">
        <f>IPO監視一覧!B4</f>
        <v>ジェイテックコーポレーション</v>
      </c>
      <c r="C7" s="177">
        <f>株価一覧!E6</f>
        <v>4905</v>
      </c>
      <c r="D7" s="105">
        <f t="shared" ca="1" si="0"/>
        <v>4440</v>
      </c>
      <c r="E7" s="177">
        <f t="shared" ca="1" si="1"/>
        <v>4315</v>
      </c>
      <c r="F7" s="110">
        <f t="shared" ref="F7:F33" ca="1" si="2">MIN(OFFSET(B7,0,COUNTA(G7:XFD7)+5,1,-15))</f>
        <v>4065</v>
      </c>
      <c r="G7" s="178">
        <v>0</v>
      </c>
      <c r="H7" s="178">
        <v>0</v>
      </c>
      <c r="I7" s="178">
        <v>0</v>
      </c>
      <c r="J7" s="178">
        <v>0</v>
      </c>
      <c r="K7" s="178">
        <v>0</v>
      </c>
      <c r="L7" s="178">
        <v>0</v>
      </c>
      <c r="M7" s="178">
        <v>0</v>
      </c>
      <c r="N7" s="178">
        <v>0</v>
      </c>
      <c r="O7" s="178">
        <v>0</v>
      </c>
      <c r="P7" s="178">
        <v>11190</v>
      </c>
      <c r="Q7" s="178">
        <v>12520</v>
      </c>
      <c r="R7" s="178">
        <v>11120</v>
      </c>
      <c r="S7" s="178">
        <v>10000</v>
      </c>
      <c r="T7" s="178">
        <v>8900</v>
      </c>
      <c r="U7" s="178">
        <v>10390</v>
      </c>
      <c r="V7" s="178">
        <v>9460</v>
      </c>
      <c r="W7" s="178">
        <v>9690</v>
      </c>
      <c r="X7" s="178">
        <v>10960</v>
      </c>
      <c r="Y7" s="178">
        <v>11170</v>
      </c>
      <c r="Z7" s="178">
        <v>10240</v>
      </c>
      <c r="AA7" s="178">
        <v>10000</v>
      </c>
      <c r="AB7" s="178">
        <v>9450</v>
      </c>
      <c r="AC7" s="178">
        <v>9000</v>
      </c>
      <c r="AD7" s="178">
        <v>8170</v>
      </c>
      <c r="AE7" s="178">
        <v>8370</v>
      </c>
      <c r="AF7" s="178">
        <v>8040</v>
      </c>
      <c r="AG7" s="178">
        <v>7880</v>
      </c>
      <c r="AH7" s="178">
        <v>8060</v>
      </c>
      <c r="AI7" s="178">
        <v>8640</v>
      </c>
      <c r="AJ7" s="178">
        <v>8350</v>
      </c>
      <c r="AK7" s="178">
        <v>8900</v>
      </c>
      <c r="AL7" s="178">
        <v>8400</v>
      </c>
      <c r="AM7" s="178">
        <v>8210</v>
      </c>
      <c r="AN7" s="178">
        <v>8800</v>
      </c>
      <c r="AO7" s="178">
        <v>8740</v>
      </c>
      <c r="AP7" s="178">
        <v>9070</v>
      </c>
      <c r="AQ7" s="178">
        <v>9790</v>
      </c>
      <c r="AR7" s="178">
        <v>9430</v>
      </c>
      <c r="AS7" s="178">
        <v>9390</v>
      </c>
      <c r="AT7" s="178">
        <v>9020</v>
      </c>
      <c r="AU7" s="178">
        <v>8970</v>
      </c>
      <c r="AV7" s="178">
        <v>8790</v>
      </c>
      <c r="AW7" s="178">
        <v>8750</v>
      </c>
      <c r="AX7" s="178">
        <v>9150</v>
      </c>
      <c r="AY7" s="178">
        <v>9020</v>
      </c>
      <c r="AZ7" s="178">
        <v>8640</v>
      </c>
      <c r="BA7" s="178">
        <v>8430</v>
      </c>
      <c r="BB7" s="178">
        <v>8250</v>
      </c>
      <c r="BC7" s="178">
        <v>8160</v>
      </c>
      <c r="BD7" s="178">
        <v>8160</v>
      </c>
      <c r="BE7" s="178">
        <v>8130</v>
      </c>
      <c r="BF7" s="178">
        <v>8160</v>
      </c>
      <c r="BG7" s="178">
        <v>8410</v>
      </c>
      <c r="BH7" s="178">
        <v>7320</v>
      </c>
      <c r="BI7" s="178">
        <v>7080</v>
      </c>
      <c r="BJ7" s="178">
        <v>7300</v>
      </c>
      <c r="BK7" s="178">
        <v>7170</v>
      </c>
      <c r="BL7" s="178">
        <v>7290</v>
      </c>
      <c r="BM7" s="178">
        <v>7120</v>
      </c>
      <c r="BN7" s="178">
        <v>7050</v>
      </c>
      <c r="BO7" s="178">
        <v>6960</v>
      </c>
      <c r="BP7" s="178">
        <v>6840</v>
      </c>
      <c r="BQ7" s="178">
        <v>6580</v>
      </c>
      <c r="BR7" s="178">
        <v>6210</v>
      </c>
      <c r="BS7" s="178">
        <v>6120</v>
      </c>
      <c r="BT7" s="178">
        <v>5900</v>
      </c>
      <c r="BU7" s="178">
        <v>5970</v>
      </c>
      <c r="BV7" s="178">
        <v>6970</v>
      </c>
      <c r="BW7" s="178">
        <v>6400</v>
      </c>
      <c r="BX7" s="178">
        <v>6430</v>
      </c>
      <c r="BY7" s="178">
        <v>6570</v>
      </c>
      <c r="BZ7" s="178">
        <v>6870</v>
      </c>
      <c r="CA7" s="178">
        <v>6670</v>
      </c>
      <c r="CB7" s="178">
        <v>6800</v>
      </c>
      <c r="CC7" s="178">
        <v>6800</v>
      </c>
      <c r="CD7" s="178">
        <v>6650</v>
      </c>
      <c r="CE7" s="178">
        <v>6260</v>
      </c>
      <c r="CF7" s="178">
        <v>6310</v>
      </c>
      <c r="CG7" s="178">
        <v>6150</v>
      </c>
      <c r="CH7" s="178">
        <v>6030</v>
      </c>
      <c r="CI7" s="178">
        <v>5950</v>
      </c>
      <c r="CJ7" s="178">
        <v>5490</v>
      </c>
      <c r="CK7" s="178">
        <v>5410</v>
      </c>
      <c r="CL7" s="178">
        <v>5160</v>
      </c>
      <c r="CM7" s="178">
        <v>5430</v>
      </c>
      <c r="CN7" s="178">
        <v>5360</v>
      </c>
      <c r="CO7" s="178">
        <v>5200</v>
      </c>
      <c r="CP7" s="178">
        <v>5230</v>
      </c>
      <c r="CQ7" s="178">
        <v>5030</v>
      </c>
      <c r="CR7" s="178">
        <v>5110</v>
      </c>
      <c r="CS7" s="178">
        <v>5240</v>
      </c>
      <c r="CT7" s="178">
        <v>5030</v>
      </c>
      <c r="CU7" s="178">
        <v>5050</v>
      </c>
      <c r="CV7" s="178">
        <v>5060</v>
      </c>
      <c r="CW7" s="178">
        <v>4390</v>
      </c>
      <c r="CX7" s="178">
        <v>4295</v>
      </c>
      <c r="CY7" s="178">
        <v>4335</v>
      </c>
      <c r="CZ7" s="178">
        <v>4695</v>
      </c>
      <c r="DA7" s="178">
        <v>4665</v>
      </c>
      <c r="DB7" s="178">
        <v>4610</v>
      </c>
      <c r="DC7" s="178">
        <v>4990</v>
      </c>
      <c r="DD7" s="178">
        <v>4860</v>
      </c>
      <c r="DE7" s="178">
        <v>4745</v>
      </c>
      <c r="DF7" s="178">
        <v>4495</v>
      </c>
      <c r="DG7" s="178">
        <v>4510</v>
      </c>
      <c r="DH7" s="178">
        <v>4360</v>
      </c>
      <c r="DI7" s="178">
        <v>4405</v>
      </c>
      <c r="DJ7" s="178">
        <v>4105</v>
      </c>
      <c r="DK7" s="178">
        <v>4060</v>
      </c>
      <c r="DL7" s="178">
        <v>4145</v>
      </c>
      <c r="DM7" s="178">
        <v>4110</v>
      </c>
      <c r="DN7" s="178">
        <v>3970</v>
      </c>
      <c r="DO7" s="178">
        <v>3985</v>
      </c>
      <c r="DP7" s="178">
        <v>3900</v>
      </c>
      <c r="DQ7" s="178">
        <v>3755</v>
      </c>
      <c r="DR7" s="178">
        <v>3880</v>
      </c>
      <c r="DS7" s="178">
        <v>3990</v>
      </c>
      <c r="DT7" s="178">
        <v>3840</v>
      </c>
      <c r="DU7" s="178">
        <v>4120</v>
      </c>
      <c r="DV7" s="178">
        <v>4105</v>
      </c>
      <c r="DW7" s="178">
        <v>4065</v>
      </c>
      <c r="DX7" s="178">
        <v>4255</v>
      </c>
      <c r="DY7" s="178">
        <v>4415</v>
      </c>
      <c r="DZ7" s="178">
        <v>4500</v>
      </c>
      <c r="EA7" s="178">
        <v>4505</v>
      </c>
      <c r="EB7" s="178">
        <v>4455</v>
      </c>
      <c r="EC7" s="178">
        <v>4265</v>
      </c>
      <c r="ED7" s="178">
        <v>4250</v>
      </c>
      <c r="EE7" s="178">
        <v>4275</v>
      </c>
      <c r="EF7" s="178">
        <v>4220</v>
      </c>
      <c r="EG7" s="178">
        <v>4550</v>
      </c>
      <c r="EH7" s="178">
        <v>4905</v>
      </c>
    </row>
    <row r="8" spans="1:138" x14ac:dyDescent="0.25">
      <c r="A8" s="49" t="str">
        <f>IPO監視一覧!H5</f>
        <v>B</v>
      </c>
      <c r="B8" s="49" t="str">
        <f>IPO監視一覧!B5</f>
        <v>ＳＥＲＩＯＨＤ</v>
      </c>
      <c r="C8" s="177">
        <f>株価一覧!E7</f>
        <v>1550</v>
      </c>
      <c r="D8" s="105">
        <f t="shared" ca="1" si="0"/>
        <v>1610.4</v>
      </c>
      <c r="E8" s="177">
        <f t="shared" ca="1" si="1"/>
        <v>1677.2666666666667</v>
      </c>
      <c r="F8" s="110">
        <f t="shared" ca="1" si="2"/>
        <v>1550</v>
      </c>
      <c r="G8" s="178">
        <v>0</v>
      </c>
      <c r="H8" s="178">
        <v>0</v>
      </c>
      <c r="I8" s="178">
        <v>0</v>
      </c>
      <c r="J8" s="178">
        <v>0</v>
      </c>
      <c r="K8" s="178">
        <v>0</v>
      </c>
      <c r="L8" s="178">
        <v>0</v>
      </c>
      <c r="M8" s="178">
        <v>0</v>
      </c>
      <c r="N8" s="178">
        <v>0</v>
      </c>
      <c r="O8" s="178">
        <v>0</v>
      </c>
      <c r="P8" s="178">
        <v>0</v>
      </c>
      <c r="Q8" s="178">
        <v>0</v>
      </c>
      <c r="R8" s="178">
        <v>3400</v>
      </c>
      <c r="S8" s="178">
        <v>3085</v>
      </c>
      <c r="T8" s="178">
        <v>2859</v>
      </c>
      <c r="U8" s="178">
        <v>3020</v>
      </c>
      <c r="V8" s="178">
        <v>2941</v>
      </c>
      <c r="W8" s="178">
        <v>2898</v>
      </c>
      <c r="X8" s="178">
        <v>3095</v>
      </c>
      <c r="Y8" s="178">
        <v>3190</v>
      </c>
      <c r="Z8" s="178">
        <v>3030</v>
      </c>
      <c r="AA8" s="178">
        <v>2911</v>
      </c>
      <c r="AB8" s="178">
        <v>2807</v>
      </c>
      <c r="AC8" s="178">
        <v>2755</v>
      </c>
      <c r="AD8" s="178">
        <v>2574</v>
      </c>
      <c r="AE8" s="178">
        <v>2500</v>
      </c>
      <c r="AF8" s="178">
        <v>2513</v>
      </c>
      <c r="AG8" s="178">
        <v>2450</v>
      </c>
      <c r="AH8" s="178">
        <v>2640</v>
      </c>
      <c r="AI8" s="178">
        <v>2660</v>
      </c>
      <c r="AJ8" s="178">
        <v>2701</v>
      </c>
      <c r="AK8" s="178">
        <v>2619</v>
      </c>
      <c r="AL8" s="178">
        <v>2620</v>
      </c>
      <c r="AM8" s="178">
        <v>2637</v>
      </c>
      <c r="AN8" s="178">
        <v>2552</v>
      </c>
      <c r="AO8" s="178">
        <v>2355</v>
      </c>
      <c r="AP8" s="178">
        <v>2349</v>
      </c>
      <c r="AQ8" s="178">
        <v>2218</v>
      </c>
      <c r="AR8" s="178">
        <v>2002</v>
      </c>
      <c r="AS8" s="178">
        <v>2084</v>
      </c>
      <c r="AT8" s="178">
        <v>2157</v>
      </c>
      <c r="AU8" s="178">
        <v>2135</v>
      </c>
      <c r="AV8" s="178">
        <v>2192</v>
      </c>
      <c r="AW8" s="178">
        <v>2161</v>
      </c>
      <c r="AX8" s="178">
        <v>2157</v>
      </c>
      <c r="AY8" s="178">
        <v>2117</v>
      </c>
      <c r="AZ8" s="178">
        <v>2039</v>
      </c>
      <c r="BA8" s="178">
        <v>2014</v>
      </c>
      <c r="BB8" s="178">
        <v>2008</v>
      </c>
      <c r="BC8" s="178">
        <v>2094</v>
      </c>
      <c r="BD8" s="178">
        <v>2102</v>
      </c>
      <c r="BE8" s="178">
        <v>2110</v>
      </c>
      <c r="BF8" s="178">
        <v>2146</v>
      </c>
      <c r="BG8" s="178">
        <v>2212</v>
      </c>
      <c r="BH8" s="178">
        <v>2076</v>
      </c>
      <c r="BI8" s="178">
        <v>2021</v>
      </c>
      <c r="BJ8" s="178">
        <v>2022</v>
      </c>
      <c r="BK8" s="178">
        <v>2099</v>
      </c>
      <c r="BL8" s="178">
        <v>2179</v>
      </c>
      <c r="BM8" s="178">
        <v>2123</v>
      </c>
      <c r="BN8" s="178">
        <v>2085</v>
      </c>
      <c r="BO8" s="178">
        <v>2174</v>
      </c>
      <c r="BP8" s="178">
        <v>2196</v>
      </c>
      <c r="BQ8" s="178">
        <v>2390</v>
      </c>
      <c r="BR8" s="178">
        <v>2357</v>
      </c>
      <c r="BS8" s="178">
        <v>2292</v>
      </c>
      <c r="BT8" s="178">
        <v>2439</v>
      </c>
      <c r="BU8" s="178">
        <v>2494</v>
      </c>
      <c r="BV8" s="178">
        <v>2495</v>
      </c>
      <c r="BW8" s="178">
        <v>2300</v>
      </c>
      <c r="BX8" s="178">
        <v>2272</v>
      </c>
      <c r="BY8" s="178">
        <v>2286</v>
      </c>
      <c r="BZ8" s="178">
        <v>2419</v>
      </c>
      <c r="CA8" s="178">
        <v>2421</v>
      </c>
      <c r="CB8" s="178">
        <v>2353</v>
      </c>
      <c r="CC8" s="178">
        <v>2493</v>
      </c>
      <c r="CD8" s="178">
        <v>2647</v>
      </c>
      <c r="CE8" s="178">
        <v>2659</v>
      </c>
      <c r="CF8" s="178">
        <v>2512</v>
      </c>
      <c r="CG8" s="178">
        <v>2630</v>
      </c>
      <c r="CH8" s="178">
        <v>2576</v>
      </c>
      <c r="CI8" s="178">
        <v>2572</v>
      </c>
      <c r="CJ8" s="178">
        <v>2516</v>
      </c>
      <c r="CK8" s="178">
        <v>2476</v>
      </c>
      <c r="CL8" s="178">
        <v>2300</v>
      </c>
      <c r="CM8" s="178">
        <v>2290</v>
      </c>
      <c r="CN8" s="178">
        <v>2180</v>
      </c>
      <c r="CO8" s="178">
        <v>2127</v>
      </c>
      <c r="CP8" s="178">
        <v>2090</v>
      </c>
      <c r="CQ8" s="178">
        <v>2020</v>
      </c>
      <c r="CR8" s="178">
        <v>2072</v>
      </c>
      <c r="CS8" s="178">
        <v>2236</v>
      </c>
      <c r="CT8" s="178">
        <v>2195</v>
      </c>
      <c r="CU8" s="178">
        <v>2249</v>
      </c>
      <c r="CV8" s="178">
        <v>2212</v>
      </c>
      <c r="CW8" s="178">
        <v>2034</v>
      </c>
      <c r="CX8" s="178">
        <v>2080</v>
      </c>
      <c r="CY8" s="178">
        <v>2103</v>
      </c>
      <c r="CZ8" s="178">
        <v>2071</v>
      </c>
      <c r="DA8" s="178">
        <v>2020</v>
      </c>
      <c r="DB8" s="178">
        <v>2021</v>
      </c>
      <c r="DC8" s="178">
        <v>2027</v>
      </c>
      <c r="DD8" s="178">
        <v>2003</v>
      </c>
      <c r="DE8" s="178">
        <v>1999</v>
      </c>
      <c r="DF8" s="178">
        <v>1901</v>
      </c>
      <c r="DG8" s="178">
        <v>1866</v>
      </c>
      <c r="DH8" s="178">
        <v>1865</v>
      </c>
      <c r="DI8" s="178">
        <v>1811</v>
      </c>
      <c r="DJ8" s="178">
        <v>1940</v>
      </c>
      <c r="DK8" s="178">
        <v>1913</v>
      </c>
      <c r="DL8" s="178">
        <v>1876</v>
      </c>
      <c r="DM8" s="178">
        <v>1815</v>
      </c>
      <c r="DN8" s="178">
        <v>1769</v>
      </c>
      <c r="DO8" s="178">
        <v>1797</v>
      </c>
      <c r="DP8" s="178">
        <v>1766</v>
      </c>
      <c r="DQ8" s="178">
        <v>1745</v>
      </c>
      <c r="DR8" s="178">
        <v>1711</v>
      </c>
      <c r="DS8" s="178">
        <v>1720</v>
      </c>
      <c r="DT8" s="178">
        <v>1675</v>
      </c>
      <c r="DU8" s="178">
        <v>1655</v>
      </c>
      <c r="DV8" s="178">
        <v>1660</v>
      </c>
      <c r="DW8" s="178">
        <v>1703</v>
      </c>
      <c r="DX8" s="178">
        <v>1723</v>
      </c>
      <c r="DY8" s="178">
        <v>1728</v>
      </c>
      <c r="DZ8" s="178">
        <v>1734</v>
      </c>
      <c r="EA8" s="178">
        <v>1757</v>
      </c>
      <c r="EB8" s="178">
        <v>1752</v>
      </c>
      <c r="EC8" s="178">
        <v>1720</v>
      </c>
      <c r="ED8" s="178">
        <v>1688</v>
      </c>
      <c r="EE8" s="178">
        <v>1650</v>
      </c>
      <c r="EF8" s="178">
        <v>1605</v>
      </c>
      <c r="EG8" s="178">
        <v>1559</v>
      </c>
      <c r="EH8" s="178">
        <v>1550</v>
      </c>
    </row>
    <row r="9" spans="1:138" x14ac:dyDescent="0.25">
      <c r="A9" s="49" t="str">
        <f>IPO監視一覧!H6</f>
        <v>C</v>
      </c>
      <c r="B9" s="49" t="str">
        <f>IPO監視一覧!B6</f>
        <v>神戸天然物化学</v>
      </c>
      <c r="C9" s="177">
        <f>株価一覧!E8</f>
        <v>2532</v>
      </c>
      <c r="D9" s="105">
        <f t="shared" ca="1" si="0"/>
        <v>2563.1999999999998</v>
      </c>
      <c r="E9" s="177">
        <f t="shared" ca="1" si="1"/>
        <v>2591.2666666666669</v>
      </c>
      <c r="F9" s="110">
        <f t="shared" ca="1" si="2"/>
        <v>2532</v>
      </c>
      <c r="G9" s="178">
        <v>0</v>
      </c>
      <c r="H9" s="178">
        <v>0</v>
      </c>
      <c r="I9" s="178">
        <v>0</v>
      </c>
      <c r="J9" s="178">
        <v>0</v>
      </c>
      <c r="K9" s="178">
        <v>0</v>
      </c>
      <c r="L9" s="178">
        <v>0</v>
      </c>
      <c r="M9" s="178">
        <v>0</v>
      </c>
      <c r="N9" s="178">
        <v>0</v>
      </c>
      <c r="O9" s="178">
        <v>0</v>
      </c>
      <c r="P9" s="178">
        <v>0</v>
      </c>
      <c r="Q9" s="178">
        <v>0</v>
      </c>
      <c r="R9" s="178">
        <v>0</v>
      </c>
      <c r="S9" s="178">
        <v>0</v>
      </c>
      <c r="T9" s="178">
        <v>0</v>
      </c>
      <c r="U9" s="178">
        <v>0</v>
      </c>
      <c r="V9" s="178">
        <v>0</v>
      </c>
      <c r="W9" s="178">
        <v>0</v>
      </c>
      <c r="X9" s="178">
        <v>0</v>
      </c>
      <c r="Y9" s="178">
        <v>0</v>
      </c>
      <c r="Z9" s="178">
        <v>0</v>
      </c>
      <c r="AA9" s="178">
        <v>3390</v>
      </c>
      <c r="AB9" s="178">
        <v>3770</v>
      </c>
      <c r="AC9" s="178">
        <v>3595</v>
      </c>
      <c r="AD9" s="178">
        <v>3140</v>
      </c>
      <c r="AE9" s="178">
        <v>3350</v>
      </c>
      <c r="AF9" s="178">
        <v>3280</v>
      </c>
      <c r="AG9" s="178">
        <v>3520</v>
      </c>
      <c r="AH9" s="178">
        <v>3610</v>
      </c>
      <c r="AI9" s="178">
        <v>4310</v>
      </c>
      <c r="AJ9" s="178">
        <v>4325</v>
      </c>
      <c r="AK9" s="178">
        <v>4510</v>
      </c>
      <c r="AL9" s="178">
        <v>4260</v>
      </c>
      <c r="AM9" s="178">
        <v>4515</v>
      </c>
      <c r="AN9" s="178">
        <v>4415</v>
      </c>
      <c r="AO9" s="178">
        <v>4080</v>
      </c>
      <c r="AP9" s="178">
        <v>4015</v>
      </c>
      <c r="AQ9" s="178">
        <v>4075</v>
      </c>
      <c r="AR9" s="178">
        <v>3835</v>
      </c>
      <c r="AS9" s="178">
        <v>3885</v>
      </c>
      <c r="AT9" s="178">
        <v>3905</v>
      </c>
      <c r="AU9" s="178">
        <v>3770</v>
      </c>
      <c r="AV9" s="178">
        <v>3750</v>
      </c>
      <c r="AW9" s="178">
        <v>3550</v>
      </c>
      <c r="AX9" s="178">
        <v>3630</v>
      </c>
      <c r="AY9" s="178">
        <v>3855</v>
      </c>
      <c r="AZ9" s="178">
        <v>3675</v>
      </c>
      <c r="BA9" s="178">
        <v>3590</v>
      </c>
      <c r="BB9" s="178">
        <v>3590</v>
      </c>
      <c r="BC9" s="178">
        <v>3530</v>
      </c>
      <c r="BD9" s="178">
        <v>3490</v>
      </c>
      <c r="BE9" s="178">
        <v>3555</v>
      </c>
      <c r="BF9" s="178">
        <v>3455</v>
      </c>
      <c r="BG9" s="178">
        <v>3635</v>
      </c>
      <c r="BH9" s="178">
        <v>3350</v>
      </c>
      <c r="BI9" s="178">
        <v>3225</v>
      </c>
      <c r="BJ9" s="178">
        <v>3385</v>
      </c>
      <c r="BK9" s="178">
        <v>3315</v>
      </c>
      <c r="BL9" s="178">
        <v>3400</v>
      </c>
      <c r="BM9" s="178">
        <v>3365</v>
      </c>
      <c r="BN9" s="178">
        <v>3385</v>
      </c>
      <c r="BO9" s="178">
        <v>3375</v>
      </c>
      <c r="BP9" s="178">
        <v>3445</v>
      </c>
      <c r="BQ9" s="178">
        <v>3485</v>
      </c>
      <c r="BR9" s="178">
        <v>3670</v>
      </c>
      <c r="BS9" s="178">
        <v>3585</v>
      </c>
      <c r="BT9" s="178">
        <v>3440</v>
      </c>
      <c r="BU9" s="178">
        <v>3590</v>
      </c>
      <c r="BV9" s="178">
        <v>3770</v>
      </c>
      <c r="BW9" s="178">
        <v>3630</v>
      </c>
      <c r="BX9" s="178">
        <v>3600</v>
      </c>
      <c r="BY9" s="178">
        <v>3555</v>
      </c>
      <c r="BZ9" s="178">
        <v>3690</v>
      </c>
      <c r="CA9" s="178">
        <v>3700</v>
      </c>
      <c r="CB9" s="178">
        <v>3700</v>
      </c>
      <c r="CC9" s="178">
        <v>3665</v>
      </c>
      <c r="CD9" s="178">
        <v>3560</v>
      </c>
      <c r="CE9" s="178">
        <v>3365</v>
      </c>
      <c r="CF9" s="178">
        <v>3255</v>
      </c>
      <c r="CG9" s="178">
        <v>3300</v>
      </c>
      <c r="CH9" s="178">
        <v>3280</v>
      </c>
      <c r="CI9" s="178">
        <v>3210</v>
      </c>
      <c r="CJ9" s="178">
        <v>3095</v>
      </c>
      <c r="CK9" s="178">
        <v>3025</v>
      </c>
      <c r="CL9" s="178">
        <v>3000</v>
      </c>
      <c r="CM9" s="178">
        <v>3150</v>
      </c>
      <c r="CN9" s="178">
        <v>3030</v>
      </c>
      <c r="CO9" s="178">
        <v>2990</v>
      </c>
      <c r="CP9" s="178">
        <v>2933</v>
      </c>
      <c r="CQ9" s="178">
        <v>2800</v>
      </c>
      <c r="CR9" s="178">
        <v>2975</v>
      </c>
      <c r="CS9" s="178">
        <v>3125</v>
      </c>
      <c r="CT9" s="178">
        <v>3020</v>
      </c>
      <c r="CU9" s="178">
        <v>2946</v>
      </c>
      <c r="CV9" s="178">
        <v>2922</v>
      </c>
      <c r="CW9" s="178">
        <v>2891</v>
      </c>
      <c r="CX9" s="178">
        <v>2910</v>
      </c>
      <c r="CY9" s="178">
        <v>2882</v>
      </c>
      <c r="CZ9" s="178">
        <v>2865</v>
      </c>
      <c r="DA9" s="178">
        <v>2826</v>
      </c>
      <c r="DB9" s="178">
        <v>2838</v>
      </c>
      <c r="DC9" s="178">
        <v>2918</v>
      </c>
      <c r="DD9" s="178">
        <v>2885</v>
      </c>
      <c r="DE9" s="178">
        <v>2843</v>
      </c>
      <c r="DF9" s="178">
        <v>2820</v>
      </c>
      <c r="DG9" s="178">
        <v>2797</v>
      </c>
      <c r="DH9" s="178">
        <v>2816</v>
      </c>
      <c r="DI9" s="178">
        <v>2803</v>
      </c>
      <c r="DJ9" s="178">
        <v>2736</v>
      </c>
      <c r="DK9" s="178">
        <v>2660</v>
      </c>
      <c r="DL9" s="178">
        <v>2717</v>
      </c>
      <c r="DM9" s="178">
        <v>2747</v>
      </c>
      <c r="DN9" s="178">
        <v>2398</v>
      </c>
      <c r="DO9" s="178">
        <v>2500</v>
      </c>
      <c r="DP9" s="178">
        <v>2470</v>
      </c>
      <c r="DQ9" s="178">
        <v>2411</v>
      </c>
      <c r="DR9" s="178">
        <v>2449</v>
      </c>
      <c r="DS9" s="178">
        <v>2516</v>
      </c>
      <c r="DT9" s="178">
        <v>2500</v>
      </c>
      <c r="DU9" s="178">
        <v>2536</v>
      </c>
      <c r="DV9" s="178">
        <v>2565</v>
      </c>
      <c r="DW9" s="178">
        <v>2567</v>
      </c>
      <c r="DX9" s="178">
        <v>2706</v>
      </c>
      <c r="DY9" s="178">
        <v>2644</v>
      </c>
      <c r="DZ9" s="178">
        <v>2661</v>
      </c>
      <c r="EA9" s="178">
        <v>2640</v>
      </c>
      <c r="EB9" s="178">
        <v>2654</v>
      </c>
      <c r="EC9" s="178">
        <v>2580</v>
      </c>
      <c r="ED9" s="178">
        <v>2595</v>
      </c>
      <c r="EE9" s="178">
        <v>2587</v>
      </c>
      <c r="EF9" s="178">
        <v>2541</v>
      </c>
      <c r="EG9" s="178">
        <v>2561</v>
      </c>
      <c r="EH9" s="178">
        <v>2532</v>
      </c>
    </row>
    <row r="10" spans="1:138" x14ac:dyDescent="0.25">
      <c r="A10" s="49" t="str">
        <f>IPO監視一覧!H7</f>
        <v>D</v>
      </c>
      <c r="B10" s="54" t="str">
        <f>IPO監視一覧!B7</f>
        <v>日総工産</v>
      </c>
      <c r="C10" s="177">
        <f>株価一覧!E9</f>
        <v>2572</v>
      </c>
      <c r="D10" s="105">
        <f t="shared" ca="1" si="0"/>
        <v>2729.6</v>
      </c>
      <c r="E10" s="177">
        <f t="shared" ca="1" si="1"/>
        <v>2729.4666666666667</v>
      </c>
      <c r="F10" s="110">
        <f t="shared" ca="1" si="2"/>
        <v>2498</v>
      </c>
      <c r="G10" s="178">
        <v>0</v>
      </c>
      <c r="H10" s="178">
        <v>0</v>
      </c>
      <c r="I10" s="178">
        <v>0</v>
      </c>
      <c r="J10" s="178">
        <v>0</v>
      </c>
      <c r="K10" s="178">
        <v>0</v>
      </c>
      <c r="L10" s="178">
        <v>0</v>
      </c>
      <c r="M10" s="178">
        <v>0</v>
      </c>
      <c r="N10" s="178">
        <v>0</v>
      </c>
      <c r="O10" s="178">
        <v>0</v>
      </c>
      <c r="P10" s="178">
        <v>0</v>
      </c>
      <c r="Q10" s="178">
        <v>0</v>
      </c>
      <c r="R10" s="178">
        <v>0</v>
      </c>
      <c r="S10" s="178">
        <v>0</v>
      </c>
      <c r="T10" s="178">
        <v>0</v>
      </c>
      <c r="U10" s="178">
        <v>0</v>
      </c>
      <c r="V10" s="178">
        <v>0</v>
      </c>
      <c r="W10" s="178">
        <v>0</v>
      </c>
      <c r="X10" s="178">
        <v>0</v>
      </c>
      <c r="Y10" s="178">
        <v>0</v>
      </c>
      <c r="Z10" s="178">
        <v>0</v>
      </c>
      <c r="AA10" s="178">
        <v>4000</v>
      </c>
      <c r="AB10" s="178">
        <v>3880</v>
      </c>
      <c r="AC10" s="178">
        <v>4175</v>
      </c>
      <c r="AD10" s="178">
        <v>4065</v>
      </c>
      <c r="AE10" s="178">
        <v>3970</v>
      </c>
      <c r="AF10" s="178">
        <v>4035</v>
      </c>
      <c r="AG10" s="178">
        <v>4030</v>
      </c>
      <c r="AH10" s="178">
        <v>4345</v>
      </c>
      <c r="AI10" s="178">
        <v>4350</v>
      </c>
      <c r="AJ10" s="178">
        <v>4560</v>
      </c>
      <c r="AK10" s="178">
        <v>4550</v>
      </c>
      <c r="AL10" s="178">
        <v>4870</v>
      </c>
      <c r="AM10" s="178">
        <v>4885</v>
      </c>
      <c r="AN10" s="178">
        <v>4890</v>
      </c>
      <c r="AO10" s="178">
        <v>4550</v>
      </c>
      <c r="AP10" s="178">
        <v>4835</v>
      </c>
      <c r="AQ10" s="178">
        <v>4805</v>
      </c>
      <c r="AR10" s="178">
        <v>4400</v>
      </c>
      <c r="AS10" s="178">
        <v>4485</v>
      </c>
      <c r="AT10" s="178">
        <v>4535</v>
      </c>
      <c r="AU10" s="178">
        <v>4350</v>
      </c>
      <c r="AV10" s="178">
        <v>4520</v>
      </c>
      <c r="AW10" s="178">
        <v>4490</v>
      </c>
      <c r="AX10" s="178">
        <v>4345</v>
      </c>
      <c r="AY10" s="178">
        <v>4370</v>
      </c>
      <c r="AZ10" s="178">
        <v>4185</v>
      </c>
      <c r="BA10" s="178">
        <v>3930</v>
      </c>
      <c r="BB10" s="178">
        <v>4300</v>
      </c>
      <c r="BC10" s="178">
        <v>4140</v>
      </c>
      <c r="BD10" s="178">
        <v>4100</v>
      </c>
      <c r="BE10" s="178">
        <v>4650</v>
      </c>
      <c r="BF10" s="178">
        <v>4565</v>
      </c>
      <c r="BG10" s="178">
        <v>4795</v>
      </c>
      <c r="BH10" s="178">
        <v>4865</v>
      </c>
      <c r="BI10" s="178">
        <v>4860</v>
      </c>
      <c r="BJ10" s="178">
        <v>4895</v>
      </c>
      <c r="BK10" s="178">
        <v>4835</v>
      </c>
      <c r="BL10" s="178">
        <v>5090</v>
      </c>
      <c r="BM10" s="178">
        <v>4905</v>
      </c>
      <c r="BN10" s="178">
        <v>4870</v>
      </c>
      <c r="BO10" s="178">
        <v>5080</v>
      </c>
      <c r="BP10" s="178">
        <v>5110</v>
      </c>
      <c r="BQ10" s="178">
        <v>5070</v>
      </c>
      <c r="BR10" s="178">
        <v>5290</v>
      </c>
      <c r="BS10" s="178">
        <v>5130</v>
      </c>
      <c r="BT10" s="178">
        <v>5470</v>
      </c>
      <c r="BU10" s="178">
        <v>5290</v>
      </c>
      <c r="BV10" s="178">
        <v>5580</v>
      </c>
      <c r="BW10" s="178">
        <v>5460</v>
      </c>
      <c r="BX10" s="178">
        <v>5550</v>
      </c>
      <c r="BY10" s="178">
        <v>5260</v>
      </c>
      <c r="BZ10" s="178">
        <v>5760</v>
      </c>
      <c r="CA10" s="178">
        <v>5620</v>
      </c>
      <c r="CB10" s="178">
        <v>5810</v>
      </c>
      <c r="CC10" s="178">
        <v>6130</v>
      </c>
      <c r="CD10" s="178">
        <v>6140</v>
      </c>
      <c r="CE10" s="178">
        <v>6160</v>
      </c>
      <c r="CF10" s="178">
        <v>6140</v>
      </c>
      <c r="CG10" s="178">
        <v>6100</v>
      </c>
      <c r="CH10" s="178">
        <v>5990</v>
      </c>
      <c r="CI10" s="178">
        <v>5980</v>
      </c>
      <c r="CJ10" s="178">
        <v>5740</v>
      </c>
      <c r="CK10" s="178">
        <v>5490</v>
      </c>
      <c r="CL10" s="178">
        <v>5840</v>
      </c>
      <c r="CM10" s="178">
        <v>5850</v>
      </c>
      <c r="CN10" s="178">
        <v>5780</v>
      </c>
      <c r="CO10" s="178">
        <v>5820</v>
      </c>
      <c r="CP10" s="178">
        <v>5600</v>
      </c>
      <c r="CQ10" s="178">
        <v>5690</v>
      </c>
      <c r="CR10" s="178">
        <v>5890</v>
      </c>
      <c r="CS10" s="178">
        <v>6140</v>
      </c>
      <c r="CT10" s="178">
        <v>6070</v>
      </c>
      <c r="CU10" s="178">
        <v>6220</v>
      </c>
      <c r="CV10" s="178">
        <v>6090</v>
      </c>
      <c r="CW10" s="178">
        <v>6180</v>
      </c>
      <c r="CX10" s="178">
        <v>6310</v>
      </c>
      <c r="CY10" s="178">
        <v>6260</v>
      </c>
      <c r="CZ10" s="178">
        <v>6340</v>
      </c>
      <c r="DA10" s="178">
        <v>6270</v>
      </c>
      <c r="DB10" s="178">
        <v>6080</v>
      </c>
      <c r="DC10" s="178">
        <v>6010</v>
      </c>
      <c r="DD10" s="178">
        <v>5790</v>
      </c>
      <c r="DE10" s="178">
        <v>6110</v>
      </c>
      <c r="DF10" s="178">
        <v>6090</v>
      </c>
      <c r="DG10" s="178">
        <v>5970</v>
      </c>
      <c r="DH10" s="178">
        <v>5900</v>
      </c>
      <c r="DI10" s="178">
        <v>5730</v>
      </c>
      <c r="DJ10" s="178">
        <v>5400</v>
      </c>
      <c r="DK10" s="178">
        <v>5500</v>
      </c>
      <c r="DL10" s="178">
        <v>5660</v>
      </c>
      <c r="DM10" s="178">
        <v>5530</v>
      </c>
      <c r="DN10" s="178">
        <v>5670</v>
      </c>
      <c r="DO10" s="178">
        <v>5850</v>
      </c>
      <c r="DP10" s="178">
        <v>5660</v>
      </c>
      <c r="DQ10" s="178">
        <v>5470</v>
      </c>
      <c r="DR10" s="178">
        <v>2751</v>
      </c>
      <c r="DS10" s="178">
        <v>2473</v>
      </c>
      <c r="DT10" s="178">
        <v>2440</v>
      </c>
      <c r="DU10" s="178">
        <v>2498</v>
      </c>
      <c r="DV10" s="178">
        <v>2584</v>
      </c>
      <c r="DW10" s="178">
        <v>2684</v>
      </c>
      <c r="DX10" s="178">
        <v>2820</v>
      </c>
      <c r="DY10" s="178">
        <v>2821</v>
      </c>
      <c r="DZ10" s="178">
        <v>2880</v>
      </c>
      <c r="EA10" s="178">
        <v>2912</v>
      </c>
      <c r="EB10" s="178">
        <v>2870</v>
      </c>
      <c r="EC10" s="178">
        <v>2785</v>
      </c>
      <c r="ED10" s="178">
        <v>2822</v>
      </c>
      <c r="EE10" s="178">
        <v>2695</v>
      </c>
      <c r="EF10" s="178">
        <v>2813</v>
      </c>
      <c r="EG10" s="178">
        <v>2746</v>
      </c>
      <c r="EH10" s="178">
        <v>2572</v>
      </c>
    </row>
    <row r="11" spans="1:138" x14ac:dyDescent="0.25">
      <c r="A11" s="49" t="str">
        <f>IPO監視一覧!H8</f>
        <v>B</v>
      </c>
      <c r="B11" s="49" t="str">
        <f>IPO監視一覧!B8</f>
        <v>フェイスネットワーク</v>
      </c>
      <c r="C11" s="177">
        <f>株価一覧!E10</f>
        <v>1299</v>
      </c>
      <c r="D11" s="105">
        <f t="shared" ca="1" si="0"/>
        <v>1349.8</v>
      </c>
      <c r="E11" s="177">
        <f t="shared" ca="1" si="1"/>
        <v>1465.8</v>
      </c>
      <c r="F11" s="110">
        <f t="shared" ca="1" si="2"/>
        <v>1299</v>
      </c>
      <c r="G11" s="178">
        <v>0</v>
      </c>
      <c r="H11" s="178">
        <v>0</v>
      </c>
      <c r="I11" s="178">
        <v>0</v>
      </c>
      <c r="J11" s="178">
        <v>0</v>
      </c>
      <c r="K11" s="178">
        <v>0</v>
      </c>
      <c r="L11" s="178">
        <v>0</v>
      </c>
      <c r="M11" s="178">
        <v>0</v>
      </c>
      <c r="N11" s="178">
        <v>0</v>
      </c>
      <c r="O11" s="178">
        <v>0</v>
      </c>
      <c r="P11" s="178">
        <v>0</v>
      </c>
      <c r="Q11" s="178">
        <v>0</v>
      </c>
      <c r="R11" s="178">
        <v>0</v>
      </c>
      <c r="S11" s="178">
        <v>0</v>
      </c>
      <c r="T11" s="178">
        <v>0</v>
      </c>
      <c r="U11" s="178">
        <v>0</v>
      </c>
      <c r="V11" s="178">
        <v>0</v>
      </c>
      <c r="W11" s="178">
        <v>0</v>
      </c>
      <c r="X11" s="178">
        <v>0</v>
      </c>
      <c r="Y11" s="178">
        <v>0</v>
      </c>
      <c r="Z11" s="178">
        <v>0</v>
      </c>
      <c r="AA11" s="178">
        <v>2500</v>
      </c>
      <c r="AB11" s="178">
        <v>2187</v>
      </c>
      <c r="AC11" s="178">
        <v>2216</v>
      </c>
      <c r="AD11" s="178">
        <v>1967</v>
      </c>
      <c r="AE11" s="178">
        <v>2005</v>
      </c>
      <c r="AF11" s="178">
        <v>1931</v>
      </c>
      <c r="AG11" s="178">
        <v>1890</v>
      </c>
      <c r="AH11" s="178">
        <v>1884</v>
      </c>
      <c r="AI11" s="178">
        <v>2095</v>
      </c>
      <c r="AJ11" s="178">
        <v>2250</v>
      </c>
      <c r="AK11" s="178">
        <v>2182</v>
      </c>
      <c r="AL11" s="178">
        <v>2087</v>
      </c>
      <c r="AM11" s="178">
        <v>1997</v>
      </c>
      <c r="AN11" s="178">
        <v>1960</v>
      </c>
      <c r="AO11" s="178">
        <v>2024</v>
      </c>
      <c r="AP11" s="178">
        <v>2001</v>
      </c>
      <c r="AQ11" s="178">
        <v>1981</v>
      </c>
      <c r="AR11" s="178">
        <v>1968</v>
      </c>
      <c r="AS11" s="178">
        <v>1935</v>
      </c>
      <c r="AT11" s="178">
        <v>1924</v>
      </c>
      <c r="AU11" s="178">
        <v>1939</v>
      </c>
      <c r="AV11" s="178">
        <v>1910</v>
      </c>
      <c r="AW11" s="178">
        <v>1919</v>
      </c>
      <c r="AX11" s="178">
        <v>1911</v>
      </c>
      <c r="AY11" s="178">
        <v>1908</v>
      </c>
      <c r="AZ11" s="178">
        <v>1871</v>
      </c>
      <c r="BA11" s="178">
        <v>1826</v>
      </c>
      <c r="BB11" s="178">
        <v>1794</v>
      </c>
      <c r="BC11" s="178">
        <v>1879</v>
      </c>
      <c r="BD11" s="178">
        <v>1903</v>
      </c>
      <c r="BE11" s="178">
        <v>1903</v>
      </c>
      <c r="BF11" s="178">
        <v>1917</v>
      </c>
      <c r="BG11" s="178">
        <v>2018</v>
      </c>
      <c r="BH11" s="178">
        <v>2105</v>
      </c>
      <c r="BI11" s="178">
        <v>2033</v>
      </c>
      <c r="BJ11" s="178">
        <v>2086</v>
      </c>
      <c r="BK11" s="178">
        <v>2230</v>
      </c>
      <c r="BL11" s="178">
        <v>2337</v>
      </c>
      <c r="BM11" s="178">
        <v>2297</v>
      </c>
      <c r="BN11" s="178">
        <v>2231</v>
      </c>
      <c r="BO11" s="178">
        <v>2240</v>
      </c>
      <c r="BP11" s="178">
        <v>2220</v>
      </c>
      <c r="BQ11" s="178">
        <v>2370</v>
      </c>
      <c r="BR11" s="178">
        <v>2270</v>
      </c>
      <c r="BS11" s="178">
        <v>2199</v>
      </c>
      <c r="BT11" s="178">
        <v>2184</v>
      </c>
      <c r="BU11" s="178">
        <v>2126</v>
      </c>
      <c r="BV11" s="178">
        <v>2116</v>
      </c>
      <c r="BW11" s="178">
        <v>2082</v>
      </c>
      <c r="BX11" s="178">
        <v>2081</v>
      </c>
      <c r="BY11" s="178">
        <v>2150</v>
      </c>
      <c r="BZ11" s="178">
        <v>2190</v>
      </c>
      <c r="CA11" s="178">
        <v>2224</v>
      </c>
      <c r="CB11" s="178">
        <v>2269</v>
      </c>
      <c r="CC11" s="178">
        <v>2280</v>
      </c>
      <c r="CD11" s="178">
        <v>2410</v>
      </c>
      <c r="CE11" s="178">
        <v>2300</v>
      </c>
      <c r="CF11" s="178">
        <v>2282</v>
      </c>
      <c r="CG11" s="178">
        <v>2309</v>
      </c>
      <c r="CH11" s="178">
        <v>2315</v>
      </c>
      <c r="CI11" s="178">
        <v>2270</v>
      </c>
      <c r="CJ11" s="178">
        <v>2107</v>
      </c>
      <c r="CK11" s="178">
        <v>2083</v>
      </c>
      <c r="CL11" s="178">
        <v>2061</v>
      </c>
      <c r="CM11" s="178">
        <v>2058</v>
      </c>
      <c r="CN11" s="178">
        <v>2084</v>
      </c>
      <c r="CO11" s="178">
        <v>2072</v>
      </c>
      <c r="CP11" s="178">
        <v>1995</v>
      </c>
      <c r="CQ11" s="178">
        <v>1886</v>
      </c>
      <c r="CR11" s="178">
        <v>1938</v>
      </c>
      <c r="CS11" s="178">
        <v>2071</v>
      </c>
      <c r="CT11" s="178">
        <v>2129</v>
      </c>
      <c r="CU11" s="178">
        <v>2100</v>
      </c>
      <c r="CV11" s="178">
        <v>2179</v>
      </c>
      <c r="CW11" s="178">
        <v>2169</v>
      </c>
      <c r="CX11" s="178">
        <v>2200</v>
      </c>
      <c r="CY11" s="178">
        <v>2177</v>
      </c>
      <c r="CZ11" s="178">
        <v>2081</v>
      </c>
      <c r="DA11" s="178">
        <v>2078</v>
      </c>
      <c r="DB11" s="178">
        <v>2094</v>
      </c>
      <c r="DC11" s="178">
        <v>2105</v>
      </c>
      <c r="DD11" s="178">
        <v>2084</v>
      </c>
      <c r="DE11" s="178">
        <v>2072</v>
      </c>
      <c r="DF11" s="178">
        <v>2100</v>
      </c>
      <c r="DG11" s="178">
        <v>2076</v>
      </c>
      <c r="DH11" s="178">
        <v>2102</v>
      </c>
      <c r="DI11" s="178">
        <v>2144</v>
      </c>
      <c r="DJ11" s="178">
        <v>2148</v>
      </c>
      <c r="DK11" s="178">
        <v>2094</v>
      </c>
      <c r="DL11" s="178">
        <v>2062</v>
      </c>
      <c r="DM11" s="178">
        <v>2066</v>
      </c>
      <c r="DN11" s="178">
        <v>1660</v>
      </c>
      <c r="DO11" s="178">
        <v>1579</v>
      </c>
      <c r="DP11" s="178">
        <v>1478</v>
      </c>
      <c r="DQ11" s="178">
        <v>1545</v>
      </c>
      <c r="DR11" s="178">
        <v>1552</v>
      </c>
      <c r="DS11" s="178">
        <v>1550</v>
      </c>
      <c r="DT11" s="178">
        <v>1535</v>
      </c>
      <c r="DU11" s="178">
        <v>1548</v>
      </c>
      <c r="DV11" s="178">
        <v>1547</v>
      </c>
      <c r="DW11" s="178">
        <v>1533</v>
      </c>
      <c r="DX11" s="178">
        <v>1550</v>
      </c>
      <c r="DY11" s="178">
        <v>1541</v>
      </c>
      <c r="DZ11" s="178">
        <v>1510</v>
      </c>
      <c r="EA11" s="178">
        <v>1497</v>
      </c>
      <c r="EB11" s="178">
        <v>1480</v>
      </c>
      <c r="EC11" s="178">
        <v>1497</v>
      </c>
      <c r="ED11" s="178">
        <v>1435</v>
      </c>
      <c r="EE11" s="178">
        <v>1354</v>
      </c>
      <c r="EF11" s="178">
        <v>1361</v>
      </c>
      <c r="EG11" s="178">
        <v>1300</v>
      </c>
      <c r="EH11" s="178">
        <v>1299</v>
      </c>
    </row>
    <row r="12" spans="1:138" x14ac:dyDescent="0.25">
      <c r="A12" s="49" t="str">
        <f>IPO監視一覧!H9</f>
        <v>C</v>
      </c>
      <c r="B12" s="49" t="str">
        <f>IPO監視一覧!B9</f>
        <v>共和コーポレーション</v>
      </c>
      <c r="C12" s="177">
        <f>株価一覧!E11</f>
        <v>809</v>
      </c>
      <c r="D12" s="105">
        <f t="shared" ref="D12" ca="1" si="3">AVERAGE(OFFSET(A12,0,COUNTA(G12:XFD12)+5,1,-5))</f>
        <v>802</v>
      </c>
      <c r="E12" s="177">
        <f t="shared" ca="1" si="1"/>
        <v>1073.9333333333334</v>
      </c>
      <c r="F12" s="110">
        <f t="shared" ca="1" si="2"/>
        <v>741</v>
      </c>
      <c r="G12" s="178">
        <v>0</v>
      </c>
      <c r="H12" s="178">
        <v>0</v>
      </c>
      <c r="I12" s="178">
        <v>0</v>
      </c>
      <c r="J12" s="178">
        <v>0</v>
      </c>
      <c r="K12" s="178">
        <v>0</v>
      </c>
      <c r="L12" s="178">
        <v>0</v>
      </c>
      <c r="M12" s="178">
        <v>0</v>
      </c>
      <c r="N12" s="178">
        <v>0</v>
      </c>
      <c r="O12" s="178">
        <v>0</v>
      </c>
      <c r="P12" s="178">
        <v>0</v>
      </c>
      <c r="Q12" s="178">
        <v>0</v>
      </c>
      <c r="R12" s="178">
        <v>0</v>
      </c>
      <c r="S12" s="178">
        <v>0</v>
      </c>
      <c r="T12" s="178">
        <v>0</v>
      </c>
      <c r="U12" s="178">
        <v>0</v>
      </c>
      <c r="V12" s="178">
        <v>0</v>
      </c>
      <c r="W12" s="178">
        <v>0</v>
      </c>
      <c r="X12" s="178">
        <v>0</v>
      </c>
      <c r="Y12" s="178">
        <v>0</v>
      </c>
      <c r="Z12" s="178">
        <v>0</v>
      </c>
      <c r="AA12" s="178">
        <v>0</v>
      </c>
      <c r="AB12" s="178">
        <v>2116</v>
      </c>
      <c r="AC12" s="178">
        <v>1905</v>
      </c>
      <c r="AD12" s="178">
        <v>1822</v>
      </c>
      <c r="AE12" s="178">
        <v>2009</v>
      </c>
      <c r="AF12" s="178">
        <v>1980</v>
      </c>
      <c r="AG12" s="178">
        <v>2016</v>
      </c>
      <c r="AH12" s="178">
        <v>2001</v>
      </c>
      <c r="AI12" s="178">
        <v>1986</v>
      </c>
      <c r="AJ12" s="178">
        <v>1986</v>
      </c>
      <c r="AK12" s="178">
        <v>1910</v>
      </c>
      <c r="AL12" s="178">
        <v>1920</v>
      </c>
      <c r="AM12" s="178">
        <v>1970</v>
      </c>
      <c r="AN12" s="178">
        <v>2061</v>
      </c>
      <c r="AO12" s="178">
        <v>2023</v>
      </c>
      <c r="AP12" s="178">
        <v>1992</v>
      </c>
      <c r="AQ12" s="178">
        <v>1970</v>
      </c>
      <c r="AR12" s="178">
        <v>1970</v>
      </c>
      <c r="AS12" s="178">
        <v>1902</v>
      </c>
      <c r="AT12" s="178">
        <v>1916</v>
      </c>
      <c r="AU12" s="178">
        <v>1981</v>
      </c>
      <c r="AV12" s="178">
        <v>1959</v>
      </c>
      <c r="AW12" s="178">
        <v>1955</v>
      </c>
      <c r="AX12" s="178">
        <v>1959</v>
      </c>
      <c r="AY12" s="178">
        <v>1925</v>
      </c>
      <c r="AZ12" s="178">
        <v>1934</v>
      </c>
      <c r="BA12" s="178">
        <v>1920</v>
      </c>
      <c r="BB12" s="178">
        <v>2045</v>
      </c>
      <c r="BC12" s="178">
        <v>2071</v>
      </c>
      <c r="BD12" s="178">
        <v>2094</v>
      </c>
      <c r="BE12" s="178">
        <v>2069</v>
      </c>
      <c r="BF12" s="178">
        <v>2047</v>
      </c>
      <c r="BG12" s="178">
        <v>2018</v>
      </c>
      <c r="BH12" s="178">
        <v>1799</v>
      </c>
      <c r="BI12" s="178">
        <v>1702</v>
      </c>
      <c r="BJ12" s="178">
        <v>1764</v>
      </c>
      <c r="BK12" s="178">
        <v>1775</v>
      </c>
      <c r="BL12" s="178">
        <v>1783</v>
      </c>
      <c r="BM12" s="178">
        <v>1735</v>
      </c>
      <c r="BN12" s="178">
        <v>1735</v>
      </c>
      <c r="BO12" s="178">
        <v>1726</v>
      </c>
      <c r="BP12" s="178">
        <v>1699</v>
      </c>
      <c r="BQ12" s="178">
        <v>1680</v>
      </c>
      <c r="BR12" s="178">
        <v>1656</v>
      </c>
      <c r="BS12" s="178">
        <v>1625</v>
      </c>
      <c r="BT12" s="178">
        <v>1623</v>
      </c>
      <c r="BU12" s="178">
        <v>1620</v>
      </c>
      <c r="BV12" s="178">
        <v>1660</v>
      </c>
      <c r="BW12" s="178">
        <v>1670</v>
      </c>
      <c r="BX12" s="178">
        <v>1681</v>
      </c>
      <c r="BY12" s="178">
        <v>1699</v>
      </c>
      <c r="BZ12" s="178">
        <v>1645</v>
      </c>
      <c r="CA12" s="178">
        <v>1698</v>
      </c>
      <c r="CB12" s="178">
        <v>1726</v>
      </c>
      <c r="CC12" s="178">
        <v>1752</v>
      </c>
      <c r="CD12" s="178">
        <v>1732</v>
      </c>
      <c r="CE12" s="178">
        <v>1752</v>
      </c>
      <c r="CF12" s="178">
        <v>1683</v>
      </c>
      <c r="CG12" s="178">
        <v>1753</v>
      </c>
      <c r="CH12" s="178">
        <v>1773</v>
      </c>
      <c r="CI12" s="178">
        <v>1741</v>
      </c>
      <c r="CJ12" s="178">
        <v>1760</v>
      </c>
      <c r="CK12" s="178">
        <v>1717</v>
      </c>
      <c r="CL12" s="178">
        <v>1690</v>
      </c>
      <c r="CM12" s="178">
        <v>1707</v>
      </c>
      <c r="CN12" s="178">
        <v>1650</v>
      </c>
      <c r="CO12" s="178">
        <v>1625</v>
      </c>
      <c r="CP12" s="178">
        <v>1557</v>
      </c>
      <c r="CQ12" s="178">
        <v>1451</v>
      </c>
      <c r="CR12" s="178">
        <v>1503</v>
      </c>
      <c r="CS12" s="178">
        <v>1537</v>
      </c>
      <c r="CT12" s="178">
        <v>1570</v>
      </c>
      <c r="CU12" s="178">
        <v>1559</v>
      </c>
      <c r="CV12" s="178">
        <v>1546</v>
      </c>
      <c r="CW12" s="178">
        <v>1568</v>
      </c>
      <c r="CX12" s="178">
        <v>1599</v>
      </c>
      <c r="CY12" s="178">
        <v>1576</v>
      </c>
      <c r="CZ12" s="178">
        <v>1568</v>
      </c>
      <c r="DA12" s="178">
        <v>1561</v>
      </c>
      <c r="DB12" s="178">
        <v>1548</v>
      </c>
      <c r="DC12" s="178">
        <v>1543</v>
      </c>
      <c r="DD12" s="178">
        <v>1550</v>
      </c>
      <c r="DE12" s="178">
        <v>1554</v>
      </c>
      <c r="DF12" s="178">
        <v>1537</v>
      </c>
      <c r="DG12" s="178">
        <v>1535</v>
      </c>
      <c r="DH12" s="178">
        <v>1524</v>
      </c>
      <c r="DI12" s="178">
        <v>1514</v>
      </c>
      <c r="DJ12" s="178">
        <v>1468</v>
      </c>
      <c r="DK12" s="178">
        <v>1418</v>
      </c>
      <c r="DL12" s="178">
        <v>1415</v>
      </c>
      <c r="DM12" s="178">
        <v>1392</v>
      </c>
      <c r="DN12" s="178">
        <v>1450</v>
      </c>
      <c r="DO12" s="178">
        <v>1448</v>
      </c>
      <c r="DP12" s="178">
        <v>1471</v>
      </c>
      <c r="DQ12" s="178">
        <v>1471</v>
      </c>
      <c r="DR12" s="178">
        <v>1499</v>
      </c>
      <c r="DS12" s="178">
        <v>1543</v>
      </c>
      <c r="DT12" s="178">
        <v>1521</v>
      </c>
      <c r="DU12" s="178">
        <v>1505</v>
      </c>
      <c r="DV12" s="178">
        <v>1506</v>
      </c>
      <c r="DW12" s="178">
        <v>1509</v>
      </c>
      <c r="DX12" s="178">
        <v>1515</v>
      </c>
      <c r="DY12" s="178">
        <v>1498</v>
      </c>
      <c r="DZ12" s="178">
        <v>741</v>
      </c>
      <c r="EA12" s="178">
        <v>764</v>
      </c>
      <c r="EB12" s="178">
        <v>765</v>
      </c>
      <c r="EC12" s="178">
        <v>775</v>
      </c>
      <c r="ED12" s="178">
        <v>794</v>
      </c>
      <c r="EE12" s="178">
        <v>803</v>
      </c>
      <c r="EF12" s="178">
        <v>801</v>
      </c>
      <c r="EG12" s="178">
        <v>803</v>
      </c>
      <c r="EH12" s="178">
        <v>809</v>
      </c>
    </row>
    <row r="13" spans="1:138" x14ac:dyDescent="0.25">
      <c r="A13" s="49" t="str">
        <f>IPO監視一覧!H10</f>
        <v>D</v>
      </c>
      <c r="B13" s="49" t="str">
        <f>IPO監視一覧!B10</f>
        <v>信和</v>
      </c>
      <c r="C13" s="177">
        <f>株価一覧!E12</f>
        <v>1119</v>
      </c>
      <c r="D13" s="105">
        <f t="shared" ref="D13:D33" ca="1" si="4">AVERAGE(OFFSET(A13,0,COUNTA(G13:XFD13)+5,1,-5))</f>
        <v>1122.5999999999999</v>
      </c>
      <c r="E13" s="177">
        <f t="shared" ca="1" si="1"/>
        <v>1117.2666666666667</v>
      </c>
      <c r="F13" s="110">
        <f t="shared" ca="1" si="2"/>
        <v>1105</v>
      </c>
      <c r="G13" s="178">
        <v>0</v>
      </c>
      <c r="H13" s="178">
        <v>0</v>
      </c>
      <c r="I13" s="178">
        <v>0</v>
      </c>
      <c r="J13" s="178">
        <v>0</v>
      </c>
      <c r="K13" s="178">
        <v>0</v>
      </c>
      <c r="L13" s="178">
        <v>0</v>
      </c>
      <c r="M13" s="178">
        <v>0</v>
      </c>
      <c r="N13" s="178">
        <v>0</v>
      </c>
      <c r="O13" s="178">
        <v>0</v>
      </c>
      <c r="P13" s="178">
        <v>0</v>
      </c>
      <c r="Q13" s="178">
        <v>0</v>
      </c>
      <c r="R13" s="178">
        <v>0</v>
      </c>
      <c r="S13" s="178">
        <v>0</v>
      </c>
      <c r="T13" s="178">
        <v>0</v>
      </c>
      <c r="U13" s="178">
        <v>0</v>
      </c>
      <c r="V13" s="178">
        <v>0</v>
      </c>
      <c r="W13" s="178">
        <v>0</v>
      </c>
      <c r="X13" s="178">
        <v>0</v>
      </c>
      <c r="Y13" s="178">
        <v>0</v>
      </c>
      <c r="Z13" s="178">
        <v>0</v>
      </c>
      <c r="AA13" s="178">
        <v>0</v>
      </c>
      <c r="AB13" s="178">
        <v>0</v>
      </c>
      <c r="AC13" s="178">
        <v>1140</v>
      </c>
      <c r="AD13" s="178">
        <v>1118</v>
      </c>
      <c r="AE13" s="178">
        <v>1110</v>
      </c>
      <c r="AF13" s="178">
        <v>1133</v>
      </c>
      <c r="AG13" s="178">
        <v>1081</v>
      </c>
      <c r="AH13" s="178">
        <v>1056</v>
      </c>
      <c r="AI13" s="178">
        <v>1041</v>
      </c>
      <c r="AJ13" s="178">
        <v>1077</v>
      </c>
      <c r="AK13" s="178">
        <v>1067</v>
      </c>
      <c r="AL13" s="178">
        <v>1101</v>
      </c>
      <c r="AM13" s="178">
        <v>1133</v>
      </c>
      <c r="AN13" s="178">
        <v>1140</v>
      </c>
      <c r="AO13" s="178">
        <v>1105</v>
      </c>
      <c r="AP13" s="178">
        <v>1093</v>
      </c>
      <c r="AQ13" s="178">
        <v>1099</v>
      </c>
      <c r="AR13" s="178">
        <v>1094</v>
      </c>
      <c r="AS13" s="178">
        <v>1086</v>
      </c>
      <c r="AT13" s="178">
        <v>1095</v>
      </c>
      <c r="AU13" s="178">
        <v>1095</v>
      </c>
      <c r="AV13" s="178">
        <v>1106</v>
      </c>
      <c r="AW13" s="178">
        <v>1096</v>
      </c>
      <c r="AX13" s="178">
        <v>1100</v>
      </c>
      <c r="AY13" s="178">
        <v>1100</v>
      </c>
      <c r="AZ13" s="178">
        <v>1105</v>
      </c>
      <c r="BA13" s="178">
        <v>1101</v>
      </c>
      <c r="BB13" s="178">
        <v>1117</v>
      </c>
      <c r="BC13" s="178">
        <v>1121</v>
      </c>
      <c r="BD13" s="178">
        <v>1140</v>
      </c>
      <c r="BE13" s="178">
        <v>1165</v>
      </c>
      <c r="BF13" s="178">
        <v>1158</v>
      </c>
      <c r="BG13" s="178">
        <v>1163</v>
      </c>
      <c r="BH13" s="178">
        <v>1170</v>
      </c>
      <c r="BI13" s="178">
        <v>1154</v>
      </c>
      <c r="BJ13" s="178">
        <v>1138</v>
      </c>
      <c r="BK13" s="178">
        <v>1137</v>
      </c>
      <c r="BL13" s="178">
        <v>1145</v>
      </c>
      <c r="BM13" s="178">
        <v>1145</v>
      </c>
      <c r="BN13" s="178">
        <v>1143</v>
      </c>
      <c r="BO13" s="178">
        <v>1143</v>
      </c>
      <c r="BP13" s="178">
        <v>1141</v>
      </c>
      <c r="BQ13" s="178">
        <v>1145</v>
      </c>
      <c r="BR13" s="178">
        <v>1143</v>
      </c>
      <c r="BS13" s="178">
        <v>1126</v>
      </c>
      <c r="BT13" s="178">
        <v>1123</v>
      </c>
      <c r="BU13" s="178">
        <v>1119</v>
      </c>
      <c r="BV13" s="178">
        <v>1116</v>
      </c>
      <c r="BW13" s="178">
        <v>1112</v>
      </c>
      <c r="BX13" s="178">
        <v>1094</v>
      </c>
      <c r="BY13" s="178">
        <v>1101</v>
      </c>
      <c r="BZ13" s="178">
        <v>1094</v>
      </c>
      <c r="CA13" s="178">
        <v>1144</v>
      </c>
      <c r="CB13" s="178">
        <v>1132</v>
      </c>
      <c r="CC13" s="178">
        <v>1116</v>
      </c>
      <c r="CD13" s="178">
        <v>1113</v>
      </c>
      <c r="CE13" s="178">
        <v>1116</v>
      </c>
      <c r="CF13" s="178">
        <v>1110</v>
      </c>
      <c r="CG13" s="178">
        <v>1110</v>
      </c>
      <c r="CH13" s="178">
        <v>1129</v>
      </c>
      <c r="CI13" s="178">
        <v>1112</v>
      </c>
      <c r="CJ13" s="178">
        <v>1127</v>
      </c>
      <c r="CK13" s="178">
        <v>1125</v>
      </c>
      <c r="CL13" s="178">
        <v>1126</v>
      </c>
      <c r="CM13" s="178">
        <v>1124</v>
      </c>
      <c r="CN13" s="178">
        <v>1104</v>
      </c>
      <c r="CO13" s="178">
        <v>1112</v>
      </c>
      <c r="CP13" s="178">
        <v>1103</v>
      </c>
      <c r="CQ13" s="178">
        <v>1091</v>
      </c>
      <c r="CR13" s="178">
        <v>1102</v>
      </c>
      <c r="CS13" s="178">
        <v>1125</v>
      </c>
      <c r="CT13" s="178">
        <v>1109</v>
      </c>
      <c r="CU13" s="178">
        <v>1125</v>
      </c>
      <c r="CV13" s="178">
        <v>1173</v>
      </c>
      <c r="CW13" s="178">
        <v>1150</v>
      </c>
      <c r="CX13" s="178">
        <v>1142</v>
      </c>
      <c r="CY13" s="178">
        <v>1155</v>
      </c>
      <c r="CZ13" s="178">
        <v>1146</v>
      </c>
      <c r="DA13" s="178">
        <v>1157</v>
      </c>
      <c r="DB13" s="178">
        <v>1160</v>
      </c>
      <c r="DC13" s="178">
        <v>1164</v>
      </c>
      <c r="DD13" s="178">
        <v>1161</v>
      </c>
      <c r="DE13" s="178">
        <v>1153</v>
      </c>
      <c r="DF13" s="178">
        <v>1148</v>
      </c>
      <c r="DG13" s="178">
        <v>1147</v>
      </c>
      <c r="DH13" s="178">
        <v>1146</v>
      </c>
      <c r="DI13" s="178">
        <v>1148</v>
      </c>
      <c r="DJ13" s="178">
        <v>1108</v>
      </c>
      <c r="DK13" s="178">
        <v>1096</v>
      </c>
      <c r="DL13" s="178">
        <v>1105</v>
      </c>
      <c r="DM13" s="178">
        <v>1113</v>
      </c>
      <c r="DN13" s="178">
        <v>1071</v>
      </c>
      <c r="DO13" s="178">
        <v>1084</v>
      </c>
      <c r="DP13" s="178">
        <v>1076</v>
      </c>
      <c r="DQ13" s="178">
        <v>1064</v>
      </c>
      <c r="DR13" s="178">
        <v>1075</v>
      </c>
      <c r="DS13" s="178">
        <v>1087</v>
      </c>
      <c r="DT13" s="178">
        <v>1105</v>
      </c>
      <c r="DU13" s="178">
        <v>1106</v>
      </c>
      <c r="DV13" s="178">
        <v>1110</v>
      </c>
      <c r="DW13" s="178">
        <v>1124</v>
      </c>
      <c r="DX13" s="178">
        <v>1126</v>
      </c>
      <c r="DY13" s="178">
        <v>1108</v>
      </c>
      <c r="DZ13" s="178">
        <v>1111</v>
      </c>
      <c r="EA13" s="178">
        <v>1105</v>
      </c>
      <c r="EB13" s="178">
        <v>1118</v>
      </c>
      <c r="EC13" s="178">
        <v>1133</v>
      </c>
      <c r="ED13" s="178">
        <v>1135</v>
      </c>
      <c r="EE13" s="178">
        <v>1132</v>
      </c>
      <c r="EF13" s="178">
        <v>1116</v>
      </c>
      <c r="EG13" s="178">
        <v>1111</v>
      </c>
      <c r="EH13" s="178">
        <v>1119</v>
      </c>
    </row>
    <row r="14" spans="1:138" x14ac:dyDescent="0.25">
      <c r="A14" s="49" t="str">
        <f>IPO監視一覧!H11</f>
        <v>D</v>
      </c>
      <c r="B14" s="49" t="str">
        <f>IPO監視一覧!B11</f>
        <v>ＳＯＵ</v>
      </c>
      <c r="C14" s="177">
        <f>株価一覧!E13</f>
        <v>5920</v>
      </c>
      <c r="D14" s="105">
        <f t="shared" ca="1" si="4"/>
        <v>5946</v>
      </c>
      <c r="E14" s="177">
        <f t="shared" ca="1" si="1"/>
        <v>6162.666666666667</v>
      </c>
      <c r="F14" s="110">
        <f t="shared" ca="1" si="2"/>
        <v>5860</v>
      </c>
      <c r="G14" s="178">
        <v>0</v>
      </c>
      <c r="H14" s="178">
        <v>0</v>
      </c>
      <c r="I14" s="178">
        <v>0</v>
      </c>
      <c r="J14" s="178">
        <v>0</v>
      </c>
      <c r="K14" s="178">
        <v>0</v>
      </c>
      <c r="L14" s="178">
        <v>0</v>
      </c>
      <c r="M14" s="178">
        <v>0</v>
      </c>
      <c r="N14" s="178">
        <v>0</v>
      </c>
      <c r="O14" s="178">
        <v>0</v>
      </c>
      <c r="P14" s="178">
        <v>0</v>
      </c>
      <c r="Q14" s="178">
        <v>0</v>
      </c>
      <c r="R14" s="178">
        <v>0</v>
      </c>
      <c r="S14" s="178">
        <v>0</v>
      </c>
      <c r="T14" s="178">
        <v>0</v>
      </c>
      <c r="U14" s="178">
        <v>0</v>
      </c>
      <c r="V14" s="178">
        <v>0</v>
      </c>
      <c r="W14" s="178">
        <v>0</v>
      </c>
      <c r="X14" s="178">
        <v>0</v>
      </c>
      <c r="Y14" s="178">
        <v>0</v>
      </c>
      <c r="Z14" s="178">
        <v>0</v>
      </c>
      <c r="AA14" s="178">
        <v>0</v>
      </c>
      <c r="AB14" s="178">
        <v>0</v>
      </c>
      <c r="AC14" s="178">
        <v>3900</v>
      </c>
      <c r="AD14" s="178">
        <v>3980</v>
      </c>
      <c r="AE14" s="178">
        <v>4680</v>
      </c>
      <c r="AF14" s="178">
        <v>4335</v>
      </c>
      <c r="AG14" s="178">
        <v>4590</v>
      </c>
      <c r="AH14" s="178">
        <v>5290</v>
      </c>
      <c r="AI14" s="178">
        <v>6000</v>
      </c>
      <c r="AJ14" s="178">
        <v>6350</v>
      </c>
      <c r="AK14" s="178">
        <v>6870</v>
      </c>
      <c r="AL14" s="178">
        <v>7520</v>
      </c>
      <c r="AM14" s="178">
        <v>6940</v>
      </c>
      <c r="AN14" s="178">
        <v>6000</v>
      </c>
      <c r="AO14" s="178">
        <v>5800</v>
      </c>
      <c r="AP14" s="178">
        <v>5800</v>
      </c>
      <c r="AQ14" s="178">
        <v>5860</v>
      </c>
      <c r="AR14" s="178">
        <v>6650</v>
      </c>
      <c r="AS14" s="178">
        <v>7110</v>
      </c>
      <c r="AT14" s="178">
        <v>6870</v>
      </c>
      <c r="AU14" s="178">
        <v>6100</v>
      </c>
      <c r="AV14" s="178">
        <v>6170</v>
      </c>
      <c r="AW14" s="178">
        <v>5900</v>
      </c>
      <c r="AX14" s="178">
        <v>5700</v>
      </c>
      <c r="AY14" s="178">
        <v>5630</v>
      </c>
      <c r="AZ14" s="178">
        <v>5500</v>
      </c>
      <c r="BA14" s="178">
        <v>5190</v>
      </c>
      <c r="BB14" s="178">
        <v>5930</v>
      </c>
      <c r="BC14" s="178">
        <v>5810</v>
      </c>
      <c r="BD14" s="178">
        <v>5610</v>
      </c>
      <c r="BE14" s="178">
        <v>5650</v>
      </c>
      <c r="BF14" s="178">
        <v>5450</v>
      </c>
      <c r="BG14" s="178">
        <v>5160</v>
      </c>
      <c r="BH14" s="178">
        <v>5170</v>
      </c>
      <c r="BI14" s="178">
        <v>4900</v>
      </c>
      <c r="BJ14" s="178">
        <v>5570</v>
      </c>
      <c r="BK14" s="178">
        <v>5400</v>
      </c>
      <c r="BL14" s="178">
        <v>5870</v>
      </c>
      <c r="BM14" s="178">
        <v>5680</v>
      </c>
      <c r="BN14" s="178">
        <v>5630</v>
      </c>
      <c r="BO14" s="178">
        <v>5460</v>
      </c>
      <c r="BP14" s="178">
        <v>5570</v>
      </c>
      <c r="BQ14" s="178">
        <v>5400</v>
      </c>
      <c r="BR14" s="178">
        <v>5650</v>
      </c>
      <c r="BS14" s="178">
        <v>5440</v>
      </c>
      <c r="BT14" s="178">
        <v>5710</v>
      </c>
      <c r="BU14" s="178">
        <v>5640</v>
      </c>
      <c r="BV14" s="178">
        <v>5780</v>
      </c>
      <c r="BW14" s="178">
        <v>5570</v>
      </c>
      <c r="BX14" s="178">
        <v>5800</v>
      </c>
      <c r="BY14" s="178">
        <v>5720</v>
      </c>
      <c r="BZ14" s="178">
        <v>5960</v>
      </c>
      <c r="CA14" s="178">
        <v>6230</v>
      </c>
      <c r="CB14" s="178">
        <v>6110</v>
      </c>
      <c r="CC14" s="178">
        <v>6350</v>
      </c>
      <c r="CD14" s="178">
        <v>6280</v>
      </c>
      <c r="CE14" s="178">
        <v>6120</v>
      </c>
      <c r="CF14" s="178">
        <v>5610</v>
      </c>
      <c r="CG14" s="178">
        <v>5640</v>
      </c>
      <c r="CH14" s="178">
        <v>5620</v>
      </c>
      <c r="CI14" s="178">
        <v>5860</v>
      </c>
      <c r="CJ14" s="178">
        <v>5840</v>
      </c>
      <c r="CK14" s="178">
        <v>6120</v>
      </c>
      <c r="CL14" s="178">
        <v>5910</v>
      </c>
      <c r="CM14" s="178">
        <v>6100</v>
      </c>
      <c r="CN14" s="178">
        <v>5970</v>
      </c>
      <c r="CO14" s="178">
        <v>5950</v>
      </c>
      <c r="CP14" s="178">
        <v>5890</v>
      </c>
      <c r="CQ14" s="178">
        <v>5450</v>
      </c>
      <c r="CR14" s="178">
        <v>5650</v>
      </c>
      <c r="CS14" s="178">
        <v>5710</v>
      </c>
      <c r="CT14" s="178">
        <v>5600</v>
      </c>
      <c r="CU14" s="178">
        <v>5460</v>
      </c>
      <c r="CV14" s="178">
        <v>5450</v>
      </c>
      <c r="CW14" s="178">
        <v>5210</v>
      </c>
      <c r="CX14" s="178">
        <v>5180</v>
      </c>
      <c r="CY14" s="178">
        <v>5130</v>
      </c>
      <c r="CZ14" s="178">
        <v>5010</v>
      </c>
      <c r="DA14" s="178">
        <v>5140</v>
      </c>
      <c r="DB14" s="178">
        <v>5170</v>
      </c>
      <c r="DC14" s="178">
        <v>5070</v>
      </c>
      <c r="DD14" s="178">
        <v>5180</v>
      </c>
      <c r="DE14" s="178">
        <v>5330</v>
      </c>
      <c r="DF14" s="178">
        <v>5290</v>
      </c>
      <c r="DG14" s="178">
        <v>5680</v>
      </c>
      <c r="DH14" s="178">
        <v>5860</v>
      </c>
      <c r="DI14" s="178">
        <v>5840</v>
      </c>
      <c r="DJ14" s="178">
        <v>5820</v>
      </c>
      <c r="DK14" s="178">
        <v>5880</v>
      </c>
      <c r="DL14" s="178">
        <v>5980</v>
      </c>
      <c r="DM14" s="178">
        <v>5870</v>
      </c>
      <c r="DN14" s="178">
        <v>5760</v>
      </c>
      <c r="DO14" s="178">
        <v>6320</v>
      </c>
      <c r="DP14" s="178">
        <v>6250</v>
      </c>
      <c r="DQ14" s="178">
        <v>6070</v>
      </c>
      <c r="DR14" s="178">
        <v>6070</v>
      </c>
      <c r="DS14" s="178">
        <v>5970</v>
      </c>
      <c r="DT14" s="178">
        <v>6100</v>
      </c>
      <c r="DU14" s="178">
        <v>6200</v>
      </c>
      <c r="DV14" s="178">
        <v>6370</v>
      </c>
      <c r="DW14" s="178">
        <v>6440</v>
      </c>
      <c r="DX14" s="178">
        <v>6530</v>
      </c>
      <c r="DY14" s="178">
        <v>6310</v>
      </c>
      <c r="DZ14" s="178">
        <v>6260</v>
      </c>
      <c r="EA14" s="178">
        <v>6380</v>
      </c>
      <c r="EB14" s="178">
        <v>6200</v>
      </c>
      <c r="EC14" s="178">
        <v>5920</v>
      </c>
      <c r="ED14" s="178">
        <v>6000</v>
      </c>
      <c r="EE14" s="178">
        <v>5910</v>
      </c>
      <c r="EF14" s="178">
        <v>6040</v>
      </c>
      <c r="EG14" s="178">
        <v>5860</v>
      </c>
      <c r="EH14" s="178">
        <v>5920</v>
      </c>
    </row>
    <row r="15" spans="1:138" x14ac:dyDescent="0.25">
      <c r="A15" s="49" t="str">
        <f>IPO監視一覧!H12</f>
        <v>D</v>
      </c>
      <c r="B15" s="49" t="str">
        <f>IPO監視一覧!B12</f>
        <v>キュービーネットHD</v>
      </c>
      <c r="C15" s="177">
        <f>株価一覧!E14</f>
        <v>2292</v>
      </c>
      <c r="D15" s="105">
        <f t="shared" ca="1" si="4"/>
        <v>2262</v>
      </c>
      <c r="E15" s="177">
        <f t="shared" ca="1" si="1"/>
        <v>2235.1333333333332</v>
      </c>
      <c r="F15" s="110">
        <f t="shared" ca="1" si="2"/>
        <v>2164</v>
      </c>
      <c r="G15" s="178">
        <v>0</v>
      </c>
      <c r="H15" s="178">
        <v>0</v>
      </c>
      <c r="I15" s="178">
        <v>0</v>
      </c>
      <c r="J15" s="178">
        <v>0</v>
      </c>
      <c r="K15" s="178">
        <v>0</v>
      </c>
      <c r="L15" s="178">
        <v>0</v>
      </c>
      <c r="M15" s="178">
        <v>0</v>
      </c>
      <c r="N15" s="178">
        <v>0</v>
      </c>
      <c r="O15" s="178">
        <v>0</v>
      </c>
      <c r="P15" s="178">
        <v>0</v>
      </c>
      <c r="Q15" s="178">
        <v>0</v>
      </c>
      <c r="R15" s="178">
        <v>0</v>
      </c>
      <c r="S15" s="178">
        <v>0</v>
      </c>
      <c r="T15" s="178">
        <v>0</v>
      </c>
      <c r="U15" s="178">
        <v>0</v>
      </c>
      <c r="V15" s="178">
        <v>0</v>
      </c>
      <c r="W15" s="178">
        <v>0</v>
      </c>
      <c r="X15" s="178">
        <v>0</v>
      </c>
      <c r="Y15" s="178">
        <v>0</v>
      </c>
      <c r="Z15" s="178">
        <v>0</v>
      </c>
      <c r="AA15" s="178">
        <v>0</v>
      </c>
      <c r="AB15" s="178">
        <v>0</v>
      </c>
      <c r="AC15" s="178">
        <v>0</v>
      </c>
      <c r="AD15" s="178">
        <v>2225</v>
      </c>
      <c r="AE15" s="178">
        <v>2220</v>
      </c>
      <c r="AF15" s="178">
        <v>2140</v>
      </c>
      <c r="AG15" s="178">
        <v>2011</v>
      </c>
      <c r="AH15" s="178">
        <v>1980</v>
      </c>
      <c r="AI15" s="178">
        <v>2080</v>
      </c>
      <c r="AJ15" s="178">
        <v>2113</v>
      </c>
      <c r="AK15" s="178">
        <v>2160</v>
      </c>
      <c r="AL15" s="178">
        <v>2160</v>
      </c>
      <c r="AM15" s="178">
        <v>2119</v>
      </c>
      <c r="AN15" s="178">
        <v>2219</v>
      </c>
      <c r="AO15" s="178">
        <v>2225</v>
      </c>
      <c r="AP15" s="178">
        <v>2210</v>
      </c>
      <c r="AQ15" s="178">
        <v>2241</v>
      </c>
      <c r="AR15" s="178">
        <v>2207</v>
      </c>
      <c r="AS15" s="178">
        <v>2195</v>
      </c>
      <c r="AT15" s="178">
        <v>2216</v>
      </c>
      <c r="AU15" s="178">
        <v>2193</v>
      </c>
      <c r="AV15" s="178">
        <v>2187</v>
      </c>
      <c r="AW15" s="178">
        <v>2140</v>
      </c>
      <c r="AX15" s="178">
        <v>2105</v>
      </c>
      <c r="AY15" s="178">
        <v>2104</v>
      </c>
      <c r="AZ15" s="178">
        <v>2054</v>
      </c>
      <c r="BA15" s="178">
        <v>1957</v>
      </c>
      <c r="BB15" s="178">
        <v>1876</v>
      </c>
      <c r="BC15" s="178">
        <v>1934</v>
      </c>
      <c r="BD15" s="178">
        <v>1951</v>
      </c>
      <c r="BE15" s="178">
        <v>1952</v>
      </c>
      <c r="BF15" s="178">
        <v>1947</v>
      </c>
      <c r="BG15" s="178">
        <v>1924</v>
      </c>
      <c r="BH15" s="178">
        <v>1963</v>
      </c>
      <c r="BI15" s="178">
        <v>1896</v>
      </c>
      <c r="BJ15" s="178">
        <v>1829</v>
      </c>
      <c r="BK15" s="178">
        <v>1830</v>
      </c>
      <c r="BL15" s="178">
        <v>1828</v>
      </c>
      <c r="BM15" s="178">
        <v>1821</v>
      </c>
      <c r="BN15" s="178">
        <v>1800</v>
      </c>
      <c r="BO15" s="178">
        <v>1805</v>
      </c>
      <c r="BP15" s="178">
        <v>1778</v>
      </c>
      <c r="BQ15" s="178">
        <v>1700</v>
      </c>
      <c r="BR15" s="178">
        <v>1677</v>
      </c>
      <c r="BS15" s="178">
        <v>1736</v>
      </c>
      <c r="BT15" s="178">
        <v>1785</v>
      </c>
      <c r="BU15" s="178">
        <v>1733</v>
      </c>
      <c r="BV15" s="178">
        <v>1732</v>
      </c>
      <c r="BW15" s="178">
        <v>1824</v>
      </c>
      <c r="BX15" s="178">
        <v>1804</v>
      </c>
      <c r="BY15" s="178">
        <v>1843</v>
      </c>
      <c r="BZ15" s="178">
        <v>1808</v>
      </c>
      <c r="CA15" s="178">
        <v>1815</v>
      </c>
      <c r="CB15" s="178">
        <v>1797</v>
      </c>
      <c r="CC15" s="178">
        <v>1835</v>
      </c>
      <c r="CD15" s="178">
        <v>1845</v>
      </c>
      <c r="CE15" s="178">
        <v>1860</v>
      </c>
      <c r="CF15" s="178">
        <v>1877</v>
      </c>
      <c r="CG15" s="178">
        <v>1985</v>
      </c>
      <c r="CH15" s="178">
        <v>2039</v>
      </c>
      <c r="CI15" s="178">
        <v>2040</v>
      </c>
      <c r="CJ15" s="178">
        <v>2084</v>
      </c>
      <c r="CK15" s="178">
        <v>2074</v>
      </c>
      <c r="CL15" s="178">
        <v>2062</v>
      </c>
      <c r="CM15" s="178">
        <v>2111</v>
      </c>
      <c r="CN15" s="178">
        <v>2050</v>
      </c>
      <c r="CO15" s="178">
        <v>1946</v>
      </c>
      <c r="CP15" s="178">
        <v>2050</v>
      </c>
      <c r="CQ15" s="178">
        <v>1917</v>
      </c>
      <c r="CR15" s="178">
        <v>2047</v>
      </c>
      <c r="CS15" s="178">
        <v>2057</v>
      </c>
      <c r="CT15" s="178">
        <v>2047</v>
      </c>
      <c r="CU15" s="178">
        <v>2036</v>
      </c>
      <c r="CV15" s="178">
        <v>2079</v>
      </c>
      <c r="CW15" s="178">
        <v>2251</v>
      </c>
      <c r="CX15" s="178">
        <v>2244</v>
      </c>
      <c r="CY15" s="178">
        <v>2239</v>
      </c>
      <c r="CZ15" s="178">
        <v>2198</v>
      </c>
      <c r="DA15" s="178">
        <v>2139</v>
      </c>
      <c r="DB15" s="178">
        <v>2191</v>
      </c>
      <c r="DC15" s="178">
        <v>2136</v>
      </c>
      <c r="DD15" s="178">
        <v>2146</v>
      </c>
      <c r="DE15" s="178">
        <v>2067</v>
      </c>
      <c r="DF15" s="178">
        <v>2055</v>
      </c>
      <c r="DG15" s="178">
        <v>2060</v>
      </c>
      <c r="DH15" s="178">
        <v>2060</v>
      </c>
      <c r="DI15" s="178">
        <v>2094</v>
      </c>
      <c r="DJ15" s="178">
        <v>2060</v>
      </c>
      <c r="DK15" s="178">
        <v>2051</v>
      </c>
      <c r="DL15" s="178">
        <v>2080</v>
      </c>
      <c r="DM15" s="178">
        <v>2111</v>
      </c>
      <c r="DN15" s="178">
        <v>1993</v>
      </c>
      <c r="DO15" s="178">
        <v>2208</v>
      </c>
      <c r="DP15" s="178">
        <v>2214</v>
      </c>
      <c r="DQ15" s="178">
        <v>2250</v>
      </c>
      <c r="DR15" s="178">
        <v>2166</v>
      </c>
      <c r="DS15" s="178">
        <v>2169</v>
      </c>
      <c r="DT15" s="178">
        <v>2100</v>
      </c>
      <c r="DU15" s="178">
        <v>2164</v>
      </c>
      <c r="DV15" s="178">
        <v>2215</v>
      </c>
      <c r="DW15" s="178">
        <v>2184</v>
      </c>
      <c r="DX15" s="178">
        <v>2240</v>
      </c>
      <c r="DY15" s="178">
        <v>2256</v>
      </c>
      <c r="DZ15" s="178">
        <v>2260</v>
      </c>
      <c r="EA15" s="178">
        <v>2275</v>
      </c>
      <c r="EB15" s="178">
        <v>2261</v>
      </c>
      <c r="EC15" s="178">
        <v>2262</v>
      </c>
      <c r="ED15" s="178">
        <v>2230</v>
      </c>
      <c r="EE15" s="178">
        <v>2230</v>
      </c>
      <c r="EF15" s="178">
        <v>2280</v>
      </c>
      <c r="EG15" s="178">
        <v>2278</v>
      </c>
      <c r="EH15" s="178">
        <v>2292</v>
      </c>
    </row>
    <row r="16" spans="1:138" x14ac:dyDescent="0.25">
      <c r="A16" s="49" t="str">
        <f>IPO監視一覧!H13</f>
        <v>B</v>
      </c>
      <c r="B16" s="49" t="str">
        <f>IPO監視一覧!B13</f>
        <v>ファイバーゲート</v>
      </c>
      <c r="C16" s="177">
        <f>株価一覧!E15</f>
        <v>1758</v>
      </c>
      <c r="D16" s="105">
        <f t="shared" ca="1" si="4"/>
        <v>1716.4</v>
      </c>
      <c r="E16" s="177">
        <f t="shared" ca="1" si="1"/>
        <v>2382.1333333333332</v>
      </c>
      <c r="F16" s="110">
        <f t="shared" ca="1" si="2"/>
        <v>1673</v>
      </c>
      <c r="G16" s="178">
        <v>0</v>
      </c>
      <c r="H16" s="178">
        <v>0</v>
      </c>
      <c r="I16" s="178">
        <v>0</v>
      </c>
      <c r="J16" s="178">
        <v>0</v>
      </c>
      <c r="K16" s="178">
        <v>0</v>
      </c>
      <c r="L16" s="178">
        <v>0</v>
      </c>
      <c r="M16" s="178">
        <v>0</v>
      </c>
      <c r="N16" s="178">
        <v>0</v>
      </c>
      <c r="O16" s="178">
        <v>0</v>
      </c>
      <c r="P16" s="178">
        <v>0</v>
      </c>
      <c r="Q16" s="178">
        <v>0</v>
      </c>
      <c r="R16" s="178">
        <v>0</v>
      </c>
      <c r="S16" s="178">
        <v>0</v>
      </c>
      <c r="T16" s="178">
        <v>0</v>
      </c>
      <c r="U16" s="178">
        <v>0</v>
      </c>
      <c r="V16" s="178">
        <v>0</v>
      </c>
      <c r="W16" s="178">
        <v>0</v>
      </c>
      <c r="X16" s="178">
        <v>0</v>
      </c>
      <c r="Y16" s="178">
        <v>0</v>
      </c>
      <c r="Z16" s="178">
        <v>0</v>
      </c>
      <c r="AA16" s="178">
        <v>0</v>
      </c>
      <c r="AB16" s="178">
        <v>0</v>
      </c>
      <c r="AC16" s="178">
        <v>0</v>
      </c>
      <c r="AD16" s="178">
        <v>0</v>
      </c>
      <c r="AE16" s="178">
        <v>2221</v>
      </c>
      <c r="AF16" s="178">
        <v>2721</v>
      </c>
      <c r="AG16" s="178">
        <v>2480</v>
      </c>
      <c r="AH16" s="178">
        <v>2513</v>
      </c>
      <c r="AI16" s="178">
        <v>3005</v>
      </c>
      <c r="AJ16" s="178">
        <v>2871</v>
      </c>
      <c r="AK16" s="178">
        <v>3150</v>
      </c>
      <c r="AL16" s="178">
        <v>3195</v>
      </c>
      <c r="AM16" s="178">
        <v>3175</v>
      </c>
      <c r="AN16" s="178">
        <v>2700</v>
      </c>
      <c r="AO16" s="178">
        <v>2452</v>
      </c>
      <c r="AP16" s="178">
        <v>2309</v>
      </c>
      <c r="AQ16" s="178">
        <v>2372</v>
      </c>
      <c r="AR16" s="178">
        <v>2210</v>
      </c>
      <c r="AS16" s="178">
        <v>2223</v>
      </c>
      <c r="AT16" s="178">
        <v>2366</v>
      </c>
      <c r="AU16" s="178">
        <v>2441</v>
      </c>
      <c r="AV16" s="178">
        <v>2433</v>
      </c>
      <c r="AW16" s="178">
        <v>2363</v>
      </c>
      <c r="AX16" s="178">
        <v>2287</v>
      </c>
      <c r="AY16" s="178">
        <v>2217</v>
      </c>
      <c r="AZ16" s="178">
        <v>2231</v>
      </c>
      <c r="BA16" s="178">
        <v>2210</v>
      </c>
      <c r="BB16" s="178">
        <v>2355</v>
      </c>
      <c r="BC16" s="178">
        <v>2390</v>
      </c>
      <c r="BD16" s="178">
        <v>2508</v>
      </c>
      <c r="BE16" s="178">
        <v>2614</v>
      </c>
      <c r="BF16" s="178">
        <v>2384</v>
      </c>
      <c r="BG16" s="178">
        <v>2370</v>
      </c>
      <c r="BH16" s="178">
        <v>2448</v>
      </c>
      <c r="BI16" s="178">
        <v>2749</v>
      </c>
      <c r="BJ16" s="178">
        <v>2835</v>
      </c>
      <c r="BK16" s="178">
        <v>2698</v>
      </c>
      <c r="BL16" s="178">
        <v>3090</v>
      </c>
      <c r="BM16" s="178">
        <v>3050</v>
      </c>
      <c r="BN16" s="178">
        <v>3175</v>
      </c>
      <c r="BO16" s="178">
        <v>3240</v>
      </c>
      <c r="BP16" s="178">
        <v>3305</v>
      </c>
      <c r="BQ16" s="178">
        <v>3175</v>
      </c>
      <c r="BR16" s="178">
        <v>3110</v>
      </c>
      <c r="BS16" s="178">
        <v>3180</v>
      </c>
      <c r="BT16" s="178">
        <v>3440</v>
      </c>
      <c r="BU16" s="178">
        <v>3425</v>
      </c>
      <c r="BV16" s="178">
        <v>3740</v>
      </c>
      <c r="BW16" s="178">
        <v>3515</v>
      </c>
      <c r="BX16" s="178">
        <v>3675</v>
      </c>
      <c r="BY16" s="178">
        <v>3500</v>
      </c>
      <c r="BZ16" s="178">
        <v>3440</v>
      </c>
      <c r="CA16" s="178">
        <v>3595</v>
      </c>
      <c r="CB16" s="178">
        <v>3710</v>
      </c>
      <c r="CC16" s="178">
        <v>4060</v>
      </c>
      <c r="CD16" s="178">
        <v>4065</v>
      </c>
      <c r="CE16" s="178">
        <v>3965</v>
      </c>
      <c r="CF16" s="178">
        <v>3940</v>
      </c>
      <c r="CG16" s="178">
        <v>4150</v>
      </c>
      <c r="CH16" s="178">
        <v>4120</v>
      </c>
      <c r="CI16" s="178">
        <v>4280</v>
      </c>
      <c r="CJ16" s="178">
        <v>4005</v>
      </c>
      <c r="CK16" s="178">
        <v>4045</v>
      </c>
      <c r="CL16" s="178">
        <v>3855</v>
      </c>
      <c r="CM16" s="178">
        <v>3555</v>
      </c>
      <c r="CN16" s="178">
        <v>3455</v>
      </c>
      <c r="CO16" s="178">
        <v>3490</v>
      </c>
      <c r="CP16" s="178">
        <v>3470</v>
      </c>
      <c r="CQ16" s="178">
        <v>3425</v>
      </c>
      <c r="CR16" s="178">
        <v>3555</v>
      </c>
      <c r="CS16" s="178">
        <v>3500</v>
      </c>
      <c r="CT16" s="178">
        <v>3370</v>
      </c>
      <c r="CU16" s="178">
        <v>3260</v>
      </c>
      <c r="CV16" s="178">
        <v>3345</v>
      </c>
      <c r="CW16" s="178">
        <v>3430</v>
      </c>
      <c r="CX16" s="178">
        <v>3405</v>
      </c>
      <c r="CY16" s="178">
        <v>3515</v>
      </c>
      <c r="CZ16" s="178">
        <v>3370</v>
      </c>
      <c r="DA16" s="178">
        <v>3405</v>
      </c>
      <c r="DB16" s="178">
        <v>3585</v>
      </c>
      <c r="DC16" s="178">
        <v>3880</v>
      </c>
      <c r="DD16" s="178">
        <v>4070</v>
      </c>
      <c r="DE16" s="178">
        <v>4330</v>
      </c>
      <c r="DF16" s="178">
        <v>4225</v>
      </c>
      <c r="DG16" s="178">
        <v>4135</v>
      </c>
      <c r="DH16" s="178">
        <v>4220</v>
      </c>
      <c r="DI16" s="178">
        <v>4235</v>
      </c>
      <c r="DJ16" s="178">
        <v>3870</v>
      </c>
      <c r="DK16" s="178">
        <v>3910</v>
      </c>
      <c r="DL16" s="178">
        <v>4000</v>
      </c>
      <c r="DM16" s="178">
        <v>3955</v>
      </c>
      <c r="DN16" s="178">
        <v>3290</v>
      </c>
      <c r="DO16" s="178">
        <v>3220</v>
      </c>
      <c r="DP16" s="178">
        <v>3075</v>
      </c>
      <c r="DQ16" s="178">
        <v>3060</v>
      </c>
      <c r="DR16" s="178">
        <v>3200</v>
      </c>
      <c r="DS16" s="178">
        <v>3065</v>
      </c>
      <c r="DT16" s="178">
        <v>2994</v>
      </c>
      <c r="DU16" s="178">
        <v>3095</v>
      </c>
      <c r="DV16" s="178">
        <v>3230</v>
      </c>
      <c r="DW16" s="178">
        <v>3505</v>
      </c>
      <c r="DX16" s="178">
        <v>3515</v>
      </c>
      <c r="DY16" s="178">
        <v>3510</v>
      </c>
      <c r="DZ16" s="178">
        <v>1833</v>
      </c>
      <c r="EA16" s="178">
        <v>1870</v>
      </c>
      <c r="EB16" s="178">
        <v>1854</v>
      </c>
      <c r="EC16" s="178">
        <v>1744</v>
      </c>
      <c r="ED16" s="178">
        <v>1738</v>
      </c>
      <c r="EE16" s="178">
        <v>1710</v>
      </c>
      <c r="EF16" s="178">
        <v>1673</v>
      </c>
      <c r="EG16" s="178">
        <v>1703</v>
      </c>
      <c r="EH16" s="178">
        <v>1758</v>
      </c>
    </row>
    <row r="17" spans="1:138" x14ac:dyDescent="0.25">
      <c r="A17" s="49" t="str">
        <f>IPO監視一覧!H14</f>
        <v>B</v>
      </c>
      <c r="B17" s="49" t="str">
        <f>IPO監視一覧!B14</f>
        <v>ＲＰＡHD</v>
      </c>
      <c r="C17" s="177">
        <f>株価一覧!E16</f>
        <v>12510</v>
      </c>
      <c r="D17" s="105">
        <f t="shared" ca="1" si="4"/>
        <v>13072</v>
      </c>
      <c r="E17" s="177">
        <f t="shared" ca="1" si="1"/>
        <v>12985.333333333334</v>
      </c>
      <c r="F17" s="110">
        <f t="shared" ca="1" si="2"/>
        <v>12030</v>
      </c>
      <c r="G17" s="178">
        <v>0</v>
      </c>
      <c r="H17" s="178">
        <v>0</v>
      </c>
      <c r="I17" s="178">
        <v>0</v>
      </c>
      <c r="J17" s="178">
        <v>0</v>
      </c>
      <c r="K17" s="178">
        <v>0</v>
      </c>
      <c r="L17" s="178">
        <v>0</v>
      </c>
      <c r="M17" s="178">
        <v>0</v>
      </c>
      <c r="N17" s="178">
        <v>0</v>
      </c>
      <c r="O17" s="178">
        <v>0</v>
      </c>
      <c r="P17" s="178">
        <v>0</v>
      </c>
      <c r="Q17" s="178">
        <v>0</v>
      </c>
      <c r="R17" s="178">
        <v>0</v>
      </c>
      <c r="S17" s="178">
        <v>0</v>
      </c>
      <c r="T17" s="178">
        <v>0</v>
      </c>
      <c r="U17" s="178">
        <v>0</v>
      </c>
      <c r="V17" s="178">
        <v>0</v>
      </c>
      <c r="W17" s="178">
        <v>0</v>
      </c>
      <c r="X17" s="178">
        <v>0</v>
      </c>
      <c r="Y17" s="178">
        <v>0</v>
      </c>
      <c r="Z17" s="178">
        <v>0</v>
      </c>
      <c r="AA17" s="178">
        <v>0</v>
      </c>
      <c r="AB17" s="178">
        <v>0</v>
      </c>
      <c r="AC17" s="178">
        <v>0</v>
      </c>
      <c r="AD17" s="178">
        <v>0</v>
      </c>
      <c r="AE17" s="178">
        <v>0</v>
      </c>
      <c r="AF17" s="178">
        <v>0</v>
      </c>
      <c r="AG17" s="178">
        <v>16440</v>
      </c>
      <c r="AH17" s="178">
        <v>15300</v>
      </c>
      <c r="AI17" s="178">
        <v>15390</v>
      </c>
      <c r="AJ17" s="178">
        <v>15930</v>
      </c>
      <c r="AK17" s="178">
        <v>18670</v>
      </c>
      <c r="AL17" s="178">
        <v>18500</v>
      </c>
      <c r="AM17" s="178">
        <v>19950</v>
      </c>
      <c r="AN17" s="178">
        <v>18630</v>
      </c>
      <c r="AO17" s="178">
        <v>17270</v>
      </c>
      <c r="AP17" s="178">
        <v>16780</v>
      </c>
      <c r="AQ17" s="178">
        <v>16810</v>
      </c>
      <c r="AR17" s="178">
        <v>16000</v>
      </c>
      <c r="AS17" s="178">
        <v>16110</v>
      </c>
      <c r="AT17" s="178">
        <v>17600</v>
      </c>
      <c r="AU17" s="178">
        <v>17400</v>
      </c>
      <c r="AV17" s="178">
        <v>16620</v>
      </c>
      <c r="AW17" s="178">
        <v>16300</v>
      </c>
      <c r="AX17" s="178">
        <v>17500</v>
      </c>
      <c r="AY17" s="178">
        <v>17170</v>
      </c>
      <c r="AZ17" s="178">
        <v>16420</v>
      </c>
      <c r="BA17" s="178">
        <v>16210</v>
      </c>
      <c r="BB17" s="178">
        <v>16100</v>
      </c>
      <c r="BC17" s="178">
        <v>15700</v>
      </c>
      <c r="BD17" s="178">
        <v>15040</v>
      </c>
      <c r="BE17" s="178">
        <v>14380</v>
      </c>
      <c r="BF17" s="178">
        <v>14450</v>
      </c>
      <c r="BG17" s="178">
        <v>14020</v>
      </c>
      <c r="BH17" s="178">
        <v>14050</v>
      </c>
      <c r="BI17" s="178">
        <v>14170</v>
      </c>
      <c r="BJ17" s="178">
        <v>15460</v>
      </c>
      <c r="BK17" s="178">
        <v>15800</v>
      </c>
      <c r="BL17" s="178">
        <v>15520</v>
      </c>
      <c r="BM17" s="178">
        <v>16110</v>
      </c>
      <c r="BN17" s="178">
        <v>15700</v>
      </c>
      <c r="BO17" s="178">
        <v>15290</v>
      </c>
      <c r="BP17" s="178">
        <v>15220</v>
      </c>
      <c r="BQ17" s="178">
        <v>15170</v>
      </c>
      <c r="BR17" s="178">
        <v>14430</v>
      </c>
      <c r="BS17" s="178">
        <v>14390</v>
      </c>
      <c r="BT17" s="178">
        <v>14760</v>
      </c>
      <c r="BU17" s="178">
        <v>14560</v>
      </c>
      <c r="BV17" s="178">
        <v>14150</v>
      </c>
      <c r="BW17" s="178">
        <v>14070</v>
      </c>
      <c r="BX17" s="178">
        <v>13760</v>
      </c>
      <c r="BY17" s="178">
        <v>13800</v>
      </c>
      <c r="BZ17" s="178">
        <v>14250</v>
      </c>
      <c r="CA17" s="178">
        <v>14000</v>
      </c>
      <c r="CB17" s="178">
        <v>15050</v>
      </c>
      <c r="CC17" s="178">
        <v>15200</v>
      </c>
      <c r="CD17" s="178">
        <v>14990</v>
      </c>
      <c r="CE17" s="178">
        <v>14340</v>
      </c>
      <c r="CF17" s="178">
        <v>14000</v>
      </c>
      <c r="CG17" s="178">
        <v>13960</v>
      </c>
      <c r="CH17" s="178">
        <v>13960</v>
      </c>
      <c r="CI17" s="178">
        <v>13830</v>
      </c>
      <c r="CJ17" s="178">
        <v>12900</v>
      </c>
      <c r="CK17" s="178">
        <v>12450</v>
      </c>
      <c r="CL17" s="178">
        <v>12420</v>
      </c>
      <c r="CM17" s="178">
        <v>12940</v>
      </c>
      <c r="CN17" s="178">
        <v>12900</v>
      </c>
      <c r="CO17" s="178">
        <v>13000</v>
      </c>
      <c r="CP17" s="178">
        <v>13020</v>
      </c>
      <c r="CQ17" s="178">
        <v>12910</v>
      </c>
      <c r="CR17" s="178">
        <v>12610</v>
      </c>
      <c r="CS17" s="178">
        <v>13010</v>
      </c>
      <c r="CT17" s="178">
        <v>12830</v>
      </c>
      <c r="CU17" s="178">
        <v>12860</v>
      </c>
      <c r="CV17" s="178">
        <v>13240</v>
      </c>
      <c r="CW17" s="178">
        <v>12720</v>
      </c>
      <c r="CX17" s="178">
        <v>12400</v>
      </c>
      <c r="CY17" s="178">
        <v>12600</v>
      </c>
      <c r="CZ17" s="178">
        <v>12440</v>
      </c>
      <c r="DA17" s="178">
        <v>11600</v>
      </c>
      <c r="DB17" s="178">
        <v>11460</v>
      </c>
      <c r="DC17" s="178">
        <v>11390</v>
      </c>
      <c r="DD17" s="178">
        <v>11380</v>
      </c>
      <c r="DE17" s="178">
        <v>11850</v>
      </c>
      <c r="DF17" s="178">
        <v>11390</v>
      </c>
      <c r="DG17" s="178">
        <v>11250</v>
      </c>
      <c r="DH17" s="178">
        <v>11280</v>
      </c>
      <c r="DI17" s="178">
        <v>11700</v>
      </c>
      <c r="DJ17" s="178">
        <v>11410</v>
      </c>
      <c r="DK17" s="178">
        <v>11530</v>
      </c>
      <c r="DL17" s="178">
        <v>11770</v>
      </c>
      <c r="DM17" s="178">
        <v>11640</v>
      </c>
      <c r="DN17" s="178">
        <v>11230</v>
      </c>
      <c r="DO17" s="178">
        <v>11730</v>
      </c>
      <c r="DP17" s="178">
        <v>11510</v>
      </c>
      <c r="DQ17" s="178">
        <v>11640</v>
      </c>
      <c r="DR17" s="178">
        <v>12330</v>
      </c>
      <c r="DS17" s="178">
        <v>12090</v>
      </c>
      <c r="DT17" s="178">
        <v>11710</v>
      </c>
      <c r="DU17" s="178">
        <v>12030</v>
      </c>
      <c r="DV17" s="178">
        <v>12380</v>
      </c>
      <c r="DW17" s="178">
        <v>12820</v>
      </c>
      <c r="DX17" s="178">
        <v>12900</v>
      </c>
      <c r="DY17" s="178">
        <v>13300</v>
      </c>
      <c r="DZ17" s="178">
        <v>13750</v>
      </c>
      <c r="EA17" s="178">
        <v>13270</v>
      </c>
      <c r="EB17" s="178">
        <v>13800</v>
      </c>
      <c r="EC17" s="178">
        <v>13460</v>
      </c>
      <c r="ED17" s="178">
        <v>13390</v>
      </c>
      <c r="EE17" s="178">
        <v>13080</v>
      </c>
      <c r="EF17" s="178">
        <v>13180</v>
      </c>
      <c r="EG17" s="178">
        <v>13200</v>
      </c>
      <c r="EH17" s="178">
        <v>12510</v>
      </c>
    </row>
    <row r="18" spans="1:138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77">
        <f>株価一覧!E17</f>
        <v>2370</v>
      </c>
      <c r="D18" s="105">
        <f t="shared" ca="1" si="4"/>
        <v>2457.1999999999998</v>
      </c>
      <c r="E18" s="177">
        <f t="shared" ca="1" si="1"/>
        <v>3864.8666666666668</v>
      </c>
      <c r="F18" s="110">
        <f t="shared" ca="1" si="2"/>
        <v>2048</v>
      </c>
      <c r="G18" s="178">
        <v>0</v>
      </c>
      <c r="H18" s="178">
        <v>0</v>
      </c>
      <c r="I18" s="178">
        <v>0</v>
      </c>
      <c r="J18" s="178">
        <v>0</v>
      </c>
      <c r="K18" s="178">
        <v>0</v>
      </c>
      <c r="L18" s="178">
        <v>0</v>
      </c>
      <c r="M18" s="178">
        <v>0</v>
      </c>
      <c r="N18" s="178">
        <v>0</v>
      </c>
      <c r="O18" s="178">
        <v>0</v>
      </c>
      <c r="P18" s="178">
        <v>0</v>
      </c>
      <c r="Q18" s="178">
        <v>0</v>
      </c>
      <c r="R18" s="178">
        <v>0</v>
      </c>
      <c r="S18" s="178">
        <v>0</v>
      </c>
      <c r="T18" s="178">
        <v>0</v>
      </c>
      <c r="U18" s="178">
        <v>0</v>
      </c>
      <c r="V18" s="178">
        <v>0</v>
      </c>
      <c r="W18" s="178">
        <v>0</v>
      </c>
      <c r="X18" s="178">
        <v>0</v>
      </c>
      <c r="Y18" s="178">
        <v>0</v>
      </c>
      <c r="Z18" s="178">
        <v>0</v>
      </c>
      <c r="AA18" s="178">
        <v>0</v>
      </c>
      <c r="AB18" s="178">
        <v>0</v>
      </c>
      <c r="AC18" s="178">
        <v>0</v>
      </c>
      <c r="AD18" s="178">
        <v>0</v>
      </c>
      <c r="AE18" s="178">
        <v>0</v>
      </c>
      <c r="AF18" s="178">
        <v>0</v>
      </c>
      <c r="AG18" s="178">
        <v>0</v>
      </c>
      <c r="AH18" s="178">
        <v>0</v>
      </c>
      <c r="AI18" s="178">
        <v>14550</v>
      </c>
      <c r="AJ18" s="178">
        <v>15110</v>
      </c>
      <c r="AK18" s="178">
        <v>14890</v>
      </c>
      <c r="AL18" s="178">
        <v>15000</v>
      </c>
      <c r="AM18" s="178">
        <v>16400</v>
      </c>
      <c r="AN18" s="178">
        <v>13990</v>
      </c>
      <c r="AO18" s="178">
        <v>14000</v>
      </c>
      <c r="AP18" s="178">
        <v>13270</v>
      </c>
      <c r="AQ18" s="178">
        <v>11580</v>
      </c>
      <c r="AR18" s="178">
        <v>10000</v>
      </c>
      <c r="AS18" s="178">
        <v>11770</v>
      </c>
      <c r="AT18" s="178">
        <v>11400</v>
      </c>
      <c r="AU18" s="178">
        <v>10800</v>
      </c>
      <c r="AV18" s="178">
        <v>11260</v>
      </c>
      <c r="AW18" s="178">
        <v>10820</v>
      </c>
      <c r="AX18" s="178">
        <v>10900</v>
      </c>
      <c r="AY18" s="178">
        <v>10030</v>
      </c>
      <c r="AZ18" s="178">
        <v>9150</v>
      </c>
      <c r="BA18" s="178">
        <v>9020</v>
      </c>
      <c r="BB18" s="178">
        <v>9530</v>
      </c>
      <c r="BC18" s="178">
        <v>8860</v>
      </c>
      <c r="BD18" s="178">
        <v>8460</v>
      </c>
      <c r="BE18" s="178">
        <v>8240</v>
      </c>
      <c r="BF18" s="178">
        <v>7870</v>
      </c>
      <c r="BG18" s="178">
        <v>7380</v>
      </c>
      <c r="BH18" s="178">
        <v>7800</v>
      </c>
      <c r="BI18" s="178">
        <v>8700</v>
      </c>
      <c r="BJ18" s="178">
        <v>8820</v>
      </c>
      <c r="BK18" s="178">
        <v>9050</v>
      </c>
      <c r="BL18" s="178">
        <v>9130</v>
      </c>
      <c r="BM18" s="178">
        <v>9310</v>
      </c>
      <c r="BN18" s="178">
        <v>9090</v>
      </c>
      <c r="BO18" s="178">
        <v>8910</v>
      </c>
      <c r="BP18" s="178">
        <v>9370</v>
      </c>
      <c r="BQ18" s="178">
        <v>10800</v>
      </c>
      <c r="BR18" s="178">
        <v>10650</v>
      </c>
      <c r="BS18" s="178">
        <v>10520</v>
      </c>
      <c r="BT18" s="178">
        <v>10950</v>
      </c>
      <c r="BU18" s="178">
        <v>10680</v>
      </c>
      <c r="BV18" s="178">
        <v>10060</v>
      </c>
      <c r="BW18" s="178">
        <v>9520</v>
      </c>
      <c r="BX18" s="178">
        <v>9630</v>
      </c>
      <c r="BY18" s="178">
        <v>9460</v>
      </c>
      <c r="BZ18" s="178">
        <v>9860</v>
      </c>
      <c r="CA18" s="178">
        <v>10080</v>
      </c>
      <c r="CB18" s="178">
        <v>9760</v>
      </c>
      <c r="CC18" s="178">
        <v>10250</v>
      </c>
      <c r="CD18" s="178">
        <v>10120</v>
      </c>
      <c r="CE18" s="178">
        <v>9910</v>
      </c>
      <c r="CF18" s="178">
        <v>9450</v>
      </c>
      <c r="CG18" s="178">
        <v>9510</v>
      </c>
      <c r="CH18" s="178">
        <v>9050</v>
      </c>
      <c r="CI18" s="178">
        <v>8510</v>
      </c>
      <c r="CJ18" s="178">
        <v>8000</v>
      </c>
      <c r="CK18" s="178">
        <v>7540</v>
      </c>
      <c r="CL18" s="178">
        <v>8330</v>
      </c>
      <c r="CM18" s="178">
        <v>8970</v>
      </c>
      <c r="CN18" s="178">
        <v>8230</v>
      </c>
      <c r="CO18" s="178">
        <v>8580</v>
      </c>
      <c r="CP18" s="178">
        <v>8570</v>
      </c>
      <c r="CQ18" s="178">
        <v>8420</v>
      </c>
      <c r="CR18" s="178">
        <v>8750</v>
      </c>
      <c r="CS18" s="178">
        <v>8720</v>
      </c>
      <c r="CT18" s="178">
        <v>8800</v>
      </c>
      <c r="CU18" s="178">
        <v>8430</v>
      </c>
      <c r="CV18" s="178">
        <v>8450</v>
      </c>
      <c r="CW18" s="178">
        <v>7880</v>
      </c>
      <c r="CX18" s="178">
        <v>7920</v>
      </c>
      <c r="CY18" s="178">
        <v>7620</v>
      </c>
      <c r="CZ18" s="178">
        <v>7560</v>
      </c>
      <c r="DA18" s="178">
        <v>7700</v>
      </c>
      <c r="DB18" s="178">
        <v>7770</v>
      </c>
      <c r="DC18" s="178">
        <v>7840</v>
      </c>
      <c r="DD18" s="178">
        <v>7790</v>
      </c>
      <c r="DE18" s="178">
        <v>7550</v>
      </c>
      <c r="DF18" s="178">
        <v>7150</v>
      </c>
      <c r="DG18" s="178">
        <v>7110</v>
      </c>
      <c r="DH18" s="178">
        <v>7040</v>
      </c>
      <c r="DI18" s="178">
        <v>6840</v>
      </c>
      <c r="DJ18" s="178">
        <v>6620</v>
      </c>
      <c r="DK18" s="178">
        <v>6750</v>
      </c>
      <c r="DL18" s="178">
        <v>6700</v>
      </c>
      <c r="DM18" s="178">
        <v>6680</v>
      </c>
      <c r="DN18" s="178">
        <v>7510</v>
      </c>
      <c r="DO18" s="178">
        <v>6990</v>
      </c>
      <c r="DP18" s="178">
        <v>6640</v>
      </c>
      <c r="DQ18" s="178">
        <v>6300</v>
      </c>
      <c r="DR18" s="178">
        <v>6370</v>
      </c>
      <c r="DS18" s="178">
        <v>6000</v>
      </c>
      <c r="DT18" s="178">
        <v>5850</v>
      </c>
      <c r="DU18" s="178">
        <v>5870</v>
      </c>
      <c r="DV18" s="178">
        <v>6040</v>
      </c>
      <c r="DW18" s="178">
        <v>6310</v>
      </c>
      <c r="DX18" s="178">
        <v>6200</v>
      </c>
      <c r="DY18" s="178">
        <v>6110</v>
      </c>
      <c r="DZ18" s="178">
        <v>2048</v>
      </c>
      <c r="EA18" s="178">
        <v>2420</v>
      </c>
      <c r="EB18" s="178">
        <v>2424</v>
      </c>
      <c r="EC18" s="178">
        <v>2415</v>
      </c>
      <c r="ED18" s="178">
        <v>2605</v>
      </c>
      <c r="EE18" s="178">
        <v>2581</v>
      </c>
      <c r="EF18" s="178">
        <v>2336</v>
      </c>
      <c r="EG18" s="178">
        <v>2394</v>
      </c>
      <c r="EH18" s="178">
        <v>2370</v>
      </c>
    </row>
    <row r="19" spans="1:138" x14ac:dyDescent="0.25">
      <c r="A19" s="49" t="str">
        <f>IPO監視一覧!H16</f>
        <v>B</v>
      </c>
      <c r="B19" s="49" t="str">
        <f>IPO監視一覧!B16</f>
        <v>アズ企画設計</v>
      </c>
      <c r="C19" s="177">
        <f>株価一覧!E18</f>
        <v>1932</v>
      </c>
      <c r="D19" s="105">
        <f t="shared" ca="1" si="4"/>
        <v>1911.4</v>
      </c>
      <c r="E19" s="177">
        <f t="shared" ca="1" si="1"/>
        <v>1979.9333333333334</v>
      </c>
      <c r="F19" s="110">
        <f t="shared" ca="1" si="2"/>
        <v>1880</v>
      </c>
      <c r="G19" s="178">
        <v>0</v>
      </c>
      <c r="H19" s="178">
        <v>0</v>
      </c>
      <c r="I19" s="178">
        <v>0</v>
      </c>
      <c r="J19" s="178">
        <v>0</v>
      </c>
      <c r="K19" s="178">
        <v>0</v>
      </c>
      <c r="L19" s="178">
        <v>0</v>
      </c>
      <c r="M19" s="178">
        <v>0</v>
      </c>
      <c r="N19" s="178">
        <v>0</v>
      </c>
      <c r="O19" s="178">
        <v>0</v>
      </c>
      <c r="P19" s="178">
        <v>0</v>
      </c>
      <c r="Q19" s="178">
        <v>0</v>
      </c>
      <c r="R19" s="178">
        <v>0</v>
      </c>
      <c r="S19" s="178">
        <v>0</v>
      </c>
      <c r="T19" s="178">
        <v>0</v>
      </c>
      <c r="U19" s="178">
        <v>0</v>
      </c>
      <c r="V19" s="178">
        <v>0</v>
      </c>
      <c r="W19" s="178">
        <v>0</v>
      </c>
      <c r="X19" s="178">
        <v>0</v>
      </c>
      <c r="Y19" s="178">
        <v>0</v>
      </c>
      <c r="Z19" s="178">
        <v>0</v>
      </c>
      <c r="AA19" s="178">
        <v>0</v>
      </c>
      <c r="AB19" s="178">
        <v>0</v>
      </c>
      <c r="AC19" s="178">
        <v>0</v>
      </c>
      <c r="AD19" s="178">
        <v>0</v>
      </c>
      <c r="AE19" s="178">
        <v>0</v>
      </c>
      <c r="AF19" s="178">
        <v>0</v>
      </c>
      <c r="AG19" s="178">
        <v>0</v>
      </c>
      <c r="AH19" s="178">
        <v>4670</v>
      </c>
      <c r="AI19" s="178">
        <v>4850</v>
      </c>
      <c r="AJ19" s="178">
        <v>4575</v>
      </c>
      <c r="AK19" s="178">
        <v>4420</v>
      </c>
      <c r="AL19" s="178">
        <v>4265</v>
      </c>
      <c r="AM19" s="178">
        <v>4365</v>
      </c>
      <c r="AN19" s="178">
        <v>4200</v>
      </c>
      <c r="AO19" s="178">
        <v>4010</v>
      </c>
      <c r="AP19" s="178">
        <v>3940</v>
      </c>
      <c r="AQ19" s="178">
        <v>4110</v>
      </c>
      <c r="AR19" s="178">
        <v>3410</v>
      </c>
      <c r="AS19" s="178">
        <v>3305</v>
      </c>
      <c r="AT19" s="178">
        <v>3590</v>
      </c>
      <c r="AU19" s="178">
        <v>3515</v>
      </c>
      <c r="AV19" s="178">
        <v>3625</v>
      </c>
      <c r="AW19" s="178">
        <v>3400</v>
      </c>
      <c r="AX19" s="178">
        <v>3275</v>
      </c>
      <c r="AY19" s="178">
        <v>3205</v>
      </c>
      <c r="AZ19" s="178">
        <v>3195</v>
      </c>
      <c r="BA19" s="178">
        <v>3170</v>
      </c>
      <c r="BB19" s="178">
        <v>3460</v>
      </c>
      <c r="BC19" s="178">
        <v>3300</v>
      </c>
      <c r="BD19" s="178">
        <v>3235</v>
      </c>
      <c r="BE19" s="178">
        <v>3130</v>
      </c>
      <c r="BF19" s="178">
        <v>3305</v>
      </c>
      <c r="BG19" s="178">
        <v>3355</v>
      </c>
      <c r="BH19" s="178">
        <v>3260</v>
      </c>
      <c r="BI19" s="178">
        <v>3185</v>
      </c>
      <c r="BJ19" s="178">
        <v>3300</v>
      </c>
      <c r="BK19" s="178">
        <v>3465</v>
      </c>
      <c r="BL19" s="178">
        <v>3690</v>
      </c>
      <c r="BM19" s="178">
        <v>3865</v>
      </c>
      <c r="BN19" s="178">
        <v>4070</v>
      </c>
      <c r="BO19" s="178">
        <v>4230</v>
      </c>
      <c r="BP19" s="178">
        <v>4205</v>
      </c>
      <c r="BQ19" s="178">
        <v>3980</v>
      </c>
      <c r="BR19" s="178">
        <v>4130</v>
      </c>
      <c r="BS19" s="178">
        <v>3925</v>
      </c>
      <c r="BT19" s="178">
        <v>4000</v>
      </c>
      <c r="BU19" s="178">
        <v>4030</v>
      </c>
      <c r="BV19" s="178">
        <v>3925</v>
      </c>
      <c r="BW19" s="178">
        <v>3825</v>
      </c>
      <c r="BX19" s="178">
        <v>3625</v>
      </c>
      <c r="BY19" s="178">
        <v>3790</v>
      </c>
      <c r="BZ19" s="178">
        <v>3800</v>
      </c>
      <c r="CA19" s="178">
        <v>4120</v>
      </c>
      <c r="CB19" s="178">
        <v>4060</v>
      </c>
      <c r="CC19" s="178">
        <v>4055</v>
      </c>
      <c r="CD19" s="178">
        <v>3950</v>
      </c>
      <c r="CE19" s="178">
        <v>3785</v>
      </c>
      <c r="CF19" s="178">
        <v>3500</v>
      </c>
      <c r="CG19" s="178">
        <v>3345</v>
      </c>
      <c r="CH19" s="178">
        <v>3385</v>
      </c>
      <c r="CI19" s="178">
        <v>3425</v>
      </c>
      <c r="CJ19" s="178">
        <v>3300</v>
      </c>
      <c r="CK19" s="178">
        <v>3300</v>
      </c>
      <c r="CL19" s="178">
        <v>3190</v>
      </c>
      <c r="CM19" s="178">
        <v>3240</v>
      </c>
      <c r="CN19" s="178">
        <v>3160</v>
      </c>
      <c r="CO19" s="178">
        <v>3120</v>
      </c>
      <c r="CP19" s="178">
        <v>2950</v>
      </c>
      <c r="CQ19" s="178">
        <v>2761</v>
      </c>
      <c r="CR19" s="178">
        <v>2799</v>
      </c>
      <c r="CS19" s="178">
        <v>3170</v>
      </c>
      <c r="CT19" s="178">
        <v>3320</v>
      </c>
      <c r="CU19" s="178">
        <v>2820</v>
      </c>
      <c r="CV19" s="178">
        <v>2890</v>
      </c>
      <c r="CW19" s="178">
        <v>2817</v>
      </c>
      <c r="CX19" s="178">
        <v>2824</v>
      </c>
      <c r="CY19" s="178">
        <v>2810</v>
      </c>
      <c r="CZ19" s="178">
        <v>2897</v>
      </c>
      <c r="DA19" s="178">
        <v>2826</v>
      </c>
      <c r="DB19" s="178">
        <v>2816</v>
      </c>
      <c r="DC19" s="178">
        <v>2822</v>
      </c>
      <c r="DD19" s="178">
        <v>2813</v>
      </c>
      <c r="DE19" s="178">
        <v>2662</v>
      </c>
      <c r="DF19" s="178">
        <v>2636</v>
      </c>
      <c r="DG19" s="178">
        <v>2616</v>
      </c>
      <c r="DH19" s="178">
        <v>2501</v>
      </c>
      <c r="DI19" s="178">
        <v>2456</v>
      </c>
      <c r="DJ19" s="178">
        <v>2306</v>
      </c>
      <c r="DK19" s="178">
        <v>2306</v>
      </c>
      <c r="DL19" s="178">
        <v>2193</v>
      </c>
      <c r="DM19" s="178">
        <v>2173</v>
      </c>
      <c r="DN19" s="178">
        <v>1972</v>
      </c>
      <c r="DO19" s="178">
        <v>2000</v>
      </c>
      <c r="DP19" s="178">
        <v>1926</v>
      </c>
      <c r="DQ19" s="178">
        <v>1905</v>
      </c>
      <c r="DR19" s="178">
        <v>1936</v>
      </c>
      <c r="DS19" s="178">
        <v>1927</v>
      </c>
      <c r="DT19" s="178">
        <v>1880</v>
      </c>
      <c r="DU19" s="178">
        <v>1921</v>
      </c>
      <c r="DV19" s="178">
        <v>2017</v>
      </c>
      <c r="DW19" s="178">
        <v>2011</v>
      </c>
      <c r="DX19" s="178">
        <v>2072</v>
      </c>
      <c r="DY19" s="178">
        <v>2084</v>
      </c>
      <c r="DZ19" s="178">
        <v>2078</v>
      </c>
      <c r="EA19" s="178">
        <v>2081</v>
      </c>
      <c r="EB19" s="178">
        <v>2056</v>
      </c>
      <c r="EC19" s="178">
        <v>1942</v>
      </c>
      <c r="ED19" s="178">
        <v>1931</v>
      </c>
      <c r="EE19" s="178">
        <v>1925</v>
      </c>
      <c r="EF19" s="178">
        <v>1889</v>
      </c>
      <c r="EG19" s="178">
        <v>1880</v>
      </c>
      <c r="EH19" s="178">
        <v>1932</v>
      </c>
    </row>
    <row r="20" spans="1:138" x14ac:dyDescent="0.25">
      <c r="A20" s="49" t="str">
        <f>IPO監視一覧!H17</f>
        <v>A</v>
      </c>
      <c r="B20" s="49" t="str">
        <f>IPO監視一覧!B17</f>
        <v>和心</v>
      </c>
      <c r="C20" s="177">
        <f>株価一覧!E19</f>
        <v>2340</v>
      </c>
      <c r="D20" s="105">
        <f t="shared" ca="1" si="4"/>
        <v>2355.1999999999998</v>
      </c>
      <c r="E20" s="177">
        <f t="shared" ca="1" si="1"/>
        <v>2246.9333333333334</v>
      </c>
      <c r="F20" s="110">
        <f t="shared" ca="1" si="2"/>
        <v>1893</v>
      </c>
      <c r="G20" s="178">
        <v>0</v>
      </c>
      <c r="H20" s="178">
        <v>0</v>
      </c>
      <c r="I20" s="178">
        <v>0</v>
      </c>
      <c r="J20" s="178">
        <v>0</v>
      </c>
      <c r="K20" s="178">
        <v>0</v>
      </c>
      <c r="L20" s="178">
        <v>0</v>
      </c>
      <c r="M20" s="178">
        <v>0</v>
      </c>
      <c r="N20" s="178">
        <v>0</v>
      </c>
      <c r="O20" s="178">
        <v>0</v>
      </c>
      <c r="P20" s="178">
        <v>0</v>
      </c>
      <c r="Q20" s="178">
        <v>0</v>
      </c>
      <c r="R20" s="178">
        <v>0</v>
      </c>
      <c r="S20" s="178">
        <v>0</v>
      </c>
      <c r="T20" s="178">
        <v>0</v>
      </c>
      <c r="U20" s="178">
        <v>0</v>
      </c>
      <c r="V20" s="178">
        <v>0</v>
      </c>
      <c r="W20" s="178">
        <v>0</v>
      </c>
      <c r="X20" s="178">
        <v>0</v>
      </c>
      <c r="Y20" s="178">
        <v>0</v>
      </c>
      <c r="Z20" s="178">
        <v>0</v>
      </c>
      <c r="AA20" s="178">
        <v>0</v>
      </c>
      <c r="AB20" s="178">
        <v>0</v>
      </c>
      <c r="AC20" s="178">
        <v>0</v>
      </c>
      <c r="AD20" s="178">
        <v>0</v>
      </c>
      <c r="AE20" s="178">
        <v>0</v>
      </c>
      <c r="AF20" s="178">
        <v>0</v>
      </c>
      <c r="AG20" s="178">
        <v>0</v>
      </c>
      <c r="AH20" s="178">
        <v>0</v>
      </c>
      <c r="AI20" s="178">
        <v>4545</v>
      </c>
      <c r="AJ20" s="178">
        <v>4150</v>
      </c>
      <c r="AK20" s="178">
        <v>4265</v>
      </c>
      <c r="AL20" s="178">
        <v>3965</v>
      </c>
      <c r="AM20" s="178">
        <v>3655</v>
      </c>
      <c r="AN20" s="178">
        <v>4000</v>
      </c>
      <c r="AO20" s="178">
        <v>3725</v>
      </c>
      <c r="AP20" s="178">
        <v>3425</v>
      </c>
      <c r="AQ20" s="178">
        <v>3440</v>
      </c>
      <c r="AR20" s="178">
        <v>3170</v>
      </c>
      <c r="AS20" s="178">
        <v>3585</v>
      </c>
      <c r="AT20" s="178">
        <v>3655</v>
      </c>
      <c r="AU20" s="178">
        <v>3680</v>
      </c>
      <c r="AV20" s="178">
        <v>3530</v>
      </c>
      <c r="AW20" s="178">
        <v>3450</v>
      </c>
      <c r="AX20" s="178">
        <v>3420</v>
      </c>
      <c r="AY20" s="178">
        <v>3375</v>
      </c>
      <c r="AZ20" s="178">
        <v>3290</v>
      </c>
      <c r="BA20" s="178">
        <v>3300</v>
      </c>
      <c r="BB20" s="178">
        <v>3530</v>
      </c>
      <c r="BC20" s="178">
        <v>3675</v>
      </c>
      <c r="BD20" s="178">
        <v>3760</v>
      </c>
      <c r="BE20" s="178">
        <v>3820</v>
      </c>
      <c r="BF20" s="178">
        <v>3725</v>
      </c>
      <c r="BG20" s="178">
        <v>3820</v>
      </c>
      <c r="BH20" s="178">
        <v>3380</v>
      </c>
      <c r="BI20" s="178">
        <v>2691</v>
      </c>
      <c r="BJ20" s="178">
        <v>2619</v>
      </c>
      <c r="BK20" s="178">
        <v>2780</v>
      </c>
      <c r="BL20" s="178">
        <v>2973</v>
      </c>
      <c r="BM20" s="178">
        <v>3065</v>
      </c>
      <c r="BN20" s="178">
        <v>2949</v>
      </c>
      <c r="BO20" s="178">
        <v>2788</v>
      </c>
      <c r="BP20" s="178">
        <v>2792</v>
      </c>
      <c r="BQ20" s="178">
        <v>2830</v>
      </c>
      <c r="BR20" s="178">
        <v>2708</v>
      </c>
      <c r="BS20" s="178">
        <v>2756</v>
      </c>
      <c r="BT20" s="178">
        <v>2810</v>
      </c>
      <c r="BU20" s="178">
        <v>2999</v>
      </c>
      <c r="BV20" s="178">
        <v>2968</v>
      </c>
      <c r="BW20" s="178">
        <v>3025</v>
      </c>
      <c r="BX20" s="178">
        <v>2889</v>
      </c>
      <c r="BY20" s="178">
        <v>2935</v>
      </c>
      <c r="BZ20" s="178">
        <v>3035</v>
      </c>
      <c r="CA20" s="178">
        <v>3240</v>
      </c>
      <c r="CB20" s="178">
        <v>3250</v>
      </c>
      <c r="CC20" s="178">
        <v>3390</v>
      </c>
      <c r="CD20" s="178">
        <v>3365</v>
      </c>
      <c r="CE20" s="178">
        <v>3480</v>
      </c>
      <c r="CF20" s="178">
        <v>3560</v>
      </c>
      <c r="CG20" s="178">
        <v>3815</v>
      </c>
      <c r="CH20" s="178">
        <v>3740</v>
      </c>
      <c r="CI20" s="178">
        <v>3880</v>
      </c>
      <c r="CJ20" s="178">
        <v>4190</v>
      </c>
      <c r="CK20" s="178">
        <v>4130</v>
      </c>
      <c r="CL20" s="178">
        <v>4270</v>
      </c>
      <c r="CM20" s="178">
        <v>4670</v>
      </c>
      <c r="CN20" s="178">
        <v>4450</v>
      </c>
      <c r="CO20" s="178">
        <v>4745</v>
      </c>
      <c r="CP20" s="178">
        <v>4850</v>
      </c>
      <c r="CQ20" s="178">
        <v>5050</v>
      </c>
      <c r="CR20" s="178">
        <v>5380</v>
      </c>
      <c r="CS20" s="178">
        <v>6000</v>
      </c>
      <c r="CT20" s="178">
        <v>5000</v>
      </c>
      <c r="CU20" s="178">
        <v>4685</v>
      </c>
      <c r="CV20" s="178">
        <v>4355</v>
      </c>
      <c r="CW20" s="178">
        <v>3780</v>
      </c>
      <c r="CX20" s="178">
        <v>3855</v>
      </c>
      <c r="CY20" s="178">
        <v>4295</v>
      </c>
      <c r="CZ20" s="178">
        <v>4135</v>
      </c>
      <c r="DA20" s="178">
        <v>3925</v>
      </c>
      <c r="DB20" s="178">
        <v>3980</v>
      </c>
      <c r="DC20" s="178">
        <v>3960</v>
      </c>
      <c r="DD20" s="178">
        <v>3900</v>
      </c>
      <c r="DE20" s="178">
        <v>4015</v>
      </c>
      <c r="DF20" s="178">
        <v>4135</v>
      </c>
      <c r="DG20" s="178">
        <v>4155</v>
      </c>
      <c r="DH20" s="178">
        <v>4120</v>
      </c>
      <c r="DI20" s="178">
        <v>4040</v>
      </c>
      <c r="DJ20" s="178">
        <v>3640</v>
      </c>
      <c r="DK20" s="178">
        <v>3870</v>
      </c>
      <c r="DL20" s="178">
        <v>3980</v>
      </c>
      <c r="DM20" s="178">
        <v>3905</v>
      </c>
      <c r="DN20" s="178">
        <v>3590</v>
      </c>
      <c r="DO20" s="178">
        <v>2890</v>
      </c>
      <c r="DP20" s="178">
        <v>2390</v>
      </c>
      <c r="DQ20" s="178">
        <v>2194</v>
      </c>
      <c r="DR20" s="178">
        <v>2204</v>
      </c>
      <c r="DS20" s="178">
        <v>2128</v>
      </c>
      <c r="DT20" s="178">
        <v>1980</v>
      </c>
      <c r="DU20" s="178">
        <v>1893</v>
      </c>
      <c r="DV20" s="178">
        <v>1909</v>
      </c>
      <c r="DW20" s="178">
        <v>1975</v>
      </c>
      <c r="DX20" s="178">
        <v>2048</v>
      </c>
      <c r="DY20" s="178">
        <v>2081</v>
      </c>
      <c r="DZ20" s="178">
        <v>2172</v>
      </c>
      <c r="EA20" s="178">
        <v>2430</v>
      </c>
      <c r="EB20" s="178">
        <v>2645</v>
      </c>
      <c r="EC20" s="178">
        <v>2795</v>
      </c>
      <c r="ED20" s="178">
        <v>2684</v>
      </c>
      <c r="EE20" s="178">
        <v>2303</v>
      </c>
      <c r="EF20" s="178">
        <v>2250</v>
      </c>
      <c r="EG20" s="178">
        <v>2199</v>
      </c>
      <c r="EH20" s="178">
        <v>2340</v>
      </c>
    </row>
    <row r="21" spans="1:138" x14ac:dyDescent="0.25">
      <c r="A21" s="49" t="str">
        <f>IPO監視一覧!H18</f>
        <v>A</v>
      </c>
      <c r="B21" s="49" t="str">
        <f>IPO監視一覧!B18</f>
        <v>日本リビング保証</v>
      </c>
      <c r="C21" s="177">
        <f>株価一覧!E20</f>
        <v>2713</v>
      </c>
      <c r="D21" s="105">
        <f t="shared" ca="1" si="4"/>
        <v>2812.8</v>
      </c>
      <c r="E21" s="177">
        <f t="shared" ca="1" si="1"/>
        <v>2821.5333333333333</v>
      </c>
      <c r="F21" s="110">
        <f t="shared" ca="1" si="2"/>
        <v>2540</v>
      </c>
      <c r="G21" s="178">
        <v>0</v>
      </c>
      <c r="H21" s="178">
        <v>0</v>
      </c>
      <c r="I21" s="178">
        <v>0</v>
      </c>
      <c r="J21" s="178">
        <v>0</v>
      </c>
      <c r="K21" s="178">
        <v>0</v>
      </c>
      <c r="L21" s="178">
        <v>0</v>
      </c>
      <c r="M21" s="178">
        <v>0</v>
      </c>
      <c r="N21" s="178">
        <v>0</v>
      </c>
      <c r="O21" s="178">
        <v>0</v>
      </c>
      <c r="P21" s="178">
        <v>0</v>
      </c>
      <c r="Q21" s="178">
        <v>0</v>
      </c>
      <c r="R21" s="178">
        <v>0</v>
      </c>
      <c r="S21" s="178">
        <v>0</v>
      </c>
      <c r="T21" s="178">
        <v>0</v>
      </c>
      <c r="U21" s="178">
        <v>0</v>
      </c>
      <c r="V21" s="178">
        <v>0</v>
      </c>
      <c r="W21" s="178">
        <v>0</v>
      </c>
      <c r="X21" s="178">
        <v>0</v>
      </c>
      <c r="Y21" s="178">
        <v>0</v>
      </c>
      <c r="Z21" s="178">
        <v>0</v>
      </c>
      <c r="AA21" s="178">
        <v>0</v>
      </c>
      <c r="AB21" s="178">
        <v>0</v>
      </c>
      <c r="AC21" s="178">
        <v>0</v>
      </c>
      <c r="AD21" s="178">
        <v>0</v>
      </c>
      <c r="AE21" s="178">
        <v>0</v>
      </c>
      <c r="AF21" s="178">
        <v>0</v>
      </c>
      <c r="AG21" s="178">
        <v>0</v>
      </c>
      <c r="AH21" s="178">
        <v>0</v>
      </c>
      <c r="AI21" s="178">
        <v>0</v>
      </c>
      <c r="AJ21" s="178">
        <v>5300</v>
      </c>
      <c r="AK21" s="178">
        <v>4630</v>
      </c>
      <c r="AL21" s="178">
        <v>4295</v>
      </c>
      <c r="AM21" s="178">
        <v>4325</v>
      </c>
      <c r="AN21" s="178">
        <v>4295</v>
      </c>
      <c r="AO21" s="178">
        <v>4015</v>
      </c>
      <c r="AP21" s="178">
        <v>3910</v>
      </c>
      <c r="AQ21" s="178">
        <v>3745</v>
      </c>
      <c r="AR21" s="178">
        <v>3250</v>
      </c>
      <c r="AS21" s="178">
        <v>3190</v>
      </c>
      <c r="AT21" s="178">
        <v>3310</v>
      </c>
      <c r="AU21" s="178">
        <v>3550</v>
      </c>
      <c r="AV21" s="178">
        <v>3805</v>
      </c>
      <c r="AW21" s="178">
        <v>3580</v>
      </c>
      <c r="AX21" s="178">
        <v>3485</v>
      </c>
      <c r="AY21" s="178">
        <v>3350</v>
      </c>
      <c r="AZ21" s="178">
        <v>3440</v>
      </c>
      <c r="BA21" s="178">
        <v>3245</v>
      </c>
      <c r="BB21" s="178">
        <v>3190</v>
      </c>
      <c r="BC21" s="178">
        <v>3170</v>
      </c>
      <c r="BD21" s="178">
        <v>3235</v>
      </c>
      <c r="BE21" s="178">
        <v>3340</v>
      </c>
      <c r="BF21" s="178">
        <v>3340</v>
      </c>
      <c r="BG21" s="178">
        <v>3510</v>
      </c>
      <c r="BH21" s="178">
        <v>3530</v>
      </c>
      <c r="BI21" s="178">
        <v>3215</v>
      </c>
      <c r="BJ21" s="178">
        <v>3210</v>
      </c>
      <c r="BK21" s="178">
        <v>3185</v>
      </c>
      <c r="BL21" s="178">
        <v>3275</v>
      </c>
      <c r="BM21" s="178">
        <v>3785</v>
      </c>
      <c r="BN21" s="178">
        <v>3600</v>
      </c>
      <c r="BO21" s="178">
        <v>3755</v>
      </c>
      <c r="BP21" s="178">
        <v>3790</v>
      </c>
      <c r="BQ21" s="178">
        <v>3870</v>
      </c>
      <c r="BR21" s="178">
        <v>3965</v>
      </c>
      <c r="BS21" s="178">
        <v>3800</v>
      </c>
      <c r="BT21" s="178">
        <v>3670</v>
      </c>
      <c r="BU21" s="178">
        <v>3500</v>
      </c>
      <c r="BV21" s="178">
        <v>3405</v>
      </c>
      <c r="BW21" s="178">
        <v>3340</v>
      </c>
      <c r="BX21" s="178">
        <v>3250</v>
      </c>
      <c r="BY21" s="178">
        <v>3360</v>
      </c>
      <c r="BZ21" s="178">
        <v>3545</v>
      </c>
      <c r="CA21" s="178">
        <v>3575</v>
      </c>
      <c r="CB21" s="178">
        <v>3425</v>
      </c>
      <c r="CC21" s="178">
        <v>3475</v>
      </c>
      <c r="CD21" s="178">
        <v>3410</v>
      </c>
      <c r="CE21" s="178">
        <v>3490</v>
      </c>
      <c r="CF21" s="178">
        <v>3395</v>
      </c>
      <c r="CG21" s="178">
        <v>3400</v>
      </c>
      <c r="CH21" s="178">
        <v>3425</v>
      </c>
      <c r="CI21" s="178">
        <v>3305</v>
      </c>
      <c r="CJ21" s="178">
        <v>3285</v>
      </c>
      <c r="CK21" s="178">
        <v>3575</v>
      </c>
      <c r="CL21" s="178">
        <v>3600</v>
      </c>
      <c r="CM21" s="178">
        <v>3535</v>
      </c>
      <c r="CN21" s="178">
        <v>3530</v>
      </c>
      <c r="CO21" s="178">
        <v>3430</v>
      </c>
      <c r="CP21" s="178">
        <v>3330</v>
      </c>
      <c r="CQ21" s="178">
        <v>3300</v>
      </c>
      <c r="CR21" s="178">
        <v>3450</v>
      </c>
      <c r="CS21" s="178">
        <v>3550</v>
      </c>
      <c r="CT21" s="178">
        <v>3645</v>
      </c>
      <c r="CU21" s="178">
        <v>3845</v>
      </c>
      <c r="CV21" s="178">
        <v>4280</v>
      </c>
      <c r="CW21" s="178">
        <v>4200</v>
      </c>
      <c r="CX21" s="178">
        <v>4035</v>
      </c>
      <c r="CY21" s="178">
        <v>4040</v>
      </c>
      <c r="CZ21" s="178">
        <v>4740</v>
      </c>
      <c r="DA21" s="178">
        <v>4895</v>
      </c>
      <c r="DB21" s="178">
        <v>4595</v>
      </c>
      <c r="DC21" s="178">
        <v>4310</v>
      </c>
      <c r="DD21" s="178">
        <v>4150</v>
      </c>
      <c r="DE21" s="178">
        <v>4275</v>
      </c>
      <c r="DF21" s="178">
        <v>4130</v>
      </c>
      <c r="DG21" s="178">
        <v>4130</v>
      </c>
      <c r="DH21" s="178">
        <v>4245</v>
      </c>
      <c r="DI21" s="178">
        <v>4245</v>
      </c>
      <c r="DJ21" s="178">
        <v>4205</v>
      </c>
      <c r="DK21" s="178">
        <v>4135</v>
      </c>
      <c r="DL21" s="178">
        <v>4200</v>
      </c>
      <c r="DM21" s="178">
        <v>4315</v>
      </c>
      <c r="DN21" s="178">
        <v>3895</v>
      </c>
      <c r="DO21" s="178">
        <v>4000</v>
      </c>
      <c r="DP21" s="178">
        <v>3300</v>
      </c>
      <c r="DQ21" s="178">
        <v>2924</v>
      </c>
      <c r="DR21" s="178">
        <v>2940</v>
      </c>
      <c r="DS21" s="178">
        <v>2811</v>
      </c>
      <c r="DT21" s="178">
        <v>2666</v>
      </c>
      <c r="DU21" s="178">
        <v>2540</v>
      </c>
      <c r="DV21" s="178">
        <v>2631</v>
      </c>
      <c r="DW21" s="178">
        <v>2781</v>
      </c>
      <c r="DX21" s="178">
        <v>2971</v>
      </c>
      <c r="DY21" s="178">
        <v>2914</v>
      </c>
      <c r="DZ21" s="178">
        <v>2861</v>
      </c>
      <c r="EA21" s="178">
        <v>2950</v>
      </c>
      <c r="EB21" s="178">
        <v>3000</v>
      </c>
      <c r="EC21" s="178">
        <v>2945</v>
      </c>
      <c r="ED21" s="178">
        <v>2900</v>
      </c>
      <c r="EE21" s="178">
        <v>2900</v>
      </c>
      <c r="EF21" s="178">
        <v>2800</v>
      </c>
      <c r="EG21" s="178">
        <v>2751</v>
      </c>
      <c r="EH21" s="178">
        <v>2713</v>
      </c>
    </row>
    <row r="22" spans="1:138" x14ac:dyDescent="0.25">
      <c r="A22" s="49" t="str">
        <f>IPO監視一覧!H19</f>
        <v>A</v>
      </c>
      <c r="B22" s="49" t="str">
        <f>IPO監視一覧!B19</f>
        <v>ブティックス</v>
      </c>
      <c r="C22" s="177">
        <f>株価一覧!E21</f>
        <v>3705</v>
      </c>
      <c r="D22" s="105">
        <f t="shared" ca="1" si="4"/>
        <v>3749</v>
      </c>
      <c r="E22" s="177">
        <f t="shared" ca="1" si="1"/>
        <v>3535.3333333333335</v>
      </c>
      <c r="F22" s="110">
        <f t="shared" ca="1" si="2"/>
        <v>3125</v>
      </c>
      <c r="G22" s="178">
        <v>0</v>
      </c>
      <c r="H22" s="178">
        <v>0</v>
      </c>
      <c r="I22" s="178">
        <v>0</v>
      </c>
      <c r="J22" s="178">
        <v>0</v>
      </c>
      <c r="K22" s="178">
        <v>0</v>
      </c>
      <c r="L22" s="178">
        <v>0</v>
      </c>
      <c r="M22" s="178">
        <v>0</v>
      </c>
      <c r="N22" s="178">
        <v>0</v>
      </c>
      <c r="O22" s="178">
        <v>0</v>
      </c>
      <c r="P22" s="178">
        <v>0</v>
      </c>
      <c r="Q22" s="178">
        <v>0</v>
      </c>
      <c r="R22" s="178">
        <v>0</v>
      </c>
      <c r="S22" s="178">
        <v>0</v>
      </c>
      <c r="T22" s="178">
        <v>0</v>
      </c>
      <c r="U22" s="178">
        <v>0</v>
      </c>
      <c r="V22" s="178">
        <v>0</v>
      </c>
      <c r="W22" s="178">
        <v>0</v>
      </c>
      <c r="X22" s="178">
        <v>0</v>
      </c>
      <c r="Y22" s="178">
        <v>0</v>
      </c>
      <c r="Z22" s="178">
        <v>0</v>
      </c>
      <c r="AA22" s="178">
        <v>0</v>
      </c>
      <c r="AB22" s="178">
        <v>0</v>
      </c>
      <c r="AC22" s="178">
        <v>0</v>
      </c>
      <c r="AD22" s="178">
        <v>0</v>
      </c>
      <c r="AE22" s="178">
        <v>0</v>
      </c>
      <c r="AF22" s="178">
        <v>0</v>
      </c>
      <c r="AG22" s="178">
        <v>0</v>
      </c>
      <c r="AH22" s="178">
        <v>0</v>
      </c>
      <c r="AI22" s="178">
        <v>0</v>
      </c>
      <c r="AJ22" s="178">
        <v>0</v>
      </c>
      <c r="AK22" s="178">
        <v>0</v>
      </c>
      <c r="AL22" s="178">
        <v>3420</v>
      </c>
      <c r="AM22" s="178">
        <v>4120</v>
      </c>
      <c r="AN22" s="178">
        <v>5130</v>
      </c>
      <c r="AO22" s="178">
        <v>4485</v>
      </c>
      <c r="AP22" s="178">
        <v>4000</v>
      </c>
      <c r="AQ22" s="178">
        <v>4140</v>
      </c>
      <c r="AR22" s="178">
        <v>3460</v>
      </c>
      <c r="AS22" s="178">
        <v>3720</v>
      </c>
      <c r="AT22" s="178">
        <v>3910</v>
      </c>
      <c r="AU22" s="178">
        <v>3720</v>
      </c>
      <c r="AV22" s="178">
        <v>3515</v>
      </c>
      <c r="AW22" s="178">
        <v>3510</v>
      </c>
      <c r="AX22" s="178">
        <v>3680</v>
      </c>
      <c r="AY22" s="178">
        <v>3595</v>
      </c>
      <c r="AZ22" s="178">
        <v>3430</v>
      </c>
      <c r="BA22" s="178">
        <v>3205</v>
      </c>
      <c r="BB22" s="178">
        <v>3305</v>
      </c>
      <c r="BC22" s="178">
        <v>3305</v>
      </c>
      <c r="BD22" s="178">
        <v>3140</v>
      </c>
      <c r="BE22" s="178">
        <v>2947</v>
      </c>
      <c r="BF22" s="178">
        <v>2963</v>
      </c>
      <c r="BG22" s="178">
        <v>3090</v>
      </c>
      <c r="BH22" s="178">
        <v>3250</v>
      </c>
      <c r="BI22" s="178">
        <v>3685</v>
      </c>
      <c r="BJ22" s="178">
        <v>3800</v>
      </c>
      <c r="BK22" s="178">
        <v>3740</v>
      </c>
      <c r="BL22" s="178">
        <v>4115</v>
      </c>
      <c r="BM22" s="178">
        <v>4070</v>
      </c>
      <c r="BN22" s="178">
        <v>4000</v>
      </c>
      <c r="BO22" s="178">
        <v>4160</v>
      </c>
      <c r="BP22" s="178">
        <v>4495</v>
      </c>
      <c r="BQ22" s="178">
        <v>4425</v>
      </c>
      <c r="BR22" s="178">
        <v>4450</v>
      </c>
      <c r="BS22" s="178">
        <v>4495</v>
      </c>
      <c r="BT22" s="178">
        <v>4405</v>
      </c>
      <c r="BU22" s="178">
        <v>4140</v>
      </c>
      <c r="BV22" s="178">
        <v>4140</v>
      </c>
      <c r="BW22" s="178">
        <v>3960</v>
      </c>
      <c r="BX22" s="178">
        <v>4220</v>
      </c>
      <c r="BY22" s="178">
        <v>4205</v>
      </c>
      <c r="BZ22" s="178">
        <v>4075</v>
      </c>
      <c r="CA22" s="178">
        <v>4085</v>
      </c>
      <c r="CB22" s="178">
        <v>4430</v>
      </c>
      <c r="CC22" s="178">
        <v>4510</v>
      </c>
      <c r="CD22" s="178">
        <v>5100</v>
      </c>
      <c r="CE22" s="178">
        <v>5020</v>
      </c>
      <c r="CF22" s="178">
        <v>4730</v>
      </c>
      <c r="CG22" s="178">
        <v>4930</v>
      </c>
      <c r="CH22" s="178">
        <v>4715</v>
      </c>
      <c r="CI22" s="178">
        <v>5000</v>
      </c>
      <c r="CJ22" s="178">
        <v>4765</v>
      </c>
      <c r="CK22" s="178">
        <v>4825</v>
      </c>
      <c r="CL22" s="178">
        <v>4990</v>
      </c>
      <c r="CM22" s="178">
        <v>4940</v>
      </c>
      <c r="CN22" s="178">
        <v>4725</v>
      </c>
      <c r="CO22" s="178">
        <v>4390</v>
      </c>
      <c r="CP22" s="178">
        <v>4365</v>
      </c>
      <c r="CQ22" s="178">
        <v>4345</v>
      </c>
      <c r="CR22" s="178">
        <v>4275</v>
      </c>
      <c r="CS22" s="178">
        <v>4415</v>
      </c>
      <c r="CT22" s="178">
        <v>4190</v>
      </c>
      <c r="CU22" s="178">
        <v>4185</v>
      </c>
      <c r="CV22" s="178">
        <v>4320</v>
      </c>
      <c r="CW22" s="178">
        <v>4245</v>
      </c>
      <c r="CX22" s="178">
        <v>4235</v>
      </c>
      <c r="CY22" s="178">
        <v>4090</v>
      </c>
      <c r="CZ22" s="178">
        <v>4250</v>
      </c>
      <c r="DA22" s="178">
        <v>4175</v>
      </c>
      <c r="DB22" s="178">
        <v>4670</v>
      </c>
      <c r="DC22" s="178">
        <v>4700</v>
      </c>
      <c r="DD22" s="178">
        <v>4630</v>
      </c>
      <c r="DE22" s="178">
        <v>4580</v>
      </c>
      <c r="DF22" s="178">
        <v>4785</v>
      </c>
      <c r="DG22" s="178">
        <v>4760</v>
      </c>
      <c r="DH22" s="178">
        <v>4555</v>
      </c>
      <c r="DI22" s="178">
        <v>4235</v>
      </c>
      <c r="DJ22" s="178">
        <v>4295</v>
      </c>
      <c r="DK22" s="178">
        <v>4550</v>
      </c>
      <c r="DL22" s="178">
        <v>4460</v>
      </c>
      <c r="DM22" s="178">
        <v>4495</v>
      </c>
      <c r="DN22" s="178">
        <v>3420</v>
      </c>
      <c r="DO22" s="178">
        <v>3515</v>
      </c>
      <c r="DP22" s="178">
        <v>3530</v>
      </c>
      <c r="DQ22" s="178">
        <v>3355</v>
      </c>
      <c r="DR22" s="178">
        <v>3285</v>
      </c>
      <c r="DS22" s="178">
        <v>3055</v>
      </c>
      <c r="DT22" s="178">
        <v>3055</v>
      </c>
      <c r="DU22" s="178">
        <v>3125</v>
      </c>
      <c r="DV22" s="178">
        <v>3255</v>
      </c>
      <c r="DW22" s="178">
        <v>3275</v>
      </c>
      <c r="DX22" s="178">
        <v>3585</v>
      </c>
      <c r="DY22" s="178">
        <v>3365</v>
      </c>
      <c r="DZ22" s="178">
        <v>3580</v>
      </c>
      <c r="EA22" s="178">
        <v>3615</v>
      </c>
      <c r="EB22" s="178">
        <v>3715</v>
      </c>
      <c r="EC22" s="178">
        <v>3715</v>
      </c>
      <c r="ED22" s="178">
        <v>3865</v>
      </c>
      <c r="EE22" s="178">
        <v>3715</v>
      </c>
      <c r="EF22" s="178">
        <v>3700</v>
      </c>
      <c r="EG22" s="178">
        <v>3760</v>
      </c>
      <c r="EH22" s="178">
        <v>3705</v>
      </c>
    </row>
    <row r="23" spans="1:138" x14ac:dyDescent="0.25">
      <c r="A23" s="49" t="str">
        <f>IPO監視一覧!H20</f>
        <v>A</v>
      </c>
      <c r="B23" s="49" t="str">
        <f>IPO監視一覧!B20</f>
        <v>ビープラッツ</v>
      </c>
      <c r="C23" s="177">
        <f>株価一覧!E22</f>
        <v>9370</v>
      </c>
      <c r="D23" s="105">
        <f t="shared" ca="1" si="4"/>
        <v>8812</v>
      </c>
      <c r="E23" s="177">
        <f t="shared" ca="1" si="1"/>
        <v>8051.333333333333</v>
      </c>
      <c r="F23" s="110">
        <f t="shared" ca="1" si="2"/>
        <v>6760</v>
      </c>
      <c r="G23" s="178">
        <v>0</v>
      </c>
      <c r="H23" s="178">
        <v>0</v>
      </c>
      <c r="I23" s="178">
        <v>0</v>
      </c>
      <c r="J23" s="178">
        <v>0</v>
      </c>
      <c r="K23" s="178">
        <v>0</v>
      </c>
      <c r="L23" s="178">
        <v>0</v>
      </c>
      <c r="M23" s="178">
        <v>0</v>
      </c>
      <c r="N23" s="178">
        <v>0</v>
      </c>
      <c r="O23" s="178">
        <v>0</v>
      </c>
      <c r="P23" s="178">
        <v>0</v>
      </c>
      <c r="Q23" s="178">
        <v>0</v>
      </c>
      <c r="R23" s="178">
        <v>0</v>
      </c>
      <c r="S23" s="178">
        <v>0</v>
      </c>
      <c r="T23" s="178">
        <v>0</v>
      </c>
      <c r="U23" s="178">
        <v>0</v>
      </c>
      <c r="V23" s="178">
        <v>0</v>
      </c>
      <c r="W23" s="178">
        <v>0</v>
      </c>
      <c r="X23" s="178">
        <v>0</v>
      </c>
      <c r="Y23" s="178">
        <v>0</v>
      </c>
      <c r="Z23" s="178">
        <v>0</v>
      </c>
      <c r="AA23" s="178">
        <v>0</v>
      </c>
      <c r="AB23" s="178">
        <v>0</v>
      </c>
      <c r="AC23" s="178">
        <v>0</v>
      </c>
      <c r="AD23" s="178">
        <v>0</v>
      </c>
      <c r="AE23" s="178">
        <v>0</v>
      </c>
      <c r="AF23" s="178">
        <v>0</v>
      </c>
      <c r="AG23" s="178">
        <v>0</v>
      </c>
      <c r="AH23" s="178">
        <v>0</v>
      </c>
      <c r="AI23" s="178">
        <v>0</v>
      </c>
      <c r="AJ23" s="178">
        <v>0</v>
      </c>
      <c r="AK23" s="178">
        <v>0</v>
      </c>
      <c r="AL23" s="178">
        <v>0</v>
      </c>
      <c r="AM23" s="178">
        <v>0</v>
      </c>
      <c r="AN23" s="178">
        <v>8440</v>
      </c>
      <c r="AO23" s="178">
        <v>7050</v>
      </c>
      <c r="AP23" s="178">
        <v>6580</v>
      </c>
      <c r="AQ23" s="178">
        <v>6350</v>
      </c>
      <c r="AR23" s="178">
        <v>5580</v>
      </c>
      <c r="AS23" s="178">
        <v>5970</v>
      </c>
      <c r="AT23" s="178">
        <v>6650</v>
      </c>
      <c r="AU23" s="178">
        <v>6320</v>
      </c>
      <c r="AV23" s="178">
        <v>6060</v>
      </c>
      <c r="AW23" s="178">
        <v>6600</v>
      </c>
      <c r="AX23" s="178">
        <v>6330</v>
      </c>
      <c r="AY23" s="178">
        <v>6240</v>
      </c>
      <c r="AZ23" s="178">
        <v>5770</v>
      </c>
      <c r="BA23" s="178">
        <v>5680</v>
      </c>
      <c r="BB23" s="178">
        <v>5660</v>
      </c>
      <c r="BC23" s="178">
        <v>5490</v>
      </c>
      <c r="BD23" s="178">
        <v>5630</v>
      </c>
      <c r="BE23" s="178">
        <v>5700</v>
      </c>
      <c r="BF23" s="178">
        <v>5670</v>
      </c>
      <c r="BG23" s="178">
        <v>6670</v>
      </c>
      <c r="BH23" s="178">
        <v>7670</v>
      </c>
      <c r="BI23" s="178">
        <v>7300</v>
      </c>
      <c r="BJ23" s="178">
        <v>7300</v>
      </c>
      <c r="BK23" s="178">
        <v>6940</v>
      </c>
      <c r="BL23" s="178">
        <v>7940</v>
      </c>
      <c r="BM23" s="178">
        <v>8100</v>
      </c>
      <c r="BN23" s="178">
        <v>7880</v>
      </c>
      <c r="BO23" s="178">
        <v>8710</v>
      </c>
      <c r="BP23" s="178">
        <v>9150</v>
      </c>
      <c r="BQ23" s="178">
        <v>8960</v>
      </c>
      <c r="BR23" s="178">
        <v>8540</v>
      </c>
      <c r="BS23" s="178">
        <v>8080</v>
      </c>
      <c r="BT23" s="178">
        <v>8700</v>
      </c>
      <c r="BU23" s="178">
        <v>9520</v>
      </c>
      <c r="BV23" s="178">
        <v>9650</v>
      </c>
      <c r="BW23" s="178">
        <v>9950</v>
      </c>
      <c r="BX23" s="178">
        <v>8820</v>
      </c>
      <c r="BY23" s="178">
        <v>9470</v>
      </c>
      <c r="BZ23" s="178">
        <v>10210</v>
      </c>
      <c r="CA23" s="178">
        <v>9950</v>
      </c>
      <c r="CB23" s="178">
        <v>10820</v>
      </c>
      <c r="CC23" s="178">
        <v>11400</v>
      </c>
      <c r="CD23" s="178">
        <v>12410</v>
      </c>
      <c r="CE23" s="178">
        <v>11960</v>
      </c>
      <c r="CF23" s="178">
        <v>11800</v>
      </c>
      <c r="CG23" s="178">
        <v>13190</v>
      </c>
      <c r="CH23" s="178">
        <v>12630</v>
      </c>
      <c r="CI23" s="178">
        <v>11650</v>
      </c>
      <c r="CJ23" s="178">
        <v>10630</v>
      </c>
      <c r="CK23" s="178">
        <v>10800</v>
      </c>
      <c r="CL23" s="178">
        <v>9980</v>
      </c>
      <c r="CM23" s="178">
        <v>10230</v>
      </c>
      <c r="CN23" s="178">
        <v>8960</v>
      </c>
      <c r="CO23" s="178">
        <v>9140</v>
      </c>
      <c r="CP23" s="178">
        <v>9170</v>
      </c>
      <c r="CQ23" s="178">
        <v>9340</v>
      </c>
      <c r="CR23" s="178">
        <v>10830</v>
      </c>
      <c r="CS23" s="178">
        <v>10830</v>
      </c>
      <c r="CT23" s="178">
        <v>10360</v>
      </c>
      <c r="CU23" s="178">
        <v>10300</v>
      </c>
      <c r="CV23" s="178">
        <v>10810</v>
      </c>
      <c r="CW23" s="178">
        <v>9940</v>
      </c>
      <c r="CX23" s="178">
        <v>9840</v>
      </c>
      <c r="CY23" s="178">
        <v>9710</v>
      </c>
      <c r="CZ23" s="178">
        <v>9830</v>
      </c>
      <c r="DA23" s="178">
        <v>9600</v>
      </c>
      <c r="DB23" s="178">
        <v>9940</v>
      </c>
      <c r="DC23" s="178">
        <v>9950</v>
      </c>
      <c r="DD23" s="178">
        <v>9700</v>
      </c>
      <c r="DE23" s="178">
        <v>9320</v>
      </c>
      <c r="DF23" s="178">
        <v>9000</v>
      </c>
      <c r="DG23" s="178">
        <v>8850</v>
      </c>
      <c r="DH23" s="178">
        <v>8620</v>
      </c>
      <c r="DI23" s="178">
        <v>8440</v>
      </c>
      <c r="DJ23" s="178">
        <v>7970</v>
      </c>
      <c r="DK23" s="178">
        <v>8150</v>
      </c>
      <c r="DL23" s="178">
        <v>8460</v>
      </c>
      <c r="DM23" s="178">
        <v>8360</v>
      </c>
      <c r="DN23" s="178">
        <v>7610</v>
      </c>
      <c r="DO23" s="178">
        <v>9110</v>
      </c>
      <c r="DP23" s="178">
        <v>8390</v>
      </c>
      <c r="DQ23" s="178">
        <v>7180</v>
      </c>
      <c r="DR23" s="178">
        <v>7000</v>
      </c>
      <c r="DS23" s="178">
        <v>6430</v>
      </c>
      <c r="DT23" s="178">
        <v>6430</v>
      </c>
      <c r="DU23" s="178">
        <v>6760</v>
      </c>
      <c r="DV23" s="178">
        <v>6780</v>
      </c>
      <c r="DW23" s="178">
        <v>7000</v>
      </c>
      <c r="DX23" s="178">
        <v>7680</v>
      </c>
      <c r="DY23" s="178">
        <v>7810</v>
      </c>
      <c r="DZ23" s="178">
        <v>8700</v>
      </c>
      <c r="EA23" s="178">
        <v>8920</v>
      </c>
      <c r="EB23" s="178">
        <v>8600</v>
      </c>
      <c r="EC23" s="178">
        <v>8030</v>
      </c>
      <c r="ED23" s="178">
        <v>8790</v>
      </c>
      <c r="EE23" s="178">
        <v>8280</v>
      </c>
      <c r="EF23" s="178">
        <v>8660</v>
      </c>
      <c r="EG23" s="178">
        <v>8960</v>
      </c>
      <c r="EH23" s="178">
        <v>9370</v>
      </c>
    </row>
    <row r="24" spans="1:138" x14ac:dyDescent="0.25">
      <c r="A24" s="49" t="str">
        <f>IPO監視一覧!H21</f>
        <v>A</v>
      </c>
      <c r="B24" s="49" t="str">
        <f>IPO監視一覧!B21</f>
        <v>ヒューマン・アソシエイツ・HD</v>
      </c>
      <c r="C24" s="177">
        <f>株価一覧!E23</f>
        <v>1352</v>
      </c>
      <c r="D24" s="105">
        <f t="shared" ca="1" si="4"/>
        <v>1367.2</v>
      </c>
      <c r="E24" s="177">
        <f t="shared" ca="1" si="1"/>
        <v>1390.6666666666667</v>
      </c>
      <c r="F24" s="110">
        <f t="shared" ca="1" si="2"/>
        <v>1323</v>
      </c>
      <c r="G24" s="178">
        <v>0</v>
      </c>
      <c r="H24" s="178">
        <v>0</v>
      </c>
      <c r="I24" s="178">
        <v>0</v>
      </c>
      <c r="J24" s="178">
        <v>0</v>
      </c>
      <c r="K24" s="178">
        <v>0</v>
      </c>
      <c r="L24" s="178">
        <v>0</v>
      </c>
      <c r="M24" s="178">
        <v>0</v>
      </c>
      <c r="N24" s="178">
        <v>0</v>
      </c>
      <c r="O24" s="178">
        <v>0</v>
      </c>
      <c r="P24" s="178">
        <v>0</v>
      </c>
      <c r="Q24" s="178">
        <v>0</v>
      </c>
      <c r="R24" s="178">
        <v>0</v>
      </c>
      <c r="S24" s="178">
        <v>0</v>
      </c>
      <c r="T24" s="178">
        <v>0</v>
      </c>
      <c r="U24" s="178">
        <v>0</v>
      </c>
      <c r="V24" s="178">
        <v>0</v>
      </c>
      <c r="W24" s="178">
        <v>0</v>
      </c>
      <c r="X24" s="178">
        <v>0</v>
      </c>
      <c r="Y24" s="178">
        <v>0</v>
      </c>
      <c r="Z24" s="178">
        <v>0</v>
      </c>
      <c r="AA24" s="178">
        <v>0</v>
      </c>
      <c r="AB24" s="178">
        <v>0</v>
      </c>
      <c r="AC24" s="178">
        <v>0</v>
      </c>
      <c r="AD24" s="178">
        <v>0</v>
      </c>
      <c r="AE24" s="178">
        <v>0</v>
      </c>
      <c r="AF24" s="178">
        <v>0</v>
      </c>
      <c r="AG24" s="178">
        <v>0</v>
      </c>
      <c r="AH24" s="178">
        <v>0</v>
      </c>
      <c r="AI24" s="178">
        <v>0</v>
      </c>
      <c r="AJ24" s="178">
        <v>0</v>
      </c>
      <c r="AK24" s="178">
        <v>0</v>
      </c>
      <c r="AL24" s="178">
        <v>0</v>
      </c>
      <c r="AM24" s="178">
        <v>0</v>
      </c>
      <c r="AN24" s="178">
        <v>0</v>
      </c>
      <c r="AO24" s="178">
        <v>4300</v>
      </c>
      <c r="AP24" s="178">
        <v>3600</v>
      </c>
      <c r="AQ24" s="178">
        <v>3290</v>
      </c>
      <c r="AR24" s="178">
        <v>2758</v>
      </c>
      <c r="AS24" s="178">
        <v>3040</v>
      </c>
      <c r="AT24" s="178">
        <v>2898</v>
      </c>
      <c r="AU24" s="178">
        <v>2706</v>
      </c>
      <c r="AV24" s="178">
        <v>2727</v>
      </c>
      <c r="AW24" s="178">
        <v>2632</v>
      </c>
      <c r="AX24" s="178">
        <v>2605</v>
      </c>
      <c r="AY24" s="178">
        <v>2515</v>
      </c>
      <c r="AZ24" s="178">
        <v>2372</v>
      </c>
      <c r="BA24" s="178">
        <v>2387</v>
      </c>
      <c r="BB24" s="178">
        <v>2557</v>
      </c>
      <c r="BC24" s="178">
        <v>2491</v>
      </c>
      <c r="BD24" s="178">
        <v>2505</v>
      </c>
      <c r="BE24" s="178">
        <v>2536</v>
      </c>
      <c r="BF24" s="178">
        <v>2558</v>
      </c>
      <c r="BG24" s="178">
        <v>2632</v>
      </c>
      <c r="BH24" s="178">
        <v>2430</v>
      </c>
      <c r="BI24" s="178">
        <v>2255</v>
      </c>
      <c r="BJ24" s="178">
        <v>2280</v>
      </c>
      <c r="BK24" s="178">
        <v>2281</v>
      </c>
      <c r="BL24" s="178">
        <v>2323</v>
      </c>
      <c r="BM24" s="178">
        <v>2332</v>
      </c>
      <c r="BN24" s="178">
        <v>2449</v>
      </c>
      <c r="BO24" s="178">
        <v>2468</v>
      </c>
      <c r="BP24" s="178">
        <v>2475</v>
      </c>
      <c r="BQ24" s="178">
        <v>2432</v>
      </c>
      <c r="BR24" s="178">
        <v>2330</v>
      </c>
      <c r="BS24" s="178">
        <v>2289</v>
      </c>
      <c r="BT24" s="178">
        <v>2418</v>
      </c>
      <c r="BU24" s="178">
        <v>2727</v>
      </c>
      <c r="BV24" s="178">
        <v>2849</v>
      </c>
      <c r="BW24" s="178">
        <v>2889</v>
      </c>
      <c r="BX24" s="178">
        <v>2871</v>
      </c>
      <c r="BY24" s="178">
        <v>2920</v>
      </c>
      <c r="BZ24" s="178">
        <v>3150</v>
      </c>
      <c r="CA24" s="178">
        <v>2976</v>
      </c>
      <c r="CB24" s="178">
        <v>3010</v>
      </c>
      <c r="CC24" s="178">
        <v>3135</v>
      </c>
      <c r="CD24" s="178">
        <v>3315</v>
      </c>
      <c r="CE24" s="178">
        <v>3070</v>
      </c>
      <c r="CF24" s="178">
        <v>2840</v>
      </c>
      <c r="CG24" s="178">
        <v>2713</v>
      </c>
      <c r="CH24" s="178">
        <v>2795</v>
      </c>
      <c r="CI24" s="178">
        <v>2576</v>
      </c>
      <c r="CJ24" s="178">
        <v>2252</v>
      </c>
      <c r="CK24" s="178">
        <v>2051</v>
      </c>
      <c r="CL24" s="178">
        <v>2112</v>
      </c>
      <c r="CM24" s="178">
        <v>2090</v>
      </c>
      <c r="CN24" s="178">
        <v>2068</v>
      </c>
      <c r="CO24" s="178">
        <v>2057</v>
      </c>
      <c r="CP24" s="178">
        <v>1991</v>
      </c>
      <c r="CQ24" s="178">
        <v>1841</v>
      </c>
      <c r="CR24" s="178">
        <v>1941</v>
      </c>
      <c r="CS24" s="178">
        <v>1968</v>
      </c>
      <c r="CT24" s="178">
        <v>1900</v>
      </c>
      <c r="CU24" s="178">
        <v>1892</v>
      </c>
      <c r="CV24" s="178">
        <v>1884</v>
      </c>
      <c r="CW24" s="178">
        <v>1907</v>
      </c>
      <c r="CX24" s="178">
        <v>2010</v>
      </c>
      <c r="CY24" s="178">
        <v>1970</v>
      </c>
      <c r="CZ24" s="178">
        <v>1955</v>
      </c>
      <c r="DA24" s="178">
        <v>1920</v>
      </c>
      <c r="DB24" s="178">
        <v>1944</v>
      </c>
      <c r="DC24" s="178">
        <v>2002</v>
      </c>
      <c r="DD24" s="178">
        <v>1970</v>
      </c>
      <c r="DE24" s="178">
        <v>2135</v>
      </c>
      <c r="DF24" s="178">
        <v>2171</v>
      </c>
      <c r="DG24" s="178">
        <v>2260</v>
      </c>
      <c r="DH24" s="178">
        <v>2281</v>
      </c>
      <c r="DI24" s="178">
        <v>2106</v>
      </c>
      <c r="DJ24" s="178">
        <v>1921</v>
      </c>
      <c r="DK24" s="178">
        <v>1940</v>
      </c>
      <c r="DL24" s="178">
        <v>1925</v>
      </c>
      <c r="DM24" s="178">
        <v>1908</v>
      </c>
      <c r="DN24" s="178">
        <v>1501</v>
      </c>
      <c r="DO24" s="178">
        <v>1262</v>
      </c>
      <c r="DP24" s="178">
        <v>1308</v>
      </c>
      <c r="DQ24" s="178">
        <v>1271</v>
      </c>
      <c r="DR24" s="178">
        <v>1373</v>
      </c>
      <c r="DS24" s="178">
        <v>1335</v>
      </c>
      <c r="DT24" s="178">
        <v>1298</v>
      </c>
      <c r="DU24" s="178">
        <v>1343</v>
      </c>
      <c r="DV24" s="178">
        <v>1340</v>
      </c>
      <c r="DW24" s="178">
        <v>1365</v>
      </c>
      <c r="DX24" s="178">
        <v>1406</v>
      </c>
      <c r="DY24" s="178">
        <v>1430</v>
      </c>
      <c r="DZ24" s="178">
        <v>1500</v>
      </c>
      <c r="EA24" s="178">
        <v>1478</v>
      </c>
      <c r="EB24" s="178">
        <v>1453</v>
      </c>
      <c r="EC24" s="178">
        <v>1411</v>
      </c>
      <c r="ED24" s="178">
        <v>1430</v>
      </c>
      <c r="EE24" s="178">
        <v>1394</v>
      </c>
      <c r="EF24" s="178">
        <v>1337</v>
      </c>
      <c r="EG24" s="178">
        <v>1323</v>
      </c>
      <c r="EH24" s="178">
        <v>1352</v>
      </c>
    </row>
    <row r="25" spans="1:138" x14ac:dyDescent="0.25">
      <c r="A25" s="49" t="str">
        <f>IPO監視一覧!H22</f>
        <v>B</v>
      </c>
      <c r="B25" s="49" t="str">
        <f>IPO監視一覧!B22</f>
        <v>コンヴァノ</v>
      </c>
      <c r="C25" s="177">
        <f>株価一覧!E24</f>
        <v>1728</v>
      </c>
      <c r="D25" s="105">
        <f t="shared" ca="1" si="4"/>
        <v>1732.4</v>
      </c>
      <c r="E25" s="177">
        <f t="shared" ca="1" si="1"/>
        <v>1724.5333333333333</v>
      </c>
      <c r="F25" s="110">
        <f t="shared" ca="1" si="2"/>
        <v>1660</v>
      </c>
      <c r="G25" s="178">
        <v>0</v>
      </c>
      <c r="H25" s="178">
        <v>0</v>
      </c>
      <c r="I25" s="178">
        <v>0</v>
      </c>
      <c r="J25" s="178">
        <v>0</v>
      </c>
      <c r="K25" s="178">
        <v>0</v>
      </c>
      <c r="L25" s="178">
        <v>0</v>
      </c>
      <c r="M25" s="178">
        <v>0</v>
      </c>
      <c r="N25" s="178">
        <v>0</v>
      </c>
      <c r="O25" s="178">
        <v>0</v>
      </c>
      <c r="P25" s="178">
        <v>0</v>
      </c>
      <c r="Q25" s="178">
        <v>0</v>
      </c>
      <c r="R25" s="178">
        <v>0</v>
      </c>
      <c r="S25" s="178">
        <v>0</v>
      </c>
      <c r="T25" s="178">
        <v>0</v>
      </c>
      <c r="U25" s="178">
        <v>0</v>
      </c>
      <c r="V25" s="178">
        <v>0</v>
      </c>
      <c r="W25" s="178">
        <v>0</v>
      </c>
      <c r="X25" s="178">
        <v>0</v>
      </c>
      <c r="Y25" s="178">
        <v>0</v>
      </c>
      <c r="Z25" s="178">
        <v>0</v>
      </c>
      <c r="AA25" s="178">
        <v>0</v>
      </c>
      <c r="AB25" s="178">
        <v>0</v>
      </c>
      <c r="AC25" s="178">
        <v>0</v>
      </c>
      <c r="AD25" s="178">
        <v>0</v>
      </c>
      <c r="AE25" s="178">
        <v>0</v>
      </c>
      <c r="AF25" s="178">
        <v>0</v>
      </c>
      <c r="AG25" s="178">
        <v>0</v>
      </c>
      <c r="AH25" s="178">
        <v>0</v>
      </c>
      <c r="AI25" s="178">
        <v>0</v>
      </c>
      <c r="AJ25" s="178">
        <v>0</v>
      </c>
      <c r="AK25" s="178">
        <v>0</v>
      </c>
      <c r="AL25" s="178">
        <v>0</v>
      </c>
      <c r="AM25" s="178">
        <v>0</v>
      </c>
      <c r="AN25" s="178">
        <v>0</v>
      </c>
      <c r="AO25" s="178">
        <v>2230</v>
      </c>
      <c r="AP25" s="178">
        <v>1834</v>
      </c>
      <c r="AQ25" s="178">
        <v>1629</v>
      </c>
      <c r="AR25" s="178">
        <v>1590</v>
      </c>
      <c r="AS25" s="178">
        <v>1525</v>
      </c>
      <c r="AT25" s="178">
        <v>1627</v>
      </c>
      <c r="AU25" s="178">
        <v>1628</v>
      </c>
      <c r="AV25" s="178">
        <v>1552</v>
      </c>
      <c r="AW25" s="178">
        <v>1521</v>
      </c>
      <c r="AX25" s="178">
        <v>1500</v>
      </c>
      <c r="AY25" s="178">
        <v>1499</v>
      </c>
      <c r="AZ25" s="178">
        <v>1470</v>
      </c>
      <c r="BA25" s="178">
        <v>1396</v>
      </c>
      <c r="BB25" s="178">
        <v>1612</v>
      </c>
      <c r="BC25" s="178">
        <v>1679</v>
      </c>
      <c r="BD25" s="178">
        <v>1670</v>
      </c>
      <c r="BE25" s="178">
        <v>1794</v>
      </c>
      <c r="BF25" s="178">
        <v>1626</v>
      </c>
      <c r="BG25" s="178">
        <v>1646</v>
      </c>
      <c r="BH25" s="178">
        <v>1691</v>
      </c>
      <c r="BI25" s="178">
        <v>1780</v>
      </c>
      <c r="BJ25" s="178">
        <v>2055</v>
      </c>
      <c r="BK25" s="178">
        <v>2083</v>
      </c>
      <c r="BL25" s="178">
        <v>2120</v>
      </c>
      <c r="BM25" s="178">
        <v>2090</v>
      </c>
      <c r="BN25" s="178">
        <v>1995</v>
      </c>
      <c r="BO25" s="178">
        <v>1890</v>
      </c>
      <c r="BP25" s="178">
        <v>1970</v>
      </c>
      <c r="BQ25" s="178">
        <v>2149</v>
      </c>
      <c r="BR25" s="178">
        <v>2000</v>
      </c>
      <c r="BS25" s="178">
        <v>1998</v>
      </c>
      <c r="BT25" s="178">
        <v>2109</v>
      </c>
      <c r="BU25" s="178">
        <v>2145</v>
      </c>
      <c r="BV25" s="178">
        <v>2348</v>
      </c>
      <c r="BW25" s="178">
        <v>2204</v>
      </c>
      <c r="BX25" s="178">
        <v>2078</v>
      </c>
      <c r="BY25" s="178">
        <v>2138</v>
      </c>
      <c r="BZ25" s="178">
        <v>2251</v>
      </c>
      <c r="CA25" s="178">
        <v>2172</v>
      </c>
      <c r="CB25" s="178">
        <v>2143</v>
      </c>
      <c r="CC25" s="178">
        <v>2205</v>
      </c>
      <c r="CD25" s="178">
        <v>2135</v>
      </c>
      <c r="CE25" s="178">
        <v>2026</v>
      </c>
      <c r="CF25" s="178">
        <v>1954</v>
      </c>
      <c r="CG25" s="178">
        <v>1915</v>
      </c>
      <c r="CH25" s="178">
        <v>1869</v>
      </c>
      <c r="CI25" s="178">
        <v>1905</v>
      </c>
      <c r="CJ25" s="178">
        <v>1774</v>
      </c>
      <c r="CK25" s="178">
        <v>1859</v>
      </c>
      <c r="CL25" s="178">
        <v>1780</v>
      </c>
      <c r="CM25" s="178">
        <v>1882</v>
      </c>
      <c r="CN25" s="178">
        <v>1843</v>
      </c>
      <c r="CO25" s="178">
        <v>1785</v>
      </c>
      <c r="CP25" s="178">
        <v>1827</v>
      </c>
      <c r="CQ25" s="178">
        <v>1801</v>
      </c>
      <c r="CR25" s="178">
        <v>1865</v>
      </c>
      <c r="CS25" s="178">
        <v>1889</v>
      </c>
      <c r="CT25" s="178">
        <v>1941</v>
      </c>
      <c r="CU25" s="178">
        <v>2000</v>
      </c>
      <c r="CV25" s="178">
        <v>2093</v>
      </c>
      <c r="CW25" s="178">
        <v>2037</v>
      </c>
      <c r="CX25" s="178">
        <v>1986</v>
      </c>
      <c r="CY25" s="178">
        <v>1967</v>
      </c>
      <c r="CZ25" s="178">
        <v>1994</v>
      </c>
      <c r="DA25" s="178">
        <v>1937</v>
      </c>
      <c r="DB25" s="178">
        <v>1981</v>
      </c>
      <c r="DC25" s="178">
        <v>2078</v>
      </c>
      <c r="DD25" s="178">
        <v>2057</v>
      </c>
      <c r="DE25" s="178">
        <v>2066</v>
      </c>
      <c r="DF25" s="178">
        <v>1997</v>
      </c>
      <c r="DG25" s="178">
        <v>2020</v>
      </c>
      <c r="DH25" s="178">
        <v>2050</v>
      </c>
      <c r="DI25" s="178">
        <v>2066</v>
      </c>
      <c r="DJ25" s="178">
        <v>1869</v>
      </c>
      <c r="DK25" s="178">
        <v>1889</v>
      </c>
      <c r="DL25" s="178">
        <v>1942</v>
      </c>
      <c r="DM25" s="178">
        <v>1984</v>
      </c>
      <c r="DN25" s="178">
        <v>1830</v>
      </c>
      <c r="DO25" s="178">
        <v>1920</v>
      </c>
      <c r="DP25" s="178">
        <v>1721</v>
      </c>
      <c r="DQ25" s="178">
        <v>1694</v>
      </c>
      <c r="DR25" s="178">
        <v>1664</v>
      </c>
      <c r="DS25" s="178">
        <v>1642</v>
      </c>
      <c r="DT25" s="178">
        <v>1638</v>
      </c>
      <c r="DU25" s="178">
        <v>1705</v>
      </c>
      <c r="DV25" s="178">
        <v>1753</v>
      </c>
      <c r="DW25" s="178">
        <v>1721</v>
      </c>
      <c r="DX25" s="178">
        <v>1711</v>
      </c>
      <c r="DY25" s="178">
        <v>1660</v>
      </c>
      <c r="DZ25" s="178">
        <v>1708</v>
      </c>
      <c r="EA25" s="178">
        <v>1738</v>
      </c>
      <c r="EB25" s="178">
        <v>1794</v>
      </c>
      <c r="EC25" s="178">
        <v>1778</v>
      </c>
      <c r="ED25" s="178">
        <v>1795</v>
      </c>
      <c r="EE25" s="178">
        <v>1746</v>
      </c>
      <c r="EF25" s="178">
        <v>1700</v>
      </c>
      <c r="EG25" s="178">
        <v>1693</v>
      </c>
      <c r="EH25" s="178">
        <v>1728</v>
      </c>
    </row>
    <row r="26" spans="1:138" x14ac:dyDescent="0.25">
      <c r="A26" s="49" t="str">
        <f>IPO監視一覧!H23</f>
        <v>A</v>
      </c>
      <c r="B26" s="49" t="str">
        <f>IPO監視一覧!B23</f>
        <v>ＨＥＲＯＺ</v>
      </c>
      <c r="C26" s="177">
        <f>株価一覧!E25</f>
        <v>18250</v>
      </c>
      <c r="D26" s="105">
        <f t="shared" ca="1" si="4"/>
        <v>18400</v>
      </c>
      <c r="E26" s="177">
        <f t="shared" ca="1" si="1"/>
        <v>18218.666666666668</v>
      </c>
      <c r="F26" s="110">
        <f t="shared" ca="1" si="2"/>
        <v>16620</v>
      </c>
      <c r="G26" s="178">
        <v>0</v>
      </c>
      <c r="H26" s="178">
        <v>0</v>
      </c>
      <c r="I26" s="178">
        <v>0</v>
      </c>
      <c r="J26" s="178">
        <v>0</v>
      </c>
      <c r="K26" s="178">
        <v>0</v>
      </c>
      <c r="L26" s="178">
        <v>0</v>
      </c>
      <c r="M26" s="178">
        <v>0</v>
      </c>
      <c r="N26" s="178">
        <v>0</v>
      </c>
      <c r="O26" s="178">
        <v>0</v>
      </c>
      <c r="P26" s="178">
        <v>0</v>
      </c>
      <c r="Q26" s="178">
        <v>0</v>
      </c>
      <c r="R26" s="178">
        <v>0</v>
      </c>
      <c r="S26" s="178">
        <v>0</v>
      </c>
      <c r="T26" s="178">
        <v>0</v>
      </c>
      <c r="U26" s="178">
        <v>0</v>
      </c>
      <c r="V26" s="178">
        <v>0</v>
      </c>
      <c r="W26" s="178">
        <v>0</v>
      </c>
      <c r="X26" s="178">
        <v>0</v>
      </c>
      <c r="Y26" s="178">
        <v>0</v>
      </c>
      <c r="Z26" s="178">
        <v>0</v>
      </c>
      <c r="AA26" s="178">
        <v>0</v>
      </c>
      <c r="AB26" s="178">
        <v>0</v>
      </c>
      <c r="AC26" s="178">
        <v>0</v>
      </c>
      <c r="AD26" s="178">
        <v>0</v>
      </c>
      <c r="AE26" s="178">
        <v>0</v>
      </c>
      <c r="AF26" s="178">
        <v>0</v>
      </c>
      <c r="AG26" s="178">
        <v>0</v>
      </c>
      <c r="AH26" s="178">
        <v>0</v>
      </c>
      <c r="AI26" s="178">
        <v>0</v>
      </c>
      <c r="AJ26" s="178">
        <v>0</v>
      </c>
      <c r="AK26" s="178">
        <v>0</v>
      </c>
      <c r="AL26" s="178">
        <v>0</v>
      </c>
      <c r="AM26" s="178">
        <v>0</v>
      </c>
      <c r="AN26" s="178">
        <v>0</v>
      </c>
      <c r="AO26" s="178">
        <v>0</v>
      </c>
      <c r="AP26" s="178">
        <v>0</v>
      </c>
      <c r="AQ26" s="178">
        <v>0</v>
      </c>
      <c r="AR26" s="178">
        <v>0</v>
      </c>
      <c r="AS26" s="178">
        <v>0</v>
      </c>
      <c r="AT26" s="178">
        <v>0</v>
      </c>
      <c r="AU26" s="178">
        <v>0</v>
      </c>
      <c r="AV26" s="178">
        <v>0</v>
      </c>
      <c r="AW26" s="178">
        <v>0</v>
      </c>
      <c r="AX26" s="178">
        <v>42000</v>
      </c>
      <c r="AY26" s="178">
        <v>35000</v>
      </c>
      <c r="AZ26" s="178">
        <v>28900</v>
      </c>
      <c r="BA26" s="178">
        <v>26600</v>
      </c>
      <c r="BB26" s="178">
        <v>25360</v>
      </c>
      <c r="BC26" s="178">
        <v>23860</v>
      </c>
      <c r="BD26" s="178">
        <v>23250</v>
      </c>
      <c r="BE26" s="178">
        <v>20870</v>
      </c>
      <c r="BF26" s="178">
        <v>21940</v>
      </c>
      <c r="BG26" s="178">
        <v>22310</v>
      </c>
      <c r="BH26" s="178">
        <v>20100</v>
      </c>
      <c r="BI26" s="178">
        <v>20960</v>
      </c>
      <c r="BJ26" s="178">
        <v>23700</v>
      </c>
      <c r="BK26" s="178">
        <v>23790</v>
      </c>
      <c r="BL26" s="178">
        <v>24100</v>
      </c>
      <c r="BM26" s="178">
        <v>24280</v>
      </c>
      <c r="BN26" s="178">
        <v>24580</v>
      </c>
      <c r="BO26" s="178">
        <v>24010</v>
      </c>
      <c r="BP26" s="178">
        <v>23020</v>
      </c>
      <c r="BQ26" s="178">
        <v>21860</v>
      </c>
      <c r="BR26" s="178">
        <v>21350</v>
      </c>
      <c r="BS26" s="178">
        <v>22420</v>
      </c>
      <c r="BT26" s="178">
        <v>22470</v>
      </c>
      <c r="BU26" s="178">
        <v>22470</v>
      </c>
      <c r="BV26" s="178">
        <v>21520</v>
      </c>
      <c r="BW26" s="178">
        <v>21020</v>
      </c>
      <c r="BX26" s="178">
        <v>21910</v>
      </c>
      <c r="BY26" s="178">
        <v>21760</v>
      </c>
      <c r="BZ26" s="178">
        <v>20520</v>
      </c>
      <c r="CA26" s="178">
        <v>20410</v>
      </c>
      <c r="CB26" s="178">
        <v>20450</v>
      </c>
      <c r="CC26" s="178">
        <v>20400</v>
      </c>
      <c r="CD26" s="178">
        <v>20730</v>
      </c>
      <c r="CE26" s="178">
        <v>20330</v>
      </c>
      <c r="CF26" s="178">
        <v>20020</v>
      </c>
      <c r="CG26" s="178">
        <v>18370</v>
      </c>
      <c r="CH26" s="178">
        <v>18510</v>
      </c>
      <c r="CI26" s="178">
        <v>18030</v>
      </c>
      <c r="CJ26" s="178">
        <v>16740</v>
      </c>
      <c r="CK26" s="178">
        <v>16570</v>
      </c>
      <c r="CL26" s="178">
        <v>16370</v>
      </c>
      <c r="CM26" s="178">
        <v>17040</v>
      </c>
      <c r="CN26" s="178">
        <v>18210</v>
      </c>
      <c r="CO26" s="178">
        <v>20050</v>
      </c>
      <c r="CP26" s="178">
        <v>21250</v>
      </c>
      <c r="CQ26" s="178">
        <v>19350</v>
      </c>
      <c r="CR26" s="178">
        <v>20000</v>
      </c>
      <c r="CS26" s="178">
        <v>19400</v>
      </c>
      <c r="CT26" s="178">
        <v>19210</v>
      </c>
      <c r="CU26" s="178">
        <v>18890</v>
      </c>
      <c r="CV26" s="178">
        <v>20630</v>
      </c>
      <c r="CW26" s="178">
        <v>19840</v>
      </c>
      <c r="CX26" s="178">
        <v>19920</v>
      </c>
      <c r="CY26" s="178">
        <v>19380</v>
      </c>
      <c r="CZ26" s="178">
        <v>20580</v>
      </c>
      <c r="DA26" s="178">
        <v>21450</v>
      </c>
      <c r="DB26" s="178">
        <v>20930</v>
      </c>
      <c r="DC26" s="178">
        <v>20840</v>
      </c>
      <c r="DD26" s="178">
        <v>20600</v>
      </c>
      <c r="DE26" s="178">
        <v>20500</v>
      </c>
      <c r="DF26" s="178">
        <v>20120</v>
      </c>
      <c r="DG26" s="178">
        <v>20130</v>
      </c>
      <c r="DH26" s="178">
        <v>20200</v>
      </c>
      <c r="DI26" s="178">
        <v>19150</v>
      </c>
      <c r="DJ26" s="178">
        <v>18800</v>
      </c>
      <c r="DK26" s="178">
        <v>18930</v>
      </c>
      <c r="DL26" s="178">
        <v>18810</v>
      </c>
      <c r="DM26" s="178">
        <v>18130</v>
      </c>
      <c r="DN26" s="178">
        <v>17820</v>
      </c>
      <c r="DO26" s="178">
        <v>17850</v>
      </c>
      <c r="DP26" s="178">
        <v>17680</v>
      </c>
      <c r="DQ26" s="178">
        <v>17230</v>
      </c>
      <c r="DR26" s="178">
        <v>17060</v>
      </c>
      <c r="DS26" s="178">
        <v>16990</v>
      </c>
      <c r="DT26" s="178">
        <v>16480</v>
      </c>
      <c r="DU26" s="178">
        <v>16620</v>
      </c>
      <c r="DV26" s="178">
        <v>17490</v>
      </c>
      <c r="DW26" s="178">
        <v>18360</v>
      </c>
      <c r="DX26" s="178">
        <v>18220</v>
      </c>
      <c r="DY26" s="178">
        <v>18660</v>
      </c>
      <c r="DZ26" s="178">
        <v>18680</v>
      </c>
      <c r="EA26" s="178">
        <v>18890</v>
      </c>
      <c r="EB26" s="178">
        <v>18780</v>
      </c>
      <c r="EC26" s="178">
        <v>19100</v>
      </c>
      <c r="ED26" s="178">
        <v>19050</v>
      </c>
      <c r="EE26" s="178">
        <v>18600</v>
      </c>
      <c r="EF26" s="178">
        <v>18220</v>
      </c>
      <c r="EG26" s="178">
        <v>17880</v>
      </c>
      <c r="EH26" s="178">
        <v>18250</v>
      </c>
    </row>
    <row r="27" spans="1:138" x14ac:dyDescent="0.25">
      <c r="A27" s="49" t="str">
        <f>IPO監視一覧!H24</f>
        <v>A</v>
      </c>
      <c r="B27" s="49" t="str">
        <f>IPO監視一覧!B24</f>
        <v>ベストワンドットコム</v>
      </c>
      <c r="C27" s="177">
        <f>株価一覧!E26</f>
        <v>12310</v>
      </c>
      <c r="D27" s="105">
        <f t="shared" ca="1" si="4"/>
        <v>11862</v>
      </c>
      <c r="E27" s="177">
        <f t="shared" ca="1" si="1"/>
        <v>11738</v>
      </c>
      <c r="F27" s="110">
        <f t="shared" ca="1" si="2"/>
        <v>11300</v>
      </c>
      <c r="G27" s="178">
        <v>0</v>
      </c>
      <c r="H27" s="178">
        <v>0</v>
      </c>
      <c r="I27" s="178">
        <v>0</v>
      </c>
      <c r="J27" s="178">
        <v>0</v>
      </c>
      <c r="K27" s="178">
        <v>0</v>
      </c>
      <c r="L27" s="178">
        <v>0</v>
      </c>
      <c r="M27" s="178">
        <v>0</v>
      </c>
      <c r="N27" s="178">
        <v>0</v>
      </c>
      <c r="O27" s="178">
        <v>0</v>
      </c>
      <c r="P27" s="178">
        <v>0</v>
      </c>
      <c r="Q27" s="178">
        <v>0</v>
      </c>
      <c r="R27" s="178">
        <v>0</v>
      </c>
      <c r="S27" s="178">
        <v>0</v>
      </c>
      <c r="T27" s="178">
        <v>0</v>
      </c>
      <c r="U27" s="178">
        <v>0</v>
      </c>
      <c r="V27" s="178">
        <v>0</v>
      </c>
      <c r="W27" s="178">
        <v>0</v>
      </c>
      <c r="X27" s="178">
        <v>0</v>
      </c>
      <c r="Y27" s="178">
        <v>0</v>
      </c>
      <c r="Z27" s="178">
        <v>0</v>
      </c>
      <c r="AA27" s="178">
        <v>0</v>
      </c>
      <c r="AB27" s="178">
        <v>0</v>
      </c>
      <c r="AC27" s="178">
        <v>0</v>
      </c>
      <c r="AD27" s="178">
        <v>0</v>
      </c>
      <c r="AE27" s="178">
        <v>0</v>
      </c>
      <c r="AF27" s="178">
        <v>0</v>
      </c>
      <c r="AG27" s="178">
        <v>0</v>
      </c>
      <c r="AH27" s="178">
        <v>0</v>
      </c>
      <c r="AI27" s="178">
        <v>0</v>
      </c>
      <c r="AJ27" s="178">
        <v>0</v>
      </c>
      <c r="AK27" s="178">
        <v>0</v>
      </c>
      <c r="AL27" s="178">
        <v>0</v>
      </c>
      <c r="AM27" s="178">
        <v>0</v>
      </c>
      <c r="AN27" s="178">
        <v>0</v>
      </c>
      <c r="AO27" s="178">
        <v>0</v>
      </c>
      <c r="AP27" s="178">
        <v>0</v>
      </c>
      <c r="AQ27" s="178">
        <v>0</v>
      </c>
      <c r="AR27" s="178">
        <v>0</v>
      </c>
      <c r="AS27" s="178">
        <v>0</v>
      </c>
      <c r="AT27" s="178">
        <v>0</v>
      </c>
      <c r="AU27" s="178">
        <v>0</v>
      </c>
      <c r="AV27" s="178">
        <v>0</v>
      </c>
      <c r="AW27" s="178">
        <v>0</v>
      </c>
      <c r="AX27" s="178">
        <v>0</v>
      </c>
      <c r="AY27" s="178">
        <v>0</v>
      </c>
      <c r="AZ27" s="178">
        <v>15100</v>
      </c>
      <c r="BA27" s="178">
        <v>11260</v>
      </c>
      <c r="BB27" s="178">
        <v>11730</v>
      </c>
      <c r="BC27" s="178">
        <v>11970</v>
      </c>
      <c r="BD27" s="178">
        <v>13010</v>
      </c>
      <c r="BE27" s="178">
        <v>12200</v>
      </c>
      <c r="BF27" s="178">
        <v>11850</v>
      </c>
      <c r="BG27" s="178">
        <v>11370</v>
      </c>
      <c r="BH27" s="178">
        <v>10660</v>
      </c>
      <c r="BI27" s="178">
        <v>11290</v>
      </c>
      <c r="BJ27" s="178">
        <v>11220</v>
      </c>
      <c r="BK27" s="178">
        <v>10380</v>
      </c>
      <c r="BL27" s="178">
        <v>10000</v>
      </c>
      <c r="BM27" s="178">
        <v>9670</v>
      </c>
      <c r="BN27" s="178">
        <v>9500</v>
      </c>
      <c r="BO27" s="178">
        <v>9740</v>
      </c>
      <c r="BP27" s="178">
        <v>10620</v>
      </c>
      <c r="BQ27" s="178">
        <v>10500</v>
      </c>
      <c r="BR27" s="178">
        <v>10940</v>
      </c>
      <c r="BS27" s="178">
        <v>11240</v>
      </c>
      <c r="BT27" s="178">
        <v>11380</v>
      </c>
      <c r="BU27" s="178">
        <v>11550</v>
      </c>
      <c r="BV27" s="178">
        <v>11140</v>
      </c>
      <c r="BW27" s="178">
        <v>10350</v>
      </c>
      <c r="BX27" s="178">
        <v>10780</v>
      </c>
      <c r="BY27" s="178">
        <v>10560</v>
      </c>
      <c r="BZ27" s="178">
        <v>12000</v>
      </c>
      <c r="CA27" s="178">
        <v>12530</v>
      </c>
      <c r="CB27" s="178">
        <v>11800</v>
      </c>
      <c r="CC27" s="178">
        <v>11760</v>
      </c>
      <c r="CD27" s="178">
        <v>11470</v>
      </c>
      <c r="CE27" s="178">
        <v>11330</v>
      </c>
      <c r="CF27" s="178">
        <v>10900</v>
      </c>
      <c r="CG27" s="178">
        <v>10900</v>
      </c>
      <c r="CH27" s="178">
        <v>10680</v>
      </c>
      <c r="CI27" s="178">
        <v>10220</v>
      </c>
      <c r="CJ27" s="178">
        <v>10940</v>
      </c>
      <c r="CK27" s="178">
        <v>10810</v>
      </c>
      <c r="CL27" s="178">
        <v>10100</v>
      </c>
      <c r="CM27" s="178">
        <v>10090</v>
      </c>
      <c r="CN27" s="178">
        <v>10000</v>
      </c>
      <c r="CO27" s="178">
        <v>10070</v>
      </c>
      <c r="CP27" s="178">
        <v>9940</v>
      </c>
      <c r="CQ27" s="178">
        <v>9850</v>
      </c>
      <c r="CR27" s="178">
        <v>9900</v>
      </c>
      <c r="CS27" s="178">
        <v>10200</v>
      </c>
      <c r="CT27" s="178">
        <v>10200</v>
      </c>
      <c r="CU27" s="178">
        <v>10200</v>
      </c>
      <c r="CV27" s="178">
        <v>10070</v>
      </c>
      <c r="CW27" s="178">
        <v>9830</v>
      </c>
      <c r="CX27" s="178">
        <v>10290</v>
      </c>
      <c r="CY27" s="178">
        <v>10180</v>
      </c>
      <c r="CZ27" s="178">
        <v>10270</v>
      </c>
      <c r="DA27" s="178">
        <v>10310</v>
      </c>
      <c r="DB27" s="178">
        <v>11190</v>
      </c>
      <c r="DC27" s="178">
        <v>11340</v>
      </c>
      <c r="DD27" s="178">
        <v>11170</v>
      </c>
      <c r="DE27" s="178">
        <v>11290</v>
      </c>
      <c r="DF27" s="178">
        <v>11360</v>
      </c>
      <c r="DG27" s="178">
        <v>11090</v>
      </c>
      <c r="DH27" s="178">
        <v>10850</v>
      </c>
      <c r="DI27" s="178">
        <v>10710</v>
      </c>
      <c r="DJ27" s="178">
        <v>10850</v>
      </c>
      <c r="DK27" s="178">
        <v>10990</v>
      </c>
      <c r="DL27" s="178">
        <v>11100</v>
      </c>
      <c r="DM27" s="178">
        <v>11100</v>
      </c>
      <c r="DN27" s="178">
        <v>10890</v>
      </c>
      <c r="DO27" s="178">
        <v>11110</v>
      </c>
      <c r="DP27" s="178">
        <v>11100</v>
      </c>
      <c r="DQ27" s="178">
        <v>11930</v>
      </c>
      <c r="DR27" s="178">
        <v>11750</v>
      </c>
      <c r="DS27" s="178">
        <v>11590</v>
      </c>
      <c r="DT27" s="178">
        <v>12120</v>
      </c>
      <c r="DU27" s="178">
        <v>12120</v>
      </c>
      <c r="DV27" s="178">
        <v>11700</v>
      </c>
      <c r="DW27" s="178">
        <v>11640</v>
      </c>
      <c r="DX27" s="178">
        <v>11420</v>
      </c>
      <c r="DY27" s="178">
        <v>11300</v>
      </c>
      <c r="DZ27" s="178">
        <v>11520</v>
      </c>
      <c r="EA27" s="178">
        <v>11790</v>
      </c>
      <c r="EB27" s="178">
        <v>11610</v>
      </c>
      <c r="EC27" s="178">
        <v>11540</v>
      </c>
      <c r="ED27" s="178">
        <v>11480</v>
      </c>
      <c r="EE27" s="178">
        <v>11870</v>
      </c>
      <c r="EF27" s="178">
        <v>11820</v>
      </c>
      <c r="EG27" s="178">
        <v>11830</v>
      </c>
      <c r="EH27" s="178">
        <v>12310</v>
      </c>
    </row>
    <row r="28" spans="1:138" x14ac:dyDescent="0.25">
      <c r="A28" s="49" t="str">
        <f>IPO監視一覧!H25</f>
        <v>B</v>
      </c>
      <c r="B28" s="49" t="str">
        <f>IPO監視一覧!B25</f>
        <v>アイペット損害保険</v>
      </c>
      <c r="C28" s="177">
        <f>株価一覧!E27</f>
        <v>4290</v>
      </c>
      <c r="D28" s="105">
        <f t="shared" ca="1" si="4"/>
        <v>4204</v>
      </c>
      <c r="E28" s="177">
        <f t="shared" ca="1" si="1"/>
        <v>4242</v>
      </c>
      <c r="F28" s="110">
        <f t="shared" ca="1" si="2"/>
        <v>4085</v>
      </c>
      <c r="G28" s="178">
        <v>0</v>
      </c>
      <c r="H28" s="178">
        <v>0</v>
      </c>
      <c r="I28" s="178">
        <v>0</v>
      </c>
      <c r="J28" s="178">
        <v>0</v>
      </c>
      <c r="K28" s="178">
        <v>0</v>
      </c>
      <c r="L28" s="178">
        <v>0</v>
      </c>
      <c r="M28" s="178">
        <v>0</v>
      </c>
      <c r="N28" s="178">
        <v>0</v>
      </c>
      <c r="O28" s="178">
        <v>0</v>
      </c>
      <c r="P28" s="178">
        <v>0</v>
      </c>
      <c r="Q28" s="178">
        <v>0</v>
      </c>
      <c r="R28" s="178">
        <v>0</v>
      </c>
      <c r="S28" s="178">
        <v>0</v>
      </c>
      <c r="T28" s="178">
        <v>0</v>
      </c>
      <c r="U28" s="178">
        <v>0</v>
      </c>
      <c r="V28" s="178">
        <v>0</v>
      </c>
      <c r="W28" s="178">
        <v>0</v>
      </c>
      <c r="X28" s="178">
        <v>0</v>
      </c>
      <c r="Y28" s="178">
        <v>0</v>
      </c>
      <c r="Z28" s="178">
        <v>0</v>
      </c>
      <c r="AA28" s="178">
        <v>0</v>
      </c>
      <c r="AB28" s="178">
        <v>0</v>
      </c>
      <c r="AC28" s="178">
        <v>0</v>
      </c>
      <c r="AD28" s="178">
        <v>0</v>
      </c>
      <c r="AE28" s="178">
        <v>0</v>
      </c>
      <c r="AF28" s="178">
        <v>0</v>
      </c>
      <c r="AG28" s="178">
        <v>0</v>
      </c>
      <c r="AH28" s="178">
        <v>0</v>
      </c>
      <c r="AI28" s="178">
        <v>0</v>
      </c>
      <c r="AJ28" s="178">
        <v>0</v>
      </c>
      <c r="AK28" s="178">
        <v>0</v>
      </c>
      <c r="AL28" s="178">
        <v>0</v>
      </c>
      <c r="AM28" s="178">
        <v>0</v>
      </c>
      <c r="AN28" s="178">
        <v>0</v>
      </c>
      <c r="AO28" s="178">
        <v>0</v>
      </c>
      <c r="AP28" s="178">
        <v>0</v>
      </c>
      <c r="AQ28" s="178">
        <v>0</v>
      </c>
      <c r="AR28" s="178">
        <v>0</v>
      </c>
      <c r="AS28" s="178">
        <v>0</v>
      </c>
      <c r="AT28" s="178">
        <v>0</v>
      </c>
      <c r="AU28" s="178">
        <v>0</v>
      </c>
      <c r="AV28" s="178">
        <v>0</v>
      </c>
      <c r="AW28" s="178">
        <v>0</v>
      </c>
      <c r="AX28" s="178">
        <v>0</v>
      </c>
      <c r="AY28" s="178">
        <v>4040</v>
      </c>
      <c r="AZ28" s="178">
        <v>3570</v>
      </c>
      <c r="BA28" s="178">
        <v>3890</v>
      </c>
      <c r="BB28" s="178">
        <v>3870</v>
      </c>
      <c r="BC28" s="178">
        <v>3675</v>
      </c>
      <c r="BD28" s="178">
        <v>3560</v>
      </c>
      <c r="BE28" s="178">
        <v>3525</v>
      </c>
      <c r="BF28" s="178">
        <v>3950</v>
      </c>
      <c r="BG28" s="178">
        <v>4040</v>
      </c>
      <c r="BH28" s="178">
        <v>3980</v>
      </c>
      <c r="BI28" s="178">
        <v>3720</v>
      </c>
      <c r="BJ28" s="178">
        <v>3720</v>
      </c>
      <c r="BK28" s="178">
        <v>3790</v>
      </c>
      <c r="BL28" s="178">
        <v>3840</v>
      </c>
      <c r="BM28" s="178">
        <v>3755</v>
      </c>
      <c r="BN28" s="178">
        <v>3690</v>
      </c>
      <c r="BO28" s="178">
        <v>3780</v>
      </c>
      <c r="BP28" s="178">
        <v>3755</v>
      </c>
      <c r="BQ28" s="178">
        <v>3735</v>
      </c>
      <c r="BR28" s="178">
        <v>3585</v>
      </c>
      <c r="BS28" s="178">
        <v>3670</v>
      </c>
      <c r="BT28" s="178">
        <v>3750</v>
      </c>
      <c r="BU28" s="178">
        <v>3805</v>
      </c>
      <c r="BV28" s="178">
        <v>3685</v>
      </c>
      <c r="BW28" s="178">
        <v>3730</v>
      </c>
      <c r="BX28" s="178">
        <v>3600</v>
      </c>
      <c r="BY28" s="178">
        <v>3785</v>
      </c>
      <c r="BZ28" s="178">
        <v>3820</v>
      </c>
      <c r="CA28" s="178">
        <v>3815</v>
      </c>
      <c r="CB28" s="178">
        <v>3750</v>
      </c>
      <c r="CC28" s="178">
        <v>3760</v>
      </c>
      <c r="CD28" s="178">
        <v>3735</v>
      </c>
      <c r="CE28" s="178">
        <v>3755</v>
      </c>
      <c r="CF28" s="178">
        <v>3600</v>
      </c>
      <c r="CG28" s="178">
        <v>3610</v>
      </c>
      <c r="CH28" s="178">
        <v>3750</v>
      </c>
      <c r="CI28" s="178">
        <v>3785</v>
      </c>
      <c r="CJ28" s="178">
        <v>3635</v>
      </c>
      <c r="CK28" s="178">
        <v>3610</v>
      </c>
      <c r="CL28" s="178">
        <v>3650</v>
      </c>
      <c r="CM28" s="178">
        <v>3740</v>
      </c>
      <c r="CN28" s="178">
        <v>3635</v>
      </c>
      <c r="CO28" s="178">
        <v>3765</v>
      </c>
      <c r="CP28" s="178">
        <v>3655</v>
      </c>
      <c r="CQ28" s="178">
        <v>3515</v>
      </c>
      <c r="CR28" s="178">
        <v>3575</v>
      </c>
      <c r="CS28" s="178">
        <v>3585</v>
      </c>
      <c r="CT28" s="178">
        <v>3650</v>
      </c>
      <c r="CU28" s="178">
        <v>3570</v>
      </c>
      <c r="CV28" s="178">
        <v>3760</v>
      </c>
      <c r="CW28" s="178">
        <v>3970</v>
      </c>
      <c r="CX28" s="178">
        <v>3850</v>
      </c>
      <c r="CY28" s="178">
        <v>3940</v>
      </c>
      <c r="CZ28" s="178">
        <v>3990</v>
      </c>
      <c r="DA28" s="178">
        <v>4115</v>
      </c>
      <c r="DB28" s="178">
        <v>4080</v>
      </c>
      <c r="DC28" s="178">
        <v>3990</v>
      </c>
      <c r="DD28" s="178">
        <v>4025</v>
      </c>
      <c r="DE28" s="178">
        <v>3975</v>
      </c>
      <c r="DF28" s="178">
        <v>4080</v>
      </c>
      <c r="DG28" s="178">
        <v>3985</v>
      </c>
      <c r="DH28" s="178">
        <v>4395</v>
      </c>
      <c r="DI28" s="178">
        <v>4535</v>
      </c>
      <c r="DJ28" s="178">
        <v>4410</v>
      </c>
      <c r="DK28" s="178">
        <v>4405</v>
      </c>
      <c r="DL28" s="178">
        <v>4415</v>
      </c>
      <c r="DM28" s="178">
        <v>4480</v>
      </c>
      <c r="DN28" s="178">
        <v>4400</v>
      </c>
      <c r="DO28" s="178">
        <v>4580</v>
      </c>
      <c r="DP28" s="178">
        <v>4645</v>
      </c>
      <c r="DQ28" s="178">
        <v>4410</v>
      </c>
      <c r="DR28" s="178">
        <v>4525</v>
      </c>
      <c r="DS28" s="178">
        <v>4500</v>
      </c>
      <c r="DT28" s="178">
        <v>4345</v>
      </c>
      <c r="DU28" s="178">
        <v>4360</v>
      </c>
      <c r="DV28" s="178">
        <v>4290</v>
      </c>
      <c r="DW28" s="178">
        <v>4130</v>
      </c>
      <c r="DX28" s="178">
        <v>4085</v>
      </c>
      <c r="DY28" s="178">
        <v>4205</v>
      </c>
      <c r="DZ28" s="178">
        <v>4430</v>
      </c>
      <c r="EA28" s="178">
        <v>4320</v>
      </c>
      <c r="EB28" s="178">
        <v>4270</v>
      </c>
      <c r="EC28" s="178">
        <v>4175</v>
      </c>
      <c r="ED28" s="178">
        <v>4155</v>
      </c>
      <c r="EE28" s="178">
        <v>4145</v>
      </c>
      <c r="EF28" s="178">
        <v>4215</v>
      </c>
      <c r="EG28" s="178">
        <v>4215</v>
      </c>
      <c r="EH28" s="178">
        <v>4290</v>
      </c>
    </row>
    <row r="29" spans="1:138" x14ac:dyDescent="0.25">
      <c r="A29" s="49" t="str">
        <f>IPO監視一覧!H26</f>
        <v>B</v>
      </c>
      <c r="B29" s="49" t="str">
        <f>IPO監視一覧!B26</f>
        <v>エヌリンクス</v>
      </c>
      <c r="C29" s="177">
        <f>株価一覧!E28</f>
        <v>2475</v>
      </c>
      <c r="D29" s="105">
        <f t="shared" ca="1" si="4"/>
        <v>2513.4</v>
      </c>
      <c r="E29" s="177">
        <f t="shared" ca="1" si="1"/>
        <v>2403.6</v>
      </c>
      <c r="F29" s="110">
        <f t="shared" ca="1" si="2"/>
        <v>2195</v>
      </c>
      <c r="G29" s="178">
        <v>0</v>
      </c>
      <c r="H29" s="178">
        <v>0</v>
      </c>
      <c r="I29" s="178">
        <v>0</v>
      </c>
      <c r="J29" s="178">
        <v>0</v>
      </c>
      <c r="K29" s="178">
        <v>0</v>
      </c>
      <c r="L29" s="178">
        <v>0</v>
      </c>
      <c r="M29" s="178">
        <v>0</v>
      </c>
      <c r="N29" s="178">
        <v>0</v>
      </c>
      <c r="O29" s="178">
        <v>0</v>
      </c>
      <c r="P29" s="178">
        <v>0</v>
      </c>
      <c r="Q29" s="178">
        <v>0</v>
      </c>
      <c r="R29" s="178">
        <v>0</v>
      </c>
      <c r="S29" s="178">
        <v>0</v>
      </c>
      <c r="T29" s="178">
        <v>0</v>
      </c>
      <c r="U29" s="178">
        <v>0</v>
      </c>
      <c r="V29" s="178">
        <v>0</v>
      </c>
      <c r="W29" s="178">
        <v>0</v>
      </c>
      <c r="X29" s="178">
        <v>0</v>
      </c>
      <c r="Y29" s="178">
        <v>0</v>
      </c>
      <c r="Z29" s="178">
        <v>0</v>
      </c>
      <c r="AA29" s="178">
        <v>0</v>
      </c>
      <c r="AB29" s="178">
        <v>0</v>
      </c>
      <c r="AC29" s="178">
        <v>0</v>
      </c>
      <c r="AD29" s="178">
        <v>0</v>
      </c>
      <c r="AE29" s="178">
        <v>0</v>
      </c>
      <c r="AF29" s="178">
        <v>0</v>
      </c>
      <c r="AG29" s="178">
        <v>0</v>
      </c>
      <c r="AH29" s="178">
        <v>0</v>
      </c>
      <c r="AI29" s="178">
        <v>0</v>
      </c>
      <c r="AJ29" s="178">
        <v>0</v>
      </c>
      <c r="AK29" s="178">
        <v>0</v>
      </c>
      <c r="AL29" s="178">
        <v>0</v>
      </c>
      <c r="AM29" s="178">
        <v>0</v>
      </c>
      <c r="AN29" s="178">
        <v>0</v>
      </c>
      <c r="AO29" s="178">
        <v>0</v>
      </c>
      <c r="AP29" s="178">
        <v>0</v>
      </c>
      <c r="AQ29" s="178">
        <v>0</v>
      </c>
      <c r="AR29" s="178">
        <v>0</v>
      </c>
      <c r="AS29" s="178">
        <v>0</v>
      </c>
      <c r="AT29" s="178">
        <v>0</v>
      </c>
      <c r="AU29" s="178">
        <v>0</v>
      </c>
      <c r="AV29" s="178">
        <v>0</v>
      </c>
      <c r="AW29" s="178">
        <v>0</v>
      </c>
      <c r="AX29" s="178">
        <v>0</v>
      </c>
      <c r="AY29" s="178">
        <v>0</v>
      </c>
      <c r="AZ29" s="178">
        <v>0</v>
      </c>
      <c r="BA29" s="178">
        <v>3080</v>
      </c>
      <c r="BB29" s="178">
        <v>2705</v>
      </c>
      <c r="BC29" s="178">
        <v>2602</v>
      </c>
      <c r="BD29" s="178">
        <v>2632</v>
      </c>
      <c r="BE29" s="178">
        <v>2565</v>
      </c>
      <c r="BF29" s="178">
        <v>2521</v>
      </c>
      <c r="BG29" s="178">
        <v>2576</v>
      </c>
      <c r="BH29" s="178">
        <v>2540</v>
      </c>
      <c r="BI29" s="178">
        <v>2409</v>
      </c>
      <c r="BJ29" s="178">
        <v>2450</v>
      </c>
      <c r="BK29" s="178">
        <v>2549</v>
      </c>
      <c r="BL29" s="178">
        <v>2520</v>
      </c>
      <c r="BM29" s="178">
        <v>2502</v>
      </c>
      <c r="BN29" s="178">
        <v>2480</v>
      </c>
      <c r="BO29" s="178">
        <v>2474</v>
      </c>
      <c r="BP29" s="178">
        <v>2495</v>
      </c>
      <c r="BQ29" s="178">
        <v>2530</v>
      </c>
      <c r="BR29" s="178">
        <v>2695</v>
      </c>
      <c r="BS29" s="178">
        <v>2660</v>
      </c>
      <c r="BT29" s="178">
        <v>2646</v>
      </c>
      <c r="BU29" s="178">
        <v>2530</v>
      </c>
      <c r="BV29" s="178">
        <v>2458</v>
      </c>
      <c r="BW29" s="178">
        <v>2449</v>
      </c>
      <c r="BX29" s="178">
        <v>2403</v>
      </c>
      <c r="BY29" s="178">
        <v>2459</v>
      </c>
      <c r="BZ29" s="178">
        <v>2557</v>
      </c>
      <c r="CA29" s="178">
        <v>2481</v>
      </c>
      <c r="CB29" s="178">
        <v>2462</v>
      </c>
      <c r="CC29" s="178">
        <v>2434</v>
      </c>
      <c r="CD29" s="178">
        <v>2596</v>
      </c>
      <c r="CE29" s="178">
        <v>2523</v>
      </c>
      <c r="CF29" s="178">
        <v>2420</v>
      </c>
      <c r="CG29" s="178">
        <v>2525</v>
      </c>
      <c r="CH29" s="178">
        <v>2485</v>
      </c>
      <c r="CI29" s="178">
        <v>2550</v>
      </c>
      <c r="CJ29" s="178">
        <v>2474</v>
      </c>
      <c r="CK29" s="178">
        <v>2492</v>
      </c>
      <c r="CL29" s="178">
        <v>2443</v>
      </c>
      <c r="CM29" s="178">
        <v>2442</v>
      </c>
      <c r="CN29" s="178">
        <v>2419</v>
      </c>
      <c r="CO29" s="178">
        <v>2391</v>
      </c>
      <c r="CP29" s="178">
        <v>2293</v>
      </c>
      <c r="CQ29" s="178">
        <v>2050</v>
      </c>
      <c r="CR29" s="178">
        <v>2052</v>
      </c>
      <c r="CS29" s="178">
        <v>2127</v>
      </c>
      <c r="CT29" s="178">
        <v>2145</v>
      </c>
      <c r="CU29" s="178">
        <v>2200</v>
      </c>
      <c r="CV29" s="178">
        <v>2266</v>
      </c>
      <c r="CW29" s="178">
        <v>2477</v>
      </c>
      <c r="CX29" s="178">
        <v>2479</v>
      </c>
      <c r="CY29" s="178">
        <v>2430</v>
      </c>
      <c r="CZ29" s="178">
        <v>2408</v>
      </c>
      <c r="DA29" s="178">
        <v>2373</v>
      </c>
      <c r="DB29" s="178">
        <v>2368</v>
      </c>
      <c r="DC29" s="178">
        <v>2351</v>
      </c>
      <c r="DD29" s="178">
        <v>2319</v>
      </c>
      <c r="DE29" s="178">
        <v>2316</v>
      </c>
      <c r="DF29" s="178">
        <v>2335</v>
      </c>
      <c r="DG29" s="178">
        <v>2348</v>
      </c>
      <c r="DH29" s="178">
        <v>2309</v>
      </c>
      <c r="DI29" s="178">
        <v>2282</v>
      </c>
      <c r="DJ29" s="178">
        <v>2305</v>
      </c>
      <c r="DK29" s="178">
        <v>2285</v>
      </c>
      <c r="DL29" s="178">
        <v>2283</v>
      </c>
      <c r="DM29" s="178">
        <v>2218</v>
      </c>
      <c r="DN29" s="178">
        <v>2251</v>
      </c>
      <c r="DO29" s="178">
        <v>2290</v>
      </c>
      <c r="DP29" s="178">
        <v>2290</v>
      </c>
      <c r="DQ29" s="178">
        <v>2331</v>
      </c>
      <c r="DR29" s="178">
        <v>2393</v>
      </c>
      <c r="DS29" s="178">
        <v>2417</v>
      </c>
      <c r="DT29" s="178">
        <v>2404</v>
      </c>
      <c r="DU29" s="178">
        <v>2317</v>
      </c>
      <c r="DV29" s="178">
        <v>2267</v>
      </c>
      <c r="DW29" s="178">
        <v>2195</v>
      </c>
      <c r="DX29" s="178">
        <v>2204</v>
      </c>
      <c r="DY29" s="178">
        <v>2295</v>
      </c>
      <c r="DZ29" s="178">
        <v>2289</v>
      </c>
      <c r="EA29" s="178">
        <v>2395</v>
      </c>
      <c r="EB29" s="178">
        <v>2546</v>
      </c>
      <c r="EC29" s="178">
        <v>2575</v>
      </c>
      <c r="ED29" s="178">
        <v>2585</v>
      </c>
      <c r="EE29" s="178">
        <v>2541</v>
      </c>
      <c r="EF29" s="178">
        <v>2490</v>
      </c>
      <c r="EG29" s="178">
        <v>2476</v>
      </c>
      <c r="EH29" s="178">
        <v>2475</v>
      </c>
    </row>
    <row r="30" spans="1:138" x14ac:dyDescent="0.25">
      <c r="A30" s="49" t="str">
        <f>IPO監視一覧!H27</f>
        <v>D</v>
      </c>
      <c r="B30" s="49" t="str">
        <f>IPO監視一覧!B27</f>
        <v>ラクスル</v>
      </c>
      <c r="C30" s="177">
        <f>株価一覧!E29</f>
        <v>2886</v>
      </c>
      <c r="D30" s="105">
        <f t="shared" ca="1" si="4"/>
        <v>2776.2</v>
      </c>
      <c r="E30" s="177">
        <f t="shared" ca="1" si="1"/>
        <v>2727.2666666666669</v>
      </c>
      <c r="F30" s="110">
        <f t="shared" ca="1" si="2"/>
        <v>2612</v>
      </c>
      <c r="G30" s="178">
        <v>0</v>
      </c>
      <c r="H30" s="178">
        <v>0</v>
      </c>
      <c r="I30" s="178">
        <v>0</v>
      </c>
      <c r="J30" s="178">
        <v>0</v>
      </c>
      <c r="K30" s="178">
        <v>0</v>
      </c>
      <c r="L30" s="178">
        <v>0</v>
      </c>
      <c r="M30" s="178">
        <v>0</v>
      </c>
      <c r="N30" s="178">
        <v>0</v>
      </c>
      <c r="O30" s="178">
        <v>0</v>
      </c>
      <c r="P30" s="178">
        <v>0</v>
      </c>
      <c r="Q30" s="178">
        <v>0</v>
      </c>
      <c r="R30" s="178">
        <v>0</v>
      </c>
      <c r="S30" s="178">
        <v>0</v>
      </c>
      <c r="T30" s="178">
        <v>0</v>
      </c>
      <c r="U30" s="178">
        <v>0</v>
      </c>
      <c r="V30" s="178">
        <v>0</v>
      </c>
      <c r="W30" s="178">
        <v>0</v>
      </c>
      <c r="X30" s="178">
        <v>0</v>
      </c>
      <c r="Y30" s="178">
        <v>0</v>
      </c>
      <c r="Z30" s="178">
        <v>0</v>
      </c>
      <c r="AA30" s="178">
        <v>0</v>
      </c>
      <c r="AB30" s="178">
        <v>0</v>
      </c>
      <c r="AC30" s="178">
        <v>0</v>
      </c>
      <c r="AD30" s="178">
        <v>0</v>
      </c>
      <c r="AE30" s="178">
        <v>0</v>
      </c>
      <c r="AF30" s="178">
        <v>0</v>
      </c>
      <c r="AG30" s="178">
        <v>0</v>
      </c>
      <c r="AH30" s="178">
        <v>0</v>
      </c>
      <c r="AI30" s="178">
        <v>0</v>
      </c>
      <c r="AJ30" s="178">
        <v>0</v>
      </c>
      <c r="AK30" s="178">
        <v>0</v>
      </c>
      <c r="AL30" s="178">
        <v>0</v>
      </c>
      <c r="AM30" s="178">
        <v>0</v>
      </c>
      <c r="AN30" s="178">
        <v>0</v>
      </c>
      <c r="AO30" s="178">
        <v>0</v>
      </c>
      <c r="AP30" s="178">
        <v>0</v>
      </c>
      <c r="AQ30" s="178">
        <v>0</v>
      </c>
      <c r="AR30" s="178">
        <v>0</v>
      </c>
      <c r="AS30" s="178">
        <v>0</v>
      </c>
      <c r="AT30" s="178">
        <v>0</v>
      </c>
      <c r="AU30" s="178">
        <v>0</v>
      </c>
      <c r="AV30" s="178">
        <v>0</v>
      </c>
      <c r="AW30" s="178">
        <v>0</v>
      </c>
      <c r="AX30" s="178">
        <v>0</v>
      </c>
      <c r="AY30" s="178">
        <v>0</v>
      </c>
      <c r="AZ30" s="178">
        <v>0</v>
      </c>
      <c r="BA30" s="178">
        <v>0</v>
      </c>
      <c r="BB30" s="178">
        <v>0</v>
      </c>
      <c r="BC30" s="178">
        <v>0</v>
      </c>
      <c r="BD30" s="178">
        <v>0</v>
      </c>
      <c r="BE30" s="178">
        <v>0</v>
      </c>
      <c r="BF30" s="178">
        <v>0</v>
      </c>
      <c r="BG30" s="178">
        <v>0</v>
      </c>
      <c r="BH30" s="178">
        <v>0</v>
      </c>
      <c r="BI30" s="178">
        <v>0</v>
      </c>
      <c r="BJ30" s="178">
        <v>0</v>
      </c>
      <c r="BK30" s="178">
        <v>0</v>
      </c>
      <c r="BL30" s="178">
        <v>0</v>
      </c>
      <c r="BM30" s="178">
        <v>0</v>
      </c>
      <c r="BN30" s="178">
        <v>0</v>
      </c>
      <c r="BO30" s="178">
        <v>0</v>
      </c>
      <c r="BP30" s="178">
        <v>0</v>
      </c>
      <c r="BQ30" s="178">
        <v>0</v>
      </c>
      <c r="BR30" s="178">
        <v>0</v>
      </c>
      <c r="BS30" s="178">
        <v>0</v>
      </c>
      <c r="BT30" s="178">
        <v>1999</v>
      </c>
      <c r="BU30" s="178">
        <v>2222</v>
      </c>
      <c r="BV30" s="178">
        <v>2065</v>
      </c>
      <c r="BW30" s="178">
        <v>2230</v>
      </c>
      <c r="BX30" s="178">
        <v>2063</v>
      </c>
      <c r="BY30" s="178">
        <v>2104</v>
      </c>
      <c r="BZ30" s="178">
        <v>2055</v>
      </c>
      <c r="CA30" s="178">
        <v>2073</v>
      </c>
      <c r="CB30" s="178">
        <v>2112</v>
      </c>
      <c r="CC30" s="178">
        <v>2303</v>
      </c>
      <c r="CD30" s="178">
        <v>2502</v>
      </c>
      <c r="CE30" s="178">
        <v>2851</v>
      </c>
      <c r="CF30" s="178">
        <v>2846</v>
      </c>
      <c r="CG30" s="178">
        <v>2895</v>
      </c>
      <c r="CH30" s="178">
        <v>2710</v>
      </c>
      <c r="CI30" s="178">
        <v>2790</v>
      </c>
      <c r="CJ30" s="178">
        <v>2512</v>
      </c>
      <c r="CK30" s="178">
        <v>2300</v>
      </c>
      <c r="CL30" s="178">
        <v>2200</v>
      </c>
      <c r="CM30" s="178">
        <v>2447</v>
      </c>
      <c r="CN30" s="178">
        <v>2613</v>
      </c>
      <c r="CO30" s="178">
        <v>2555</v>
      </c>
      <c r="CP30" s="178">
        <v>2805</v>
      </c>
      <c r="CQ30" s="178">
        <v>2749</v>
      </c>
      <c r="CR30" s="178">
        <v>2645</v>
      </c>
      <c r="CS30" s="178">
        <v>2741</v>
      </c>
      <c r="CT30" s="178">
        <v>2738</v>
      </c>
      <c r="CU30" s="178">
        <v>3040</v>
      </c>
      <c r="CV30" s="178">
        <v>2950</v>
      </c>
      <c r="CW30" s="178">
        <v>2766</v>
      </c>
      <c r="CX30" s="178">
        <v>2814</v>
      </c>
      <c r="CY30" s="178">
        <v>2660</v>
      </c>
      <c r="CZ30" s="178">
        <v>2736</v>
      </c>
      <c r="DA30" s="178">
        <v>2980</v>
      </c>
      <c r="DB30" s="178">
        <v>2863</v>
      </c>
      <c r="DC30" s="178">
        <v>2857</v>
      </c>
      <c r="DD30" s="178">
        <v>2804</v>
      </c>
      <c r="DE30" s="178">
        <v>2750</v>
      </c>
      <c r="DF30" s="178">
        <v>2829</v>
      </c>
      <c r="DG30" s="178">
        <v>2930</v>
      </c>
      <c r="DH30" s="178">
        <v>2833</v>
      </c>
      <c r="DI30" s="178">
        <v>2810</v>
      </c>
      <c r="DJ30" s="178">
        <v>2792</v>
      </c>
      <c r="DK30" s="178">
        <v>2859</v>
      </c>
      <c r="DL30" s="178">
        <v>2927</v>
      </c>
      <c r="DM30" s="178">
        <v>2925</v>
      </c>
      <c r="DN30" s="178">
        <v>2618</v>
      </c>
      <c r="DO30" s="178">
        <v>2510</v>
      </c>
      <c r="DP30" s="178">
        <v>2540</v>
      </c>
      <c r="DQ30" s="178">
        <v>2595</v>
      </c>
      <c r="DR30" s="178">
        <v>2651</v>
      </c>
      <c r="DS30" s="178">
        <v>2665</v>
      </c>
      <c r="DT30" s="178">
        <v>2623</v>
      </c>
      <c r="DU30" s="178">
        <v>2688</v>
      </c>
      <c r="DV30" s="178">
        <v>2793</v>
      </c>
      <c r="DW30" s="178">
        <v>2710</v>
      </c>
      <c r="DX30" s="178">
        <v>2685</v>
      </c>
      <c r="DY30" s="178">
        <v>2675</v>
      </c>
      <c r="DZ30" s="178">
        <v>2641</v>
      </c>
      <c r="EA30" s="178">
        <v>2612</v>
      </c>
      <c r="EB30" s="178">
        <v>2900</v>
      </c>
      <c r="EC30" s="178">
        <v>2701</v>
      </c>
      <c r="ED30" s="178">
        <v>2740</v>
      </c>
      <c r="EE30" s="178">
        <v>2762</v>
      </c>
      <c r="EF30" s="178">
        <v>2718</v>
      </c>
      <c r="EG30" s="178">
        <v>2775</v>
      </c>
      <c r="EH30" s="178">
        <v>2886</v>
      </c>
    </row>
    <row r="31" spans="1:138" x14ac:dyDescent="0.25">
      <c r="A31" s="49" t="str">
        <f>IPO監視一覧!H28</f>
        <v>B</v>
      </c>
      <c r="B31" s="49" t="str">
        <f>IPO監視一覧!B28</f>
        <v>メルカリ</v>
      </c>
      <c r="C31" s="177">
        <f>株価一覧!E30</f>
        <v>3155</v>
      </c>
      <c r="D31" s="105">
        <f t="shared" ca="1" si="4"/>
        <v>3440</v>
      </c>
      <c r="E31" s="177">
        <f t="shared" ca="1" si="1"/>
        <v>3545.3333333333335</v>
      </c>
      <c r="F31" s="110">
        <f t="shared" ca="1" si="2"/>
        <v>3155</v>
      </c>
      <c r="G31" s="178">
        <v>0</v>
      </c>
      <c r="H31" s="178">
        <v>0</v>
      </c>
      <c r="I31" s="178">
        <v>0</v>
      </c>
      <c r="J31" s="178">
        <v>0</v>
      </c>
      <c r="K31" s="178">
        <v>0</v>
      </c>
      <c r="L31" s="178">
        <v>0</v>
      </c>
      <c r="M31" s="178">
        <v>0</v>
      </c>
      <c r="N31" s="178">
        <v>0</v>
      </c>
      <c r="O31" s="178">
        <v>0</v>
      </c>
      <c r="P31" s="178">
        <v>0</v>
      </c>
      <c r="Q31" s="178">
        <v>0</v>
      </c>
      <c r="R31" s="178">
        <v>0</v>
      </c>
      <c r="S31" s="178">
        <v>0</v>
      </c>
      <c r="T31" s="178">
        <v>0</v>
      </c>
      <c r="U31" s="178">
        <v>0</v>
      </c>
      <c r="V31" s="178">
        <v>0</v>
      </c>
      <c r="W31" s="178">
        <v>0</v>
      </c>
      <c r="X31" s="178">
        <v>0</v>
      </c>
      <c r="Y31" s="178">
        <v>0</v>
      </c>
      <c r="Z31" s="178">
        <v>0</v>
      </c>
      <c r="AA31" s="178">
        <v>0</v>
      </c>
      <c r="AB31" s="178">
        <v>0</v>
      </c>
      <c r="AC31" s="178">
        <v>0</v>
      </c>
      <c r="AD31" s="178">
        <v>0</v>
      </c>
      <c r="AE31" s="178">
        <v>0</v>
      </c>
      <c r="AF31" s="178">
        <v>0</v>
      </c>
      <c r="AG31" s="178">
        <v>0</v>
      </c>
      <c r="AH31" s="178">
        <v>0</v>
      </c>
      <c r="AI31" s="178">
        <v>0</v>
      </c>
      <c r="AJ31" s="178">
        <v>0</v>
      </c>
      <c r="AK31" s="178">
        <v>0</v>
      </c>
      <c r="AL31" s="178">
        <v>0</v>
      </c>
      <c r="AM31" s="178">
        <v>0</v>
      </c>
      <c r="AN31" s="178">
        <v>0</v>
      </c>
      <c r="AO31" s="178">
        <v>0</v>
      </c>
      <c r="AP31" s="178">
        <v>0</v>
      </c>
      <c r="AQ31" s="178">
        <v>0</v>
      </c>
      <c r="AR31" s="178">
        <v>0</v>
      </c>
      <c r="AS31" s="178">
        <v>0</v>
      </c>
      <c r="AT31" s="178">
        <v>0</v>
      </c>
      <c r="AU31" s="178">
        <v>0</v>
      </c>
      <c r="AV31" s="178">
        <v>0</v>
      </c>
      <c r="AW31" s="178">
        <v>0</v>
      </c>
      <c r="AX31" s="178">
        <v>0</v>
      </c>
      <c r="AY31" s="178">
        <v>0</v>
      </c>
      <c r="AZ31" s="178">
        <v>0</v>
      </c>
      <c r="BA31" s="178">
        <v>0</v>
      </c>
      <c r="BB31" s="178">
        <v>0</v>
      </c>
      <c r="BC31" s="178">
        <v>0</v>
      </c>
      <c r="BD31" s="178">
        <v>0</v>
      </c>
      <c r="BE31" s="178">
        <v>0</v>
      </c>
      <c r="BF31" s="178">
        <v>0</v>
      </c>
      <c r="BG31" s="178">
        <v>0</v>
      </c>
      <c r="BH31" s="178">
        <v>0</v>
      </c>
      <c r="BI31" s="178">
        <v>0</v>
      </c>
      <c r="BJ31" s="178">
        <v>0</v>
      </c>
      <c r="BK31" s="178">
        <v>0</v>
      </c>
      <c r="BL31" s="178">
        <v>0</v>
      </c>
      <c r="BM31" s="178">
        <v>0</v>
      </c>
      <c r="BN31" s="178">
        <v>0</v>
      </c>
      <c r="BO31" s="178">
        <v>0</v>
      </c>
      <c r="BP31" s="178">
        <v>0</v>
      </c>
      <c r="BQ31" s="178">
        <v>0</v>
      </c>
      <c r="BR31" s="178">
        <v>0</v>
      </c>
      <c r="BS31" s="178">
        <v>0</v>
      </c>
      <c r="BT31" s="178">
        <v>0</v>
      </c>
      <c r="BU31" s="178">
        <v>0</v>
      </c>
      <c r="BV31" s="178">
        <v>0</v>
      </c>
      <c r="BW31" s="178">
        <v>0</v>
      </c>
      <c r="BX31" s="178">
        <v>0</v>
      </c>
      <c r="BY31" s="178">
        <v>0</v>
      </c>
      <c r="BZ31" s="178">
        <v>0</v>
      </c>
      <c r="CA31" s="178">
        <v>0</v>
      </c>
      <c r="CB31" s="178">
        <v>0</v>
      </c>
      <c r="CC31" s="178">
        <v>0</v>
      </c>
      <c r="CD31" s="178">
        <v>0</v>
      </c>
      <c r="CE31" s="178">
        <v>0</v>
      </c>
      <c r="CF31" s="178">
        <v>5300</v>
      </c>
      <c r="CG31" s="178">
        <v>4910</v>
      </c>
      <c r="CH31" s="178">
        <v>4810</v>
      </c>
      <c r="CI31" s="178">
        <v>4550</v>
      </c>
      <c r="CJ31" s="178">
        <v>4545</v>
      </c>
      <c r="CK31" s="178">
        <v>4710</v>
      </c>
      <c r="CL31" s="178">
        <v>4675</v>
      </c>
      <c r="CM31" s="178">
        <v>4535</v>
      </c>
      <c r="CN31" s="178">
        <v>4540</v>
      </c>
      <c r="CO31" s="178">
        <v>4440</v>
      </c>
      <c r="CP31" s="178">
        <v>4395</v>
      </c>
      <c r="CQ31" s="178">
        <v>4290</v>
      </c>
      <c r="CR31" s="178">
        <v>4225</v>
      </c>
      <c r="CS31" s="178">
        <v>4450</v>
      </c>
      <c r="CT31" s="178">
        <v>4555</v>
      </c>
      <c r="CU31" s="178">
        <v>4470</v>
      </c>
      <c r="CV31" s="178">
        <v>4460</v>
      </c>
      <c r="CW31" s="178">
        <v>4325</v>
      </c>
      <c r="CX31" s="178">
        <v>4390</v>
      </c>
      <c r="CY31" s="178">
        <v>4595</v>
      </c>
      <c r="CZ31" s="178">
        <v>4800</v>
      </c>
      <c r="DA31" s="178">
        <v>4835</v>
      </c>
      <c r="DB31" s="178">
        <v>4745</v>
      </c>
      <c r="DC31" s="178">
        <v>4775</v>
      </c>
      <c r="DD31" s="178">
        <v>4560</v>
      </c>
      <c r="DE31" s="178">
        <v>4685</v>
      </c>
      <c r="DF31" s="178">
        <v>4720</v>
      </c>
      <c r="DG31" s="178">
        <v>4710</v>
      </c>
      <c r="DH31" s="178">
        <v>4625</v>
      </c>
      <c r="DI31" s="178">
        <v>4565</v>
      </c>
      <c r="DJ31" s="178">
        <v>4505</v>
      </c>
      <c r="DK31" s="178">
        <v>4600</v>
      </c>
      <c r="DL31" s="178">
        <v>4620</v>
      </c>
      <c r="DM31" s="178">
        <v>4735</v>
      </c>
      <c r="DN31" s="178">
        <v>3915</v>
      </c>
      <c r="DO31" s="178">
        <v>3865</v>
      </c>
      <c r="DP31" s="178">
        <v>3780</v>
      </c>
      <c r="DQ31" s="178">
        <v>3795</v>
      </c>
      <c r="DR31" s="178">
        <v>3825</v>
      </c>
      <c r="DS31" s="178">
        <v>3730</v>
      </c>
      <c r="DT31" s="178">
        <v>3715</v>
      </c>
      <c r="DU31" s="178">
        <v>3665</v>
      </c>
      <c r="DV31" s="178">
        <v>3480</v>
      </c>
      <c r="DW31" s="178">
        <v>3540</v>
      </c>
      <c r="DX31" s="178">
        <v>3595</v>
      </c>
      <c r="DY31" s="178">
        <v>3510</v>
      </c>
      <c r="DZ31" s="178">
        <v>3545</v>
      </c>
      <c r="EA31" s="178">
        <v>3580</v>
      </c>
      <c r="EB31" s="178">
        <v>3700</v>
      </c>
      <c r="EC31" s="178">
        <v>3650</v>
      </c>
      <c r="ED31" s="178">
        <v>3745</v>
      </c>
      <c r="EE31" s="178">
        <v>3690</v>
      </c>
      <c r="EF31" s="178">
        <v>3375</v>
      </c>
      <c r="EG31" s="178">
        <v>3235</v>
      </c>
      <c r="EH31" s="178">
        <v>3155</v>
      </c>
    </row>
    <row r="32" spans="1:138" x14ac:dyDescent="0.25">
      <c r="A32" s="49" t="str">
        <f>IPO監視一覧!H29</f>
        <v>A</v>
      </c>
      <c r="B32" s="49" t="str">
        <f>IPO監視一覧!B29</f>
        <v>ログリー</v>
      </c>
      <c r="C32" s="177">
        <f>株価一覧!E31</f>
        <v>2914</v>
      </c>
      <c r="D32" s="105">
        <f t="shared" ca="1" si="4"/>
        <v>3050.2</v>
      </c>
      <c r="E32" s="177">
        <f t="shared" ca="1" si="1"/>
        <v>2829.0666666666666</v>
      </c>
      <c r="F32" s="110">
        <f t="shared" ca="1" si="2"/>
        <v>2562</v>
      </c>
      <c r="G32" s="178">
        <v>0</v>
      </c>
      <c r="H32" s="178">
        <v>0</v>
      </c>
      <c r="I32" s="178">
        <v>0</v>
      </c>
      <c r="J32" s="178">
        <v>0</v>
      </c>
      <c r="K32" s="178">
        <v>0</v>
      </c>
      <c r="L32" s="178">
        <v>0</v>
      </c>
      <c r="M32" s="178">
        <v>0</v>
      </c>
      <c r="N32" s="178">
        <v>0</v>
      </c>
      <c r="O32" s="178">
        <v>0</v>
      </c>
      <c r="P32" s="178">
        <v>0</v>
      </c>
      <c r="Q32" s="178">
        <v>0</v>
      </c>
      <c r="R32" s="178">
        <v>0</v>
      </c>
      <c r="S32" s="178">
        <v>0</v>
      </c>
      <c r="T32" s="178">
        <v>0</v>
      </c>
      <c r="U32" s="178">
        <v>0</v>
      </c>
      <c r="V32" s="178">
        <v>0</v>
      </c>
      <c r="W32" s="178">
        <v>0</v>
      </c>
      <c r="X32" s="178">
        <v>0</v>
      </c>
      <c r="Y32" s="178">
        <v>0</v>
      </c>
      <c r="Z32" s="178">
        <v>0</v>
      </c>
      <c r="AA32" s="178">
        <v>0</v>
      </c>
      <c r="AB32" s="178">
        <v>0</v>
      </c>
      <c r="AC32" s="178">
        <v>0</v>
      </c>
      <c r="AD32" s="178">
        <v>0</v>
      </c>
      <c r="AE32" s="178">
        <v>0</v>
      </c>
      <c r="AF32" s="178">
        <v>0</v>
      </c>
      <c r="AG32" s="178">
        <v>0</v>
      </c>
      <c r="AH32" s="178">
        <v>0</v>
      </c>
      <c r="AI32" s="178">
        <v>0</v>
      </c>
      <c r="AJ32" s="178">
        <v>0</v>
      </c>
      <c r="AK32" s="178">
        <v>0</v>
      </c>
      <c r="AL32" s="178">
        <v>0</v>
      </c>
      <c r="AM32" s="178">
        <v>0</v>
      </c>
      <c r="AN32" s="178">
        <v>0</v>
      </c>
      <c r="AO32" s="178">
        <v>0</v>
      </c>
      <c r="AP32" s="178">
        <v>0</v>
      </c>
      <c r="AQ32" s="178">
        <v>0</v>
      </c>
      <c r="AR32" s="178">
        <v>0</v>
      </c>
      <c r="AS32" s="178">
        <v>0</v>
      </c>
      <c r="AT32" s="178">
        <v>0</v>
      </c>
      <c r="AU32" s="178">
        <v>0</v>
      </c>
      <c r="AV32" s="178">
        <v>0</v>
      </c>
      <c r="AW32" s="178">
        <v>0</v>
      </c>
      <c r="AX32" s="178">
        <v>0</v>
      </c>
      <c r="AY32" s="178">
        <v>0</v>
      </c>
      <c r="AZ32" s="178">
        <v>0</v>
      </c>
      <c r="BA32" s="178">
        <v>0</v>
      </c>
      <c r="BB32" s="178">
        <v>0</v>
      </c>
      <c r="BC32" s="178">
        <v>0</v>
      </c>
      <c r="BD32" s="178">
        <v>0</v>
      </c>
      <c r="BE32" s="178">
        <v>0</v>
      </c>
      <c r="BF32" s="178">
        <v>0</v>
      </c>
      <c r="BG32" s="178">
        <v>0</v>
      </c>
      <c r="BH32" s="178">
        <v>0</v>
      </c>
      <c r="BI32" s="178">
        <v>0</v>
      </c>
      <c r="BJ32" s="178">
        <v>0</v>
      </c>
      <c r="BK32" s="178">
        <v>0</v>
      </c>
      <c r="BL32" s="178">
        <v>0</v>
      </c>
      <c r="BM32" s="178">
        <v>0</v>
      </c>
      <c r="BN32" s="178">
        <v>0</v>
      </c>
      <c r="BO32" s="178">
        <v>0</v>
      </c>
      <c r="BP32" s="178">
        <v>0</v>
      </c>
      <c r="BQ32" s="178">
        <v>0</v>
      </c>
      <c r="BR32" s="178">
        <v>0</v>
      </c>
      <c r="BS32" s="178">
        <v>0</v>
      </c>
      <c r="BT32" s="178">
        <v>0</v>
      </c>
      <c r="BU32" s="178">
        <v>0</v>
      </c>
      <c r="BV32" s="178">
        <v>0</v>
      </c>
      <c r="BW32" s="178">
        <v>0</v>
      </c>
      <c r="BX32" s="178">
        <v>0</v>
      </c>
      <c r="BY32" s="178">
        <v>0</v>
      </c>
      <c r="BZ32" s="178">
        <v>0</v>
      </c>
      <c r="CA32" s="178">
        <v>0</v>
      </c>
      <c r="CB32" s="178">
        <v>0</v>
      </c>
      <c r="CC32" s="178">
        <v>0</v>
      </c>
      <c r="CD32" s="178">
        <v>0</v>
      </c>
      <c r="CE32" s="178">
        <v>0</v>
      </c>
      <c r="CF32" s="178">
        <v>0</v>
      </c>
      <c r="CG32" s="178">
        <v>0</v>
      </c>
      <c r="CH32" s="178">
        <v>0</v>
      </c>
      <c r="CI32" s="178">
        <v>4280</v>
      </c>
      <c r="CJ32" s="178">
        <v>3450</v>
      </c>
      <c r="CK32" s="178">
        <v>3785</v>
      </c>
      <c r="CL32" s="178">
        <v>3515</v>
      </c>
      <c r="CM32" s="178">
        <v>3555</v>
      </c>
      <c r="CN32" s="178">
        <v>3815</v>
      </c>
      <c r="CO32" s="178">
        <v>3720</v>
      </c>
      <c r="CP32" s="178">
        <v>3550</v>
      </c>
      <c r="CQ32" s="178">
        <v>3285</v>
      </c>
      <c r="CR32" s="178">
        <v>3500</v>
      </c>
      <c r="CS32" s="178">
        <v>3380</v>
      </c>
      <c r="CT32" s="178">
        <v>3330</v>
      </c>
      <c r="CU32" s="178">
        <v>3240</v>
      </c>
      <c r="CV32" s="178">
        <v>3475</v>
      </c>
      <c r="CW32" s="178">
        <v>3450</v>
      </c>
      <c r="CX32" s="178">
        <v>3380</v>
      </c>
      <c r="CY32" s="178">
        <v>3410</v>
      </c>
      <c r="CZ32" s="178">
        <v>3345</v>
      </c>
      <c r="DA32" s="178">
        <v>3345</v>
      </c>
      <c r="DB32" s="178">
        <v>3325</v>
      </c>
      <c r="DC32" s="178">
        <v>3425</v>
      </c>
      <c r="DD32" s="178">
        <v>3440</v>
      </c>
      <c r="DE32" s="178">
        <v>3290</v>
      </c>
      <c r="DF32" s="178">
        <v>3160</v>
      </c>
      <c r="DG32" s="178">
        <v>3210</v>
      </c>
      <c r="DH32" s="178">
        <v>3180</v>
      </c>
      <c r="DI32" s="178">
        <v>3145</v>
      </c>
      <c r="DJ32" s="178">
        <v>3015</v>
      </c>
      <c r="DK32" s="178">
        <v>2900</v>
      </c>
      <c r="DL32" s="178">
        <v>3095</v>
      </c>
      <c r="DM32" s="178">
        <v>3145</v>
      </c>
      <c r="DN32" s="178">
        <v>2961</v>
      </c>
      <c r="DO32" s="178">
        <v>2855</v>
      </c>
      <c r="DP32" s="178">
        <v>2705</v>
      </c>
      <c r="DQ32" s="178">
        <v>2754</v>
      </c>
      <c r="DR32" s="178">
        <v>2750</v>
      </c>
      <c r="DS32" s="178">
        <v>2665</v>
      </c>
      <c r="DT32" s="178">
        <v>2548</v>
      </c>
      <c r="DU32" s="178">
        <v>2562</v>
      </c>
      <c r="DV32" s="178">
        <v>2663</v>
      </c>
      <c r="DW32" s="178">
        <v>2662</v>
      </c>
      <c r="DX32" s="178">
        <v>2736</v>
      </c>
      <c r="DY32" s="178">
        <v>2807</v>
      </c>
      <c r="DZ32" s="178">
        <v>2780</v>
      </c>
      <c r="EA32" s="178">
        <v>2712</v>
      </c>
      <c r="EB32" s="178">
        <v>2700</v>
      </c>
      <c r="EC32" s="178">
        <v>3015</v>
      </c>
      <c r="ED32" s="178">
        <v>3290</v>
      </c>
      <c r="EE32" s="178">
        <v>3000</v>
      </c>
      <c r="EF32" s="178">
        <v>3080</v>
      </c>
      <c r="EG32" s="178">
        <v>2967</v>
      </c>
      <c r="EH32" s="178">
        <v>2914</v>
      </c>
    </row>
    <row r="33" spans="1:138" x14ac:dyDescent="0.25">
      <c r="A33" s="49" t="str">
        <f>IPO監視一覧!H30</f>
        <v>A</v>
      </c>
      <c r="B33" s="49" t="str">
        <f>IPO監視一覧!B30</f>
        <v>ＳＩＧ</v>
      </c>
      <c r="C33" s="177">
        <f>株価一覧!E32</f>
        <v>2484</v>
      </c>
      <c r="D33" s="105">
        <f t="shared" ca="1" si="4"/>
        <v>2399.4</v>
      </c>
      <c r="E33" s="177">
        <f t="shared" ca="1" si="1"/>
        <v>2232.4</v>
      </c>
      <c r="F33" s="110">
        <f t="shared" ca="1" si="2"/>
        <v>2013</v>
      </c>
      <c r="G33" s="178">
        <v>0</v>
      </c>
      <c r="H33" s="178">
        <v>0</v>
      </c>
      <c r="I33" s="178">
        <v>0</v>
      </c>
      <c r="J33" s="178">
        <v>0</v>
      </c>
      <c r="K33" s="178">
        <v>0</v>
      </c>
      <c r="L33" s="178">
        <v>0</v>
      </c>
      <c r="M33" s="178">
        <v>0</v>
      </c>
      <c r="N33" s="178">
        <v>0</v>
      </c>
      <c r="O33" s="178">
        <v>0</v>
      </c>
      <c r="P33" s="178">
        <v>0</v>
      </c>
      <c r="Q33" s="178">
        <v>0</v>
      </c>
      <c r="R33" s="178">
        <v>0</v>
      </c>
      <c r="S33" s="178">
        <v>0</v>
      </c>
      <c r="T33" s="178">
        <v>0</v>
      </c>
      <c r="U33" s="178">
        <v>0</v>
      </c>
      <c r="V33" s="178">
        <v>0</v>
      </c>
      <c r="W33" s="178">
        <v>0</v>
      </c>
      <c r="X33" s="178">
        <v>0</v>
      </c>
      <c r="Y33" s="178">
        <v>0</v>
      </c>
      <c r="Z33" s="178">
        <v>0</v>
      </c>
      <c r="AA33" s="178">
        <v>0</v>
      </c>
      <c r="AB33" s="178">
        <v>0</v>
      </c>
      <c r="AC33" s="178">
        <v>0</v>
      </c>
      <c r="AD33" s="178">
        <v>0</v>
      </c>
      <c r="AE33" s="178">
        <v>0</v>
      </c>
      <c r="AF33" s="178">
        <v>0</v>
      </c>
      <c r="AG33" s="178">
        <v>0</v>
      </c>
      <c r="AH33" s="178">
        <v>0</v>
      </c>
      <c r="AI33" s="178">
        <v>0</v>
      </c>
      <c r="AJ33" s="178">
        <v>0</v>
      </c>
      <c r="AK33" s="178">
        <v>0</v>
      </c>
      <c r="AL33" s="178">
        <v>0</v>
      </c>
      <c r="AM33" s="178">
        <v>0</v>
      </c>
      <c r="AN33" s="178">
        <v>0</v>
      </c>
      <c r="AO33" s="178">
        <v>0</v>
      </c>
      <c r="AP33" s="178">
        <v>0</v>
      </c>
      <c r="AQ33" s="178">
        <v>0</v>
      </c>
      <c r="AR33" s="178">
        <v>0</v>
      </c>
      <c r="AS33" s="178">
        <v>0</v>
      </c>
      <c r="AT33" s="178">
        <v>0</v>
      </c>
      <c r="AU33" s="178">
        <v>0</v>
      </c>
      <c r="AV33" s="178">
        <v>0</v>
      </c>
      <c r="AW33" s="178">
        <v>0</v>
      </c>
      <c r="AX33" s="178">
        <v>0</v>
      </c>
      <c r="AY33" s="178">
        <v>0</v>
      </c>
      <c r="AZ33" s="178">
        <v>0</v>
      </c>
      <c r="BA33" s="178">
        <v>0</v>
      </c>
      <c r="BB33" s="178">
        <v>0</v>
      </c>
      <c r="BC33" s="178">
        <v>0</v>
      </c>
      <c r="BD33" s="178">
        <v>0</v>
      </c>
      <c r="BE33" s="178">
        <v>0</v>
      </c>
      <c r="BF33" s="178">
        <v>0</v>
      </c>
      <c r="BG33" s="178">
        <v>0</v>
      </c>
      <c r="BH33" s="178">
        <v>0</v>
      </c>
      <c r="BI33" s="178">
        <v>0</v>
      </c>
      <c r="BJ33" s="178">
        <v>0</v>
      </c>
      <c r="BK33" s="178">
        <v>0</v>
      </c>
      <c r="BL33" s="178">
        <v>0</v>
      </c>
      <c r="BM33" s="178">
        <v>0</v>
      </c>
      <c r="BN33" s="178">
        <v>0</v>
      </c>
      <c r="BO33" s="178">
        <v>0</v>
      </c>
      <c r="BP33" s="178">
        <v>0</v>
      </c>
      <c r="BQ33" s="178">
        <v>0</v>
      </c>
      <c r="BR33" s="178">
        <v>0</v>
      </c>
      <c r="BS33" s="178">
        <v>0</v>
      </c>
      <c r="BT33" s="178">
        <v>0</v>
      </c>
      <c r="BU33" s="178">
        <v>0</v>
      </c>
      <c r="BV33" s="178">
        <v>0</v>
      </c>
      <c r="BW33" s="178">
        <v>0</v>
      </c>
      <c r="BX33" s="178">
        <v>0</v>
      </c>
      <c r="BY33" s="178">
        <v>0</v>
      </c>
      <c r="BZ33" s="178">
        <v>0</v>
      </c>
      <c r="CA33" s="178">
        <v>0</v>
      </c>
      <c r="CB33" s="178">
        <v>0</v>
      </c>
      <c r="CC33" s="178">
        <v>0</v>
      </c>
      <c r="CD33" s="178">
        <v>0</v>
      </c>
      <c r="CE33" s="178">
        <v>0</v>
      </c>
      <c r="CF33" s="178">
        <v>0</v>
      </c>
      <c r="CG33" s="178">
        <v>0</v>
      </c>
      <c r="CH33" s="178">
        <v>0</v>
      </c>
      <c r="CI33" s="178">
        <v>4120</v>
      </c>
      <c r="CJ33" s="178">
        <v>3365</v>
      </c>
      <c r="CK33" s="178">
        <v>3675</v>
      </c>
      <c r="CL33" s="178">
        <v>3340</v>
      </c>
      <c r="CM33" s="178">
        <v>3175</v>
      </c>
      <c r="CN33" s="178">
        <v>3055</v>
      </c>
      <c r="CO33" s="178">
        <v>3250</v>
      </c>
      <c r="CP33" s="178">
        <v>3240</v>
      </c>
      <c r="CQ33" s="178">
        <v>3180</v>
      </c>
      <c r="CR33" s="178">
        <v>3195</v>
      </c>
      <c r="CS33" s="178">
        <v>3310</v>
      </c>
      <c r="CT33" s="178">
        <v>3100</v>
      </c>
      <c r="CU33" s="178">
        <v>2895</v>
      </c>
      <c r="CV33" s="178">
        <v>2880</v>
      </c>
      <c r="CW33" s="178">
        <v>2912</v>
      </c>
      <c r="CX33" s="178">
        <v>2913</v>
      </c>
      <c r="CY33" s="178">
        <v>2835</v>
      </c>
      <c r="CZ33" s="178">
        <v>2869</v>
      </c>
      <c r="DA33" s="178">
        <v>2817</v>
      </c>
      <c r="DB33" s="178">
        <v>2753</v>
      </c>
      <c r="DC33" s="178">
        <v>2816</v>
      </c>
      <c r="DD33" s="178">
        <v>2803</v>
      </c>
      <c r="DE33" s="178">
        <v>2731</v>
      </c>
      <c r="DF33" s="178">
        <v>2796</v>
      </c>
      <c r="DG33" s="178">
        <v>2734</v>
      </c>
      <c r="DH33" s="178">
        <v>2731</v>
      </c>
      <c r="DI33" s="178">
        <v>2635</v>
      </c>
      <c r="DJ33" s="178">
        <v>2464</v>
      </c>
      <c r="DK33" s="178">
        <v>2412</v>
      </c>
      <c r="DL33" s="178">
        <v>2431</v>
      </c>
      <c r="DM33" s="178">
        <v>2430</v>
      </c>
      <c r="DN33" s="178">
        <v>2215</v>
      </c>
      <c r="DO33" s="178">
        <v>2186</v>
      </c>
      <c r="DP33" s="178">
        <v>2113</v>
      </c>
      <c r="DQ33" s="178">
        <v>2045</v>
      </c>
      <c r="DR33" s="178">
        <v>2118</v>
      </c>
      <c r="DS33" s="178">
        <v>2068</v>
      </c>
      <c r="DT33" s="178">
        <v>2016</v>
      </c>
      <c r="DU33" s="178">
        <v>2013</v>
      </c>
      <c r="DV33" s="178">
        <v>2049</v>
      </c>
      <c r="DW33" s="178">
        <v>2256</v>
      </c>
      <c r="DX33" s="178">
        <v>2268</v>
      </c>
      <c r="DY33" s="178">
        <v>2236</v>
      </c>
      <c r="DZ33" s="178">
        <v>2185</v>
      </c>
      <c r="EA33" s="178">
        <v>2209</v>
      </c>
      <c r="EB33" s="178">
        <v>2140</v>
      </c>
      <c r="EC33" s="178">
        <v>2117</v>
      </c>
      <c r="ED33" s="178">
        <v>2139</v>
      </c>
      <c r="EE33" s="178">
        <v>2497</v>
      </c>
      <c r="EF33" s="178">
        <v>2318</v>
      </c>
      <c r="EG33" s="178">
        <v>2559</v>
      </c>
      <c r="EH33" s="178">
        <v>2484</v>
      </c>
    </row>
    <row r="34" spans="1:138" x14ac:dyDescent="0.25">
      <c r="A34" s="49" t="str">
        <f>IPO監視一覧!H31</f>
        <v>C</v>
      </c>
      <c r="B34" s="49" t="str">
        <f>IPO監視一覧!B31</f>
        <v>コーア商事HD</v>
      </c>
      <c r="C34" s="177">
        <f>株価一覧!E33</f>
        <v>5000</v>
      </c>
      <c r="D34" s="105">
        <f t="shared" ref="D34:D40" ca="1" si="5">AVERAGE(OFFSET(A34,0,COUNTA(G34:XFD34)+5,1,-5))</f>
        <v>5013</v>
      </c>
      <c r="E34" s="177">
        <f t="shared" ref="E34:E40" ca="1" si="6">IF(F34=0,0,AVERAGE(OFFSET(A34,0,COUNTA(G34:XFD34)+5,1,-15)))</f>
        <v>5031</v>
      </c>
      <c r="F34" s="110">
        <f t="shared" ref="F34:F40" ca="1" si="7">MIN(OFFSET(B34,0,COUNTA(G34:XFD34)+5,1,-15))</f>
        <v>4540</v>
      </c>
      <c r="G34" s="178">
        <v>0</v>
      </c>
      <c r="H34" s="178">
        <v>0</v>
      </c>
      <c r="I34" s="178">
        <v>0</v>
      </c>
      <c r="J34" s="178">
        <v>0</v>
      </c>
      <c r="K34" s="178">
        <v>0</v>
      </c>
      <c r="L34" s="178">
        <v>0</v>
      </c>
      <c r="M34" s="178">
        <v>0</v>
      </c>
      <c r="N34" s="178">
        <v>0</v>
      </c>
      <c r="O34" s="178">
        <v>0</v>
      </c>
      <c r="P34" s="178">
        <v>0</v>
      </c>
      <c r="Q34" s="178">
        <v>0</v>
      </c>
      <c r="R34" s="178">
        <v>0</v>
      </c>
      <c r="S34" s="178">
        <v>0</v>
      </c>
      <c r="T34" s="178">
        <v>0</v>
      </c>
      <c r="U34" s="178">
        <v>0</v>
      </c>
      <c r="V34" s="178">
        <v>0</v>
      </c>
      <c r="W34" s="178">
        <v>0</v>
      </c>
      <c r="X34" s="178">
        <v>0</v>
      </c>
      <c r="Y34" s="178">
        <v>0</v>
      </c>
      <c r="Z34" s="178">
        <v>0</v>
      </c>
      <c r="AA34" s="178">
        <v>0</v>
      </c>
      <c r="AB34" s="178">
        <v>0</v>
      </c>
      <c r="AC34" s="178">
        <v>0</v>
      </c>
      <c r="AD34" s="178">
        <v>0</v>
      </c>
      <c r="AE34" s="178">
        <v>0</v>
      </c>
      <c r="AF34" s="178">
        <v>0</v>
      </c>
      <c r="AG34" s="178">
        <v>0</v>
      </c>
      <c r="AH34" s="178">
        <v>0</v>
      </c>
      <c r="AI34" s="178">
        <v>0</v>
      </c>
      <c r="AJ34" s="178">
        <v>0</v>
      </c>
      <c r="AK34" s="178">
        <v>0</v>
      </c>
      <c r="AL34" s="178">
        <v>0</v>
      </c>
      <c r="AM34" s="178">
        <v>0</v>
      </c>
      <c r="AN34" s="178">
        <v>0</v>
      </c>
      <c r="AO34" s="178">
        <v>0</v>
      </c>
      <c r="AP34" s="178">
        <v>0</v>
      </c>
      <c r="AQ34" s="178">
        <v>0</v>
      </c>
      <c r="AR34" s="178">
        <v>0</v>
      </c>
      <c r="AS34" s="178">
        <v>0</v>
      </c>
      <c r="AT34" s="178">
        <v>0</v>
      </c>
      <c r="AU34" s="178">
        <v>0</v>
      </c>
      <c r="AV34" s="178">
        <v>0</v>
      </c>
      <c r="AW34" s="178">
        <v>0</v>
      </c>
      <c r="AX34" s="178">
        <v>0</v>
      </c>
      <c r="AY34" s="178">
        <v>0</v>
      </c>
      <c r="AZ34" s="178">
        <v>0</v>
      </c>
      <c r="BA34" s="178">
        <v>0</v>
      </c>
      <c r="BB34" s="178">
        <v>0</v>
      </c>
      <c r="BC34" s="178">
        <v>0</v>
      </c>
      <c r="BD34" s="178">
        <v>0</v>
      </c>
      <c r="BE34" s="178">
        <v>0</v>
      </c>
      <c r="BF34" s="178">
        <v>0</v>
      </c>
      <c r="BG34" s="178">
        <v>0</v>
      </c>
      <c r="BH34" s="178">
        <v>0</v>
      </c>
      <c r="BI34" s="178">
        <v>0</v>
      </c>
      <c r="BJ34" s="178">
        <v>0</v>
      </c>
      <c r="BK34" s="178">
        <v>0</v>
      </c>
      <c r="BL34" s="178">
        <v>0</v>
      </c>
      <c r="BM34" s="178">
        <v>0</v>
      </c>
      <c r="BN34" s="178">
        <v>0</v>
      </c>
      <c r="BO34" s="178">
        <v>0</v>
      </c>
      <c r="BP34" s="178">
        <v>0</v>
      </c>
      <c r="BQ34" s="178">
        <v>0</v>
      </c>
      <c r="BR34" s="178">
        <v>0</v>
      </c>
      <c r="BS34" s="178">
        <v>0</v>
      </c>
      <c r="BT34" s="178">
        <v>0</v>
      </c>
      <c r="BU34" s="178">
        <v>0</v>
      </c>
      <c r="BV34" s="178">
        <v>0</v>
      </c>
      <c r="BW34" s="178">
        <v>0</v>
      </c>
      <c r="BX34" s="178">
        <v>0</v>
      </c>
      <c r="BY34" s="178">
        <v>0</v>
      </c>
      <c r="BZ34" s="178">
        <v>0</v>
      </c>
      <c r="CA34" s="178">
        <v>0</v>
      </c>
      <c r="CB34" s="178">
        <v>0</v>
      </c>
      <c r="CC34" s="178">
        <v>0</v>
      </c>
      <c r="CD34" s="178">
        <v>0</v>
      </c>
      <c r="CE34" s="178">
        <v>0</v>
      </c>
      <c r="CF34" s="178">
        <v>0</v>
      </c>
      <c r="CG34" s="178">
        <v>0</v>
      </c>
      <c r="CH34" s="178">
        <v>0</v>
      </c>
      <c r="CI34" s="178">
        <v>3645</v>
      </c>
      <c r="CJ34" s="178">
        <v>3370</v>
      </c>
      <c r="CK34" s="178">
        <v>3185</v>
      </c>
      <c r="CL34" s="178">
        <v>3095</v>
      </c>
      <c r="CM34" s="178">
        <v>3125</v>
      </c>
      <c r="CN34" s="178">
        <v>3420</v>
      </c>
      <c r="CO34" s="178">
        <v>3360</v>
      </c>
      <c r="CP34" s="178">
        <v>3340</v>
      </c>
      <c r="CQ34" s="178">
        <v>3335</v>
      </c>
      <c r="CR34" s="178">
        <v>3465</v>
      </c>
      <c r="CS34" s="178">
        <v>3455</v>
      </c>
      <c r="CT34" s="178">
        <v>3455</v>
      </c>
      <c r="CU34" s="178">
        <v>3455</v>
      </c>
      <c r="CV34" s="178">
        <v>3525</v>
      </c>
      <c r="CW34" s="178">
        <v>3500</v>
      </c>
      <c r="CX34" s="178">
        <v>3475</v>
      </c>
      <c r="CY34" s="178">
        <v>3415</v>
      </c>
      <c r="CZ34" s="178">
        <v>3425</v>
      </c>
      <c r="DA34" s="178">
        <v>3420</v>
      </c>
      <c r="DB34" s="178">
        <v>3425</v>
      </c>
      <c r="DC34" s="178">
        <v>3465</v>
      </c>
      <c r="DD34" s="178">
        <v>3445</v>
      </c>
      <c r="DE34" s="178">
        <v>3440</v>
      </c>
      <c r="DF34" s="178">
        <v>3455</v>
      </c>
      <c r="DG34" s="178">
        <v>3460</v>
      </c>
      <c r="DH34" s="178">
        <v>3460</v>
      </c>
      <c r="DI34" s="178">
        <v>3450</v>
      </c>
      <c r="DJ34" s="178">
        <v>3455</v>
      </c>
      <c r="DK34" s="178">
        <v>3440</v>
      </c>
      <c r="DL34" s="178">
        <v>3465</v>
      </c>
      <c r="DM34" s="178">
        <v>3345</v>
      </c>
      <c r="DN34" s="178">
        <v>4240</v>
      </c>
      <c r="DO34" s="178">
        <v>4260</v>
      </c>
      <c r="DP34" s="178">
        <v>4560</v>
      </c>
      <c r="DQ34" s="178">
        <v>4405</v>
      </c>
      <c r="DR34" s="178">
        <v>4500</v>
      </c>
      <c r="DS34" s="178">
        <v>4460</v>
      </c>
      <c r="DT34" s="178">
        <v>4275</v>
      </c>
      <c r="DU34" s="178">
        <v>4540</v>
      </c>
      <c r="DV34" s="178">
        <v>4710</v>
      </c>
      <c r="DW34" s="178">
        <v>4855</v>
      </c>
      <c r="DX34" s="178">
        <v>5250</v>
      </c>
      <c r="DY34" s="178">
        <v>5070</v>
      </c>
      <c r="DZ34" s="178">
        <v>5370</v>
      </c>
      <c r="EA34" s="178">
        <v>5650</v>
      </c>
      <c r="EB34" s="178">
        <v>5450</v>
      </c>
      <c r="EC34" s="178">
        <v>5230</v>
      </c>
      <c r="ED34" s="178">
        <v>5130</v>
      </c>
      <c r="EE34" s="178">
        <v>5000</v>
      </c>
      <c r="EF34" s="178">
        <v>4875</v>
      </c>
      <c r="EG34" s="178">
        <v>5060</v>
      </c>
      <c r="EH34" s="178">
        <v>5000</v>
      </c>
    </row>
    <row r="35" spans="1:138" x14ac:dyDescent="0.25">
      <c r="A35" s="49" t="str">
        <f>IPO監視一覧!H32</f>
        <v>A</v>
      </c>
      <c r="B35" s="49" t="str">
        <f>IPO監視一覧!B32</f>
        <v>ZUU</v>
      </c>
      <c r="C35" s="177">
        <f>株価一覧!E34</f>
        <v>7320</v>
      </c>
      <c r="D35" s="105">
        <f t="shared" ca="1" si="5"/>
        <v>7134</v>
      </c>
      <c r="E35" s="177">
        <f t="shared" ca="1" si="6"/>
        <v>6481.666666666667</v>
      </c>
      <c r="F35" s="110">
        <f t="shared" ca="1" si="7"/>
        <v>4925</v>
      </c>
      <c r="G35" s="178">
        <v>0</v>
      </c>
      <c r="H35" s="178">
        <v>0</v>
      </c>
      <c r="I35" s="178">
        <v>0</v>
      </c>
      <c r="J35" s="178">
        <v>0</v>
      </c>
      <c r="K35" s="178">
        <v>0</v>
      </c>
      <c r="L35" s="178">
        <v>0</v>
      </c>
      <c r="M35" s="178">
        <v>0</v>
      </c>
      <c r="N35" s="178">
        <v>0</v>
      </c>
      <c r="O35" s="178">
        <v>0</v>
      </c>
      <c r="P35" s="178">
        <v>0</v>
      </c>
      <c r="Q35" s="178">
        <v>0</v>
      </c>
      <c r="R35" s="178">
        <v>0</v>
      </c>
      <c r="S35" s="178">
        <v>0</v>
      </c>
      <c r="T35" s="178">
        <v>0</v>
      </c>
      <c r="U35" s="178">
        <v>0</v>
      </c>
      <c r="V35" s="178">
        <v>0</v>
      </c>
      <c r="W35" s="178">
        <v>0</v>
      </c>
      <c r="X35" s="178">
        <v>0</v>
      </c>
      <c r="Y35" s="178">
        <v>0</v>
      </c>
      <c r="Z35" s="178">
        <v>0</v>
      </c>
      <c r="AA35" s="178">
        <v>0</v>
      </c>
      <c r="AB35" s="178">
        <v>0</v>
      </c>
      <c r="AC35" s="178">
        <v>0</v>
      </c>
      <c r="AD35" s="178">
        <v>0</v>
      </c>
      <c r="AE35" s="178">
        <v>0</v>
      </c>
      <c r="AF35" s="178">
        <v>0</v>
      </c>
      <c r="AG35" s="178">
        <v>0</v>
      </c>
      <c r="AH35" s="178">
        <v>0</v>
      </c>
      <c r="AI35" s="178">
        <v>0</v>
      </c>
      <c r="AJ35" s="178">
        <v>0</v>
      </c>
      <c r="AK35" s="178">
        <v>0</v>
      </c>
      <c r="AL35" s="178">
        <v>0</v>
      </c>
      <c r="AM35" s="178">
        <v>0</v>
      </c>
      <c r="AN35" s="178">
        <v>0</v>
      </c>
      <c r="AO35" s="178">
        <v>0</v>
      </c>
      <c r="AP35" s="178">
        <v>0</v>
      </c>
      <c r="AQ35" s="178">
        <v>0</v>
      </c>
      <c r="AR35" s="178">
        <v>0</v>
      </c>
      <c r="AS35" s="178">
        <v>0</v>
      </c>
      <c r="AT35" s="178">
        <v>0</v>
      </c>
      <c r="AU35" s="178">
        <v>0</v>
      </c>
      <c r="AV35" s="178">
        <v>0</v>
      </c>
      <c r="AW35" s="178">
        <v>0</v>
      </c>
      <c r="AX35" s="178">
        <v>0</v>
      </c>
      <c r="AY35" s="178">
        <v>0</v>
      </c>
      <c r="AZ35" s="178">
        <v>0</v>
      </c>
      <c r="BA35" s="178">
        <v>0</v>
      </c>
      <c r="BB35" s="178">
        <v>0</v>
      </c>
      <c r="BC35" s="178">
        <v>0</v>
      </c>
      <c r="BD35" s="178">
        <v>0</v>
      </c>
      <c r="BE35" s="178">
        <v>0</v>
      </c>
      <c r="BF35" s="178">
        <v>0</v>
      </c>
      <c r="BG35" s="178">
        <v>0</v>
      </c>
      <c r="BH35" s="178">
        <v>0</v>
      </c>
      <c r="BI35" s="178">
        <v>0</v>
      </c>
      <c r="BJ35" s="178">
        <v>0</v>
      </c>
      <c r="BK35" s="178">
        <v>0</v>
      </c>
      <c r="BL35" s="178">
        <v>0</v>
      </c>
      <c r="BM35" s="178">
        <v>0</v>
      </c>
      <c r="BN35" s="178">
        <v>0</v>
      </c>
      <c r="BO35" s="178">
        <v>0</v>
      </c>
      <c r="BP35" s="178">
        <v>0</v>
      </c>
      <c r="BQ35" s="178">
        <v>0</v>
      </c>
      <c r="BR35" s="178">
        <v>0</v>
      </c>
      <c r="BS35" s="178">
        <v>0</v>
      </c>
      <c r="BT35" s="178">
        <v>0</v>
      </c>
      <c r="BU35" s="178">
        <v>0</v>
      </c>
      <c r="BV35" s="178">
        <v>0</v>
      </c>
      <c r="BW35" s="178">
        <v>0</v>
      </c>
      <c r="BX35" s="178">
        <v>0</v>
      </c>
      <c r="BY35" s="178">
        <v>0</v>
      </c>
      <c r="BZ35" s="178">
        <v>0</v>
      </c>
      <c r="CA35" s="178">
        <v>0</v>
      </c>
      <c r="CB35" s="178">
        <v>0</v>
      </c>
      <c r="CC35" s="178">
        <v>0</v>
      </c>
      <c r="CD35" s="178">
        <v>0</v>
      </c>
      <c r="CE35" s="178">
        <v>0</v>
      </c>
      <c r="CF35" s="178">
        <v>0</v>
      </c>
      <c r="CG35" s="178">
        <v>0</v>
      </c>
      <c r="CH35" s="178">
        <v>0</v>
      </c>
      <c r="CI35" s="178">
        <v>6550</v>
      </c>
      <c r="CJ35" s="178">
        <v>6170</v>
      </c>
      <c r="CK35" s="178">
        <v>7170</v>
      </c>
      <c r="CL35" s="178">
        <v>7950</v>
      </c>
      <c r="CM35" s="178">
        <v>7760</v>
      </c>
      <c r="CN35" s="178">
        <v>8500</v>
      </c>
      <c r="CO35" s="178">
        <v>9500</v>
      </c>
      <c r="CP35" s="178">
        <v>10150</v>
      </c>
      <c r="CQ35" s="178">
        <v>8300</v>
      </c>
      <c r="CR35" s="178">
        <v>7800</v>
      </c>
      <c r="CS35" s="178">
        <v>7600</v>
      </c>
      <c r="CT35" s="178">
        <v>8110</v>
      </c>
      <c r="CU35" s="178">
        <v>7710</v>
      </c>
      <c r="CV35" s="178">
        <v>7330</v>
      </c>
      <c r="CW35" s="178">
        <v>7020</v>
      </c>
      <c r="CX35" s="178">
        <v>7500</v>
      </c>
      <c r="CY35" s="178">
        <v>7050</v>
      </c>
      <c r="CZ35" s="178">
        <v>7030</v>
      </c>
      <c r="DA35" s="178">
        <v>6910</v>
      </c>
      <c r="DB35" s="178">
        <v>6680</v>
      </c>
      <c r="DC35" s="178">
        <v>6730</v>
      </c>
      <c r="DD35" s="178">
        <v>6650</v>
      </c>
      <c r="DE35" s="178">
        <v>6560</v>
      </c>
      <c r="DF35" s="178">
        <v>6130</v>
      </c>
      <c r="DG35" s="178">
        <v>6130</v>
      </c>
      <c r="DH35" s="178">
        <v>6420</v>
      </c>
      <c r="DI35" s="178">
        <v>6700</v>
      </c>
      <c r="DJ35" s="178">
        <v>6170</v>
      </c>
      <c r="DK35" s="178">
        <v>5980</v>
      </c>
      <c r="DL35" s="178">
        <v>5930</v>
      </c>
      <c r="DM35" s="178">
        <v>5880</v>
      </c>
      <c r="DN35" s="178">
        <v>5950</v>
      </c>
      <c r="DO35" s="178">
        <v>6000</v>
      </c>
      <c r="DP35" s="178">
        <v>5720</v>
      </c>
      <c r="DQ35" s="178">
        <v>5430</v>
      </c>
      <c r="DR35" s="178">
        <v>5290</v>
      </c>
      <c r="DS35" s="178">
        <v>5130</v>
      </c>
      <c r="DT35" s="178">
        <v>4840</v>
      </c>
      <c r="DU35" s="178">
        <v>4925</v>
      </c>
      <c r="DV35" s="178">
        <v>5050</v>
      </c>
      <c r="DW35" s="178">
        <v>5660</v>
      </c>
      <c r="DX35" s="178">
        <v>5590</v>
      </c>
      <c r="DY35" s="178">
        <v>6590</v>
      </c>
      <c r="DZ35" s="178">
        <v>7150</v>
      </c>
      <c r="EA35" s="178">
        <v>7360</v>
      </c>
      <c r="EB35" s="178">
        <v>7110</v>
      </c>
      <c r="EC35" s="178">
        <v>7280</v>
      </c>
      <c r="ED35" s="178">
        <v>7150</v>
      </c>
      <c r="EE35" s="178">
        <v>7230</v>
      </c>
      <c r="EF35" s="178">
        <v>7100</v>
      </c>
      <c r="EG35" s="178">
        <v>6870</v>
      </c>
      <c r="EH35" s="178">
        <v>7320</v>
      </c>
    </row>
    <row r="36" spans="1:138" x14ac:dyDescent="0.25">
      <c r="A36" s="49" t="str">
        <f>IPO監視一覧!H33</f>
        <v>B</v>
      </c>
      <c r="B36" s="49" t="str">
        <f>IPO監視一覧!B33</f>
        <v>ライトアップ</v>
      </c>
      <c r="C36" s="177">
        <f>株価一覧!E35</f>
        <v>2215</v>
      </c>
      <c r="D36" s="105">
        <f t="shared" ca="1" si="5"/>
        <v>2362.8000000000002</v>
      </c>
      <c r="E36" s="177">
        <f t="shared" ca="1" si="6"/>
        <v>2392.3333333333335</v>
      </c>
      <c r="F36" s="110">
        <f t="shared" ca="1" si="7"/>
        <v>2215</v>
      </c>
      <c r="G36" s="178">
        <v>0</v>
      </c>
      <c r="H36" s="178">
        <v>0</v>
      </c>
      <c r="I36" s="178">
        <v>0</v>
      </c>
      <c r="J36" s="178">
        <v>0</v>
      </c>
      <c r="K36" s="178">
        <v>0</v>
      </c>
      <c r="L36" s="178">
        <v>0</v>
      </c>
      <c r="M36" s="178">
        <v>0</v>
      </c>
      <c r="N36" s="178">
        <v>0</v>
      </c>
      <c r="O36" s="178">
        <v>0</v>
      </c>
      <c r="P36" s="178">
        <v>0</v>
      </c>
      <c r="Q36" s="178">
        <v>0</v>
      </c>
      <c r="R36" s="178">
        <v>0</v>
      </c>
      <c r="S36" s="178">
        <v>0</v>
      </c>
      <c r="T36" s="178">
        <v>0</v>
      </c>
      <c r="U36" s="178">
        <v>0</v>
      </c>
      <c r="V36" s="178">
        <v>0</v>
      </c>
      <c r="W36" s="178">
        <v>0</v>
      </c>
      <c r="X36" s="178">
        <v>0</v>
      </c>
      <c r="Y36" s="178">
        <v>0</v>
      </c>
      <c r="Z36" s="178">
        <v>0</v>
      </c>
      <c r="AA36" s="178">
        <v>0</v>
      </c>
      <c r="AB36" s="178">
        <v>0</v>
      </c>
      <c r="AC36" s="178">
        <v>0</v>
      </c>
      <c r="AD36" s="178">
        <v>0</v>
      </c>
      <c r="AE36" s="178">
        <v>0</v>
      </c>
      <c r="AF36" s="178">
        <v>0</v>
      </c>
      <c r="AG36" s="178">
        <v>0</v>
      </c>
      <c r="AH36" s="178">
        <v>0</v>
      </c>
      <c r="AI36" s="178">
        <v>0</v>
      </c>
      <c r="AJ36" s="178">
        <v>0</v>
      </c>
      <c r="AK36" s="178">
        <v>0</v>
      </c>
      <c r="AL36" s="178">
        <v>0</v>
      </c>
      <c r="AM36" s="178">
        <v>0</v>
      </c>
      <c r="AN36" s="178">
        <v>0</v>
      </c>
      <c r="AO36" s="178">
        <v>0</v>
      </c>
      <c r="AP36" s="178">
        <v>0</v>
      </c>
      <c r="AQ36" s="178">
        <v>0</v>
      </c>
      <c r="AR36" s="178">
        <v>0</v>
      </c>
      <c r="AS36" s="178">
        <v>0</v>
      </c>
      <c r="AT36" s="178">
        <v>0</v>
      </c>
      <c r="AU36" s="178">
        <v>0</v>
      </c>
      <c r="AV36" s="178">
        <v>0</v>
      </c>
      <c r="AW36" s="178">
        <v>0</v>
      </c>
      <c r="AX36" s="178">
        <v>0</v>
      </c>
      <c r="AY36" s="178">
        <v>0</v>
      </c>
      <c r="AZ36" s="178">
        <v>0</v>
      </c>
      <c r="BA36" s="178">
        <v>0</v>
      </c>
      <c r="BB36" s="178">
        <v>0</v>
      </c>
      <c r="BC36" s="178">
        <v>0</v>
      </c>
      <c r="BD36" s="178">
        <v>0</v>
      </c>
      <c r="BE36" s="178">
        <v>0</v>
      </c>
      <c r="BF36" s="178">
        <v>0</v>
      </c>
      <c r="BG36" s="178">
        <v>0</v>
      </c>
      <c r="BH36" s="178">
        <v>0</v>
      </c>
      <c r="BI36" s="178">
        <v>0</v>
      </c>
      <c r="BJ36" s="178">
        <v>0</v>
      </c>
      <c r="BK36" s="178">
        <v>0</v>
      </c>
      <c r="BL36" s="178">
        <v>0</v>
      </c>
      <c r="BM36" s="178">
        <v>0</v>
      </c>
      <c r="BN36" s="178">
        <v>0</v>
      </c>
      <c r="BO36" s="178">
        <v>0</v>
      </c>
      <c r="BP36" s="178">
        <v>0</v>
      </c>
      <c r="BQ36" s="178">
        <v>0</v>
      </c>
      <c r="BR36" s="178">
        <v>0</v>
      </c>
      <c r="BS36" s="178">
        <v>0</v>
      </c>
      <c r="BT36" s="178">
        <v>0</v>
      </c>
      <c r="BU36" s="178">
        <v>0</v>
      </c>
      <c r="BV36" s="178">
        <v>0</v>
      </c>
      <c r="BW36" s="178">
        <v>0</v>
      </c>
      <c r="BX36" s="178">
        <v>0</v>
      </c>
      <c r="BY36" s="178">
        <v>0</v>
      </c>
      <c r="BZ36" s="178">
        <v>0</v>
      </c>
      <c r="CA36" s="178">
        <v>0</v>
      </c>
      <c r="CB36" s="178">
        <v>0</v>
      </c>
      <c r="CC36" s="178">
        <v>0</v>
      </c>
      <c r="CD36" s="178">
        <v>0</v>
      </c>
      <c r="CE36" s="178">
        <v>0</v>
      </c>
      <c r="CF36" s="178">
        <v>0</v>
      </c>
      <c r="CG36" s="178">
        <v>0</v>
      </c>
      <c r="CH36" s="178">
        <v>0</v>
      </c>
      <c r="CI36" s="178">
        <v>3220</v>
      </c>
      <c r="CJ36" s="178">
        <v>3465</v>
      </c>
      <c r="CK36" s="178">
        <v>3405</v>
      </c>
      <c r="CL36" s="178">
        <v>3070</v>
      </c>
      <c r="CM36" s="178">
        <v>3120</v>
      </c>
      <c r="CN36" s="178">
        <v>3005</v>
      </c>
      <c r="CO36" s="178">
        <v>3040</v>
      </c>
      <c r="CP36" s="178">
        <v>3115</v>
      </c>
      <c r="CQ36" s="178">
        <v>3030</v>
      </c>
      <c r="CR36" s="178">
        <v>3020</v>
      </c>
      <c r="CS36" s="178">
        <v>3090</v>
      </c>
      <c r="CT36" s="178">
        <v>3110</v>
      </c>
      <c r="CU36" s="178">
        <v>3050</v>
      </c>
      <c r="CV36" s="178">
        <v>3010</v>
      </c>
      <c r="CW36" s="178">
        <v>2955</v>
      </c>
      <c r="CX36" s="178">
        <v>2833</v>
      </c>
      <c r="CY36" s="178">
        <v>2861</v>
      </c>
      <c r="CZ36" s="178">
        <v>2838</v>
      </c>
      <c r="DA36" s="178">
        <v>2930</v>
      </c>
      <c r="DB36" s="178">
        <v>2967</v>
      </c>
      <c r="DC36" s="178">
        <v>2970</v>
      </c>
      <c r="DD36" s="178">
        <v>2918</v>
      </c>
      <c r="DE36" s="178">
        <v>2850</v>
      </c>
      <c r="DF36" s="178">
        <v>2870</v>
      </c>
      <c r="DG36" s="178">
        <v>2933</v>
      </c>
      <c r="DH36" s="178">
        <v>2916</v>
      </c>
      <c r="DI36" s="178">
        <v>2892</v>
      </c>
      <c r="DJ36" s="178">
        <v>2839</v>
      </c>
      <c r="DK36" s="178">
        <v>2861</v>
      </c>
      <c r="DL36" s="178">
        <v>2884</v>
      </c>
      <c r="DM36" s="178">
        <v>2909</v>
      </c>
      <c r="DN36" s="178">
        <v>2363</v>
      </c>
      <c r="DO36" s="178">
        <v>2459</v>
      </c>
      <c r="DP36" s="178">
        <v>2630</v>
      </c>
      <c r="DQ36" s="178">
        <v>2561</v>
      </c>
      <c r="DR36" s="178">
        <v>2561</v>
      </c>
      <c r="DS36" s="178">
        <v>2547</v>
      </c>
      <c r="DT36" s="178">
        <v>2430</v>
      </c>
      <c r="DU36" s="178">
        <v>2515</v>
      </c>
      <c r="DV36" s="178">
        <v>2438</v>
      </c>
      <c r="DW36" s="178">
        <v>2328</v>
      </c>
      <c r="DX36" s="178">
        <v>2401</v>
      </c>
      <c r="DY36" s="178">
        <v>2370</v>
      </c>
      <c r="DZ36" s="178">
        <v>2371</v>
      </c>
      <c r="EA36" s="178">
        <v>2387</v>
      </c>
      <c r="EB36" s="178">
        <v>2402</v>
      </c>
      <c r="EC36" s="178">
        <v>2429</v>
      </c>
      <c r="ED36" s="178">
        <v>2561</v>
      </c>
      <c r="EE36" s="178">
        <v>2402</v>
      </c>
      <c r="EF36" s="178">
        <v>2351</v>
      </c>
      <c r="EG36" s="178">
        <v>2285</v>
      </c>
      <c r="EH36" s="178">
        <v>2215</v>
      </c>
    </row>
    <row r="37" spans="1:138" x14ac:dyDescent="0.25">
      <c r="A37" s="49" t="str">
        <f>IPO監視一覧!H34</f>
        <v>D</v>
      </c>
      <c r="B37" s="49" t="str">
        <f>IPO監視一覧!B34</f>
        <v>国際紙パルプ商事</v>
      </c>
      <c r="C37" s="177">
        <f>株価一覧!E36</f>
        <v>369</v>
      </c>
      <c r="D37" s="105">
        <f t="shared" ca="1" si="5"/>
        <v>370.6</v>
      </c>
      <c r="E37" s="177">
        <f t="shared" ca="1" si="6"/>
        <v>377.33333333333331</v>
      </c>
      <c r="F37" s="110">
        <f t="shared" ca="1" si="7"/>
        <v>363</v>
      </c>
      <c r="G37" s="178">
        <v>0</v>
      </c>
      <c r="H37" s="178">
        <v>0</v>
      </c>
      <c r="I37" s="178">
        <v>0</v>
      </c>
      <c r="J37" s="178">
        <v>0</v>
      </c>
      <c r="K37" s="178">
        <v>0</v>
      </c>
      <c r="L37" s="178">
        <v>0</v>
      </c>
      <c r="M37" s="178">
        <v>0</v>
      </c>
      <c r="N37" s="178">
        <v>0</v>
      </c>
      <c r="O37" s="178">
        <v>0</v>
      </c>
      <c r="P37" s="178">
        <v>0</v>
      </c>
      <c r="Q37" s="178">
        <v>0</v>
      </c>
      <c r="R37" s="178">
        <v>0</v>
      </c>
      <c r="S37" s="178">
        <v>0</v>
      </c>
      <c r="T37" s="178">
        <v>0</v>
      </c>
      <c r="U37" s="178">
        <v>0</v>
      </c>
      <c r="V37" s="178">
        <v>0</v>
      </c>
      <c r="W37" s="178">
        <v>0</v>
      </c>
      <c r="X37" s="178">
        <v>0</v>
      </c>
      <c r="Y37" s="178">
        <v>0</v>
      </c>
      <c r="Z37" s="178">
        <v>0</v>
      </c>
      <c r="AA37" s="178">
        <v>0</v>
      </c>
      <c r="AB37" s="178">
        <v>0</v>
      </c>
      <c r="AC37" s="178">
        <v>0</v>
      </c>
      <c r="AD37" s="178">
        <v>0</v>
      </c>
      <c r="AE37" s="178">
        <v>0</v>
      </c>
      <c r="AF37" s="178">
        <v>0</v>
      </c>
      <c r="AG37" s="178">
        <v>0</v>
      </c>
      <c r="AH37" s="178">
        <v>0</v>
      </c>
      <c r="AI37" s="178">
        <v>0</v>
      </c>
      <c r="AJ37" s="178">
        <v>0</v>
      </c>
      <c r="AK37" s="178">
        <v>0</v>
      </c>
      <c r="AL37" s="178">
        <v>0</v>
      </c>
      <c r="AM37" s="178">
        <v>0</v>
      </c>
      <c r="AN37" s="178">
        <v>0</v>
      </c>
      <c r="AO37" s="178">
        <v>0</v>
      </c>
      <c r="AP37" s="178">
        <v>0</v>
      </c>
      <c r="AQ37" s="178">
        <v>0</v>
      </c>
      <c r="AR37" s="178">
        <v>0</v>
      </c>
      <c r="AS37" s="178">
        <v>0</v>
      </c>
      <c r="AT37" s="178">
        <v>0</v>
      </c>
      <c r="AU37" s="178">
        <v>0</v>
      </c>
      <c r="AV37" s="178">
        <v>0</v>
      </c>
      <c r="AW37" s="178">
        <v>0</v>
      </c>
      <c r="AX37" s="178">
        <v>0</v>
      </c>
      <c r="AY37" s="178">
        <v>0</v>
      </c>
      <c r="AZ37" s="178">
        <v>0</v>
      </c>
      <c r="BA37" s="178">
        <v>0</v>
      </c>
      <c r="BB37" s="178">
        <v>0</v>
      </c>
      <c r="BC37" s="178">
        <v>0</v>
      </c>
      <c r="BD37" s="178">
        <v>0</v>
      </c>
      <c r="BE37" s="178">
        <v>0</v>
      </c>
      <c r="BF37" s="178">
        <v>0</v>
      </c>
      <c r="BG37" s="178">
        <v>0</v>
      </c>
      <c r="BH37" s="178">
        <v>0</v>
      </c>
      <c r="BI37" s="178">
        <v>0</v>
      </c>
      <c r="BJ37" s="178">
        <v>0</v>
      </c>
      <c r="BK37" s="178">
        <v>0</v>
      </c>
      <c r="BL37" s="178">
        <v>0</v>
      </c>
      <c r="BM37" s="178">
        <v>0</v>
      </c>
      <c r="BN37" s="178">
        <v>0</v>
      </c>
      <c r="BO37" s="178">
        <v>0</v>
      </c>
      <c r="BP37" s="178">
        <v>0</v>
      </c>
      <c r="BQ37" s="178">
        <v>0</v>
      </c>
      <c r="BR37" s="178">
        <v>0</v>
      </c>
      <c r="BS37" s="178">
        <v>0</v>
      </c>
      <c r="BT37" s="178">
        <v>0</v>
      </c>
      <c r="BU37" s="178">
        <v>0</v>
      </c>
      <c r="BV37" s="178">
        <v>0</v>
      </c>
      <c r="BW37" s="178">
        <v>0</v>
      </c>
      <c r="BX37" s="178">
        <v>0</v>
      </c>
      <c r="BY37" s="178">
        <v>0</v>
      </c>
      <c r="BZ37" s="178">
        <v>0</v>
      </c>
      <c r="CA37" s="178">
        <v>0</v>
      </c>
      <c r="CB37" s="178">
        <v>0</v>
      </c>
      <c r="CC37" s="178">
        <v>0</v>
      </c>
      <c r="CD37" s="178">
        <v>0</v>
      </c>
      <c r="CE37" s="178">
        <v>0</v>
      </c>
      <c r="CF37" s="178">
        <v>0</v>
      </c>
      <c r="CG37" s="178">
        <v>0</v>
      </c>
      <c r="CH37" s="178">
        <v>0</v>
      </c>
      <c r="CI37" s="178">
        <v>0</v>
      </c>
      <c r="CJ37" s="178">
        <v>370</v>
      </c>
      <c r="CK37" s="178">
        <v>361</v>
      </c>
      <c r="CL37" s="178">
        <v>379</v>
      </c>
      <c r="CM37" s="178">
        <v>379</v>
      </c>
      <c r="CN37" s="178">
        <v>372</v>
      </c>
      <c r="CO37" s="178">
        <v>383</v>
      </c>
      <c r="CP37" s="178">
        <v>378</v>
      </c>
      <c r="CQ37" s="178">
        <v>397</v>
      </c>
      <c r="CR37" s="178">
        <v>418</v>
      </c>
      <c r="CS37" s="178">
        <v>404</v>
      </c>
      <c r="CT37" s="178">
        <v>419</v>
      </c>
      <c r="CU37" s="178">
        <v>450</v>
      </c>
      <c r="CV37" s="178">
        <v>447</v>
      </c>
      <c r="CW37" s="178">
        <v>437</v>
      </c>
      <c r="CX37" s="178">
        <v>414</v>
      </c>
      <c r="CY37" s="178">
        <v>405</v>
      </c>
      <c r="CZ37" s="178">
        <v>414</v>
      </c>
      <c r="DA37" s="178">
        <v>418</v>
      </c>
      <c r="DB37" s="178">
        <v>414</v>
      </c>
      <c r="DC37" s="178">
        <v>435</v>
      </c>
      <c r="DD37" s="178">
        <v>434</v>
      </c>
      <c r="DE37" s="178">
        <v>425</v>
      </c>
      <c r="DF37" s="178">
        <v>430</v>
      </c>
      <c r="DG37" s="178">
        <v>425</v>
      </c>
      <c r="DH37" s="178">
        <v>420</v>
      </c>
      <c r="DI37" s="178">
        <v>423</v>
      </c>
      <c r="DJ37" s="178">
        <v>411</v>
      </c>
      <c r="DK37" s="178">
        <v>412</v>
      </c>
      <c r="DL37" s="178">
        <v>407</v>
      </c>
      <c r="DM37" s="178">
        <v>389</v>
      </c>
      <c r="DN37" s="178">
        <v>358</v>
      </c>
      <c r="DO37" s="178">
        <v>357</v>
      </c>
      <c r="DP37" s="178">
        <v>351</v>
      </c>
      <c r="DQ37" s="178">
        <v>343</v>
      </c>
      <c r="DR37" s="178">
        <v>357</v>
      </c>
      <c r="DS37" s="178">
        <v>371</v>
      </c>
      <c r="DT37" s="178">
        <v>367</v>
      </c>
      <c r="DU37" s="178">
        <v>368</v>
      </c>
      <c r="DV37" s="178">
        <v>367</v>
      </c>
      <c r="DW37" s="178">
        <v>370</v>
      </c>
      <c r="DX37" s="178">
        <v>379</v>
      </c>
      <c r="DY37" s="178">
        <v>372</v>
      </c>
      <c r="DZ37" s="178">
        <v>409</v>
      </c>
      <c r="EA37" s="178">
        <v>400</v>
      </c>
      <c r="EB37" s="178">
        <v>392</v>
      </c>
      <c r="EC37" s="178">
        <v>383</v>
      </c>
      <c r="ED37" s="178">
        <v>379</v>
      </c>
      <c r="EE37" s="178">
        <v>373</v>
      </c>
      <c r="EF37" s="178">
        <v>369</v>
      </c>
      <c r="EG37" s="178">
        <v>363</v>
      </c>
      <c r="EH37" s="178">
        <v>369</v>
      </c>
    </row>
    <row r="38" spans="1:138" x14ac:dyDescent="0.25">
      <c r="A38" s="49" t="str">
        <f>IPO監視一覧!H35</f>
        <v>A</v>
      </c>
      <c r="B38" s="49" t="str">
        <f>IPO監視一覧!B35</f>
        <v>エーアイ</v>
      </c>
      <c r="C38" s="177">
        <f>株価一覧!E37</f>
        <v>2999</v>
      </c>
      <c r="D38" s="105">
        <f t="shared" ca="1" si="5"/>
        <v>2818.4</v>
      </c>
      <c r="E38" s="177">
        <f t="shared" ca="1" si="6"/>
        <v>2509.5333333333333</v>
      </c>
      <c r="F38" s="110">
        <f t="shared" ca="1" si="7"/>
        <v>1993</v>
      </c>
      <c r="G38" s="178">
        <v>0</v>
      </c>
      <c r="H38" s="178">
        <v>0</v>
      </c>
      <c r="I38" s="178">
        <v>0</v>
      </c>
      <c r="J38" s="178">
        <v>0</v>
      </c>
      <c r="K38" s="178">
        <v>0</v>
      </c>
      <c r="L38" s="178">
        <v>0</v>
      </c>
      <c r="M38" s="178">
        <v>0</v>
      </c>
      <c r="N38" s="178">
        <v>0</v>
      </c>
      <c r="O38" s="178">
        <v>0</v>
      </c>
      <c r="P38" s="178">
        <v>0</v>
      </c>
      <c r="Q38" s="178">
        <v>0</v>
      </c>
      <c r="R38" s="178">
        <v>0</v>
      </c>
      <c r="S38" s="178">
        <v>0</v>
      </c>
      <c r="T38" s="178">
        <v>0</v>
      </c>
      <c r="U38" s="178">
        <v>0</v>
      </c>
      <c r="V38" s="178">
        <v>0</v>
      </c>
      <c r="W38" s="178">
        <v>0</v>
      </c>
      <c r="X38" s="178">
        <v>0</v>
      </c>
      <c r="Y38" s="178">
        <v>0</v>
      </c>
      <c r="Z38" s="178">
        <v>0</v>
      </c>
      <c r="AA38" s="178">
        <v>0</v>
      </c>
      <c r="AB38" s="178">
        <v>0</v>
      </c>
      <c r="AC38" s="178">
        <v>0</v>
      </c>
      <c r="AD38" s="178">
        <v>0</v>
      </c>
      <c r="AE38" s="178">
        <v>0</v>
      </c>
      <c r="AF38" s="178">
        <v>0</v>
      </c>
      <c r="AG38" s="178">
        <v>0</v>
      </c>
      <c r="AH38" s="178">
        <v>0</v>
      </c>
      <c r="AI38" s="178">
        <v>0</v>
      </c>
      <c r="AJ38" s="178">
        <v>0</v>
      </c>
      <c r="AK38" s="178">
        <v>0</v>
      </c>
      <c r="AL38" s="178">
        <v>0</v>
      </c>
      <c r="AM38" s="178">
        <v>0</v>
      </c>
      <c r="AN38" s="178">
        <v>0</v>
      </c>
      <c r="AO38" s="178">
        <v>0</v>
      </c>
      <c r="AP38" s="178">
        <v>0</v>
      </c>
      <c r="AQ38" s="178">
        <v>0</v>
      </c>
      <c r="AR38" s="178">
        <v>0</v>
      </c>
      <c r="AS38" s="178">
        <v>0</v>
      </c>
      <c r="AT38" s="178">
        <v>0</v>
      </c>
      <c r="AU38" s="178">
        <v>0</v>
      </c>
      <c r="AV38" s="178">
        <v>0</v>
      </c>
      <c r="AW38" s="178">
        <v>0</v>
      </c>
      <c r="AX38" s="178">
        <v>0</v>
      </c>
      <c r="AY38" s="178">
        <v>0</v>
      </c>
      <c r="AZ38" s="178">
        <v>0</v>
      </c>
      <c r="BA38" s="178">
        <v>0</v>
      </c>
      <c r="BB38" s="178">
        <v>0</v>
      </c>
      <c r="BC38" s="178">
        <v>0</v>
      </c>
      <c r="BD38" s="178">
        <v>0</v>
      </c>
      <c r="BE38" s="178">
        <v>0</v>
      </c>
      <c r="BF38" s="178">
        <v>0</v>
      </c>
      <c r="BG38" s="178">
        <v>0</v>
      </c>
      <c r="BH38" s="178">
        <v>0</v>
      </c>
      <c r="BI38" s="178">
        <v>0</v>
      </c>
      <c r="BJ38" s="178">
        <v>0</v>
      </c>
      <c r="BK38" s="178">
        <v>0</v>
      </c>
      <c r="BL38" s="178">
        <v>0</v>
      </c>
      <c r="BM38" s="178">
        <v>0</v>
      </c>
      <c r="BN38" s="178">
        <v>0</v>
      </c>
      <c r="BO38" s="178">
        <v>0</v>
      </c>
      <c r="BP38" s="178">
        <v>0</v>
      </c>
      <c r="BQ38" s="178">
        <v>0</v>
      </c>
      <c r="BR38" s="178">
        <v>0</v>
      </c>
      <c r="BS38" s="178">
        <v>0</v>
      </c>
      <c r="BT38" s="178">
        <v>0</v>
      </c>
      <c r="BU38" s="178">
        <v>0</v>
      </c>
      <c r="BV38" s="178">
        <v>0</v>
      </c>
      <c r="BW38" s="178">
        <v>0</v>
      </c>
      <c r="BX38" s="178">
        <v>0</v>
      </c>
      <c r="BY38" s="178">
        <v>0</v>
      </c>
      <c r="BZ38" s="178">
        <v>0</v>
      </c>
      <c r="CA38" s="178">
        <v>0</v>
      </c>
      <c r="CB38" s="178">
        <v>0</v>
      </c>
      <c r="CC38" s="178">
        <v>0</v>
      </c>
      <c r="CD38" s="178">
        <v>0</v>
      </c>
      <c r="CE38" s="178">
        <v>0</v>
      </c>
      <c r="CF38" s="178">
        <v>0</v>
      </c>
      <c r="CG38" s="178">
        <v>0</v>
      </c>
      <c r="CH38" s="178">
        <v>0</v>
      </c>
      <c r="CI38" s="178">
        <v>0</v>
      </c>
      <c r="CJ38" s="178">
        <v>0</v>
      </c>
      <c r="CK38" s="178">
        <v>0</v>
      </c>
      <c r="CL38" s="178">
        <v>4100</v>
      </c>
      <c r="CM38" s="178">
        <v>3400</v>
      </c>
      <c r="CN38" s="178">
        <v>3075</v>
      </c>
      <c r="CO38" s="178">
        <v>3265</v>
      </c>
      <c r="CP38" s="178">
        <v>3360</v>
      </c>
      <c r="CQ38" s="178">
        <v>3650</v>
      </c>
      <c r="CR38" s="178">
        <v>3810</v>
      </c>
      <c r="CS38" s="178">
        <v>3585</v>
      </c>
      <c r="CT38" s="178">
        <v>3290</v>
      </c>
      <c r="CU38" s="178">
        <v>3210</v>
      </c>
      <c r="CV38" s="178">
        <v>3260</v>
      </c>
      <c r="CW38" s="178">
        <v>3065</v>
      </c>
      <c r="CX38" s="178">
        <v>3315</v>
      </c>
      <c r="CY38" s="178">
        <v>3225</v>
      </c>
      <c r="CZ38" s="178">
        <v>3170</v>
      </c>
      <c r="DA38" s="178">
        <v>3190</v>
      </c>
      <c r="DB38" s="178">
        <v>3220</v>
      </c>
      <c r="DC38" s="178">
        <v>3175</v>
      </c>
      <c r="DD38" s="178">
        <v>3120</v>
      </c>
      <c r="DE38" s="178">
        <v>3225</v>
      </c>
      <c r="DF38" s="178">
        <v>3110</v>
      </c>
      <c r="DG38" s="178">
        <v>3135</v>
      </c>
      <c r="DH38" s="178">
        <v>3085</v>
      </c>
      <c r="DI38" s="178">
        <v>2955</v>
      </c>
      <c r="DJ38" s="178">
        <v>2535</v>
      </c>
      <c r="DK38" s="178">
        <v>2585</v>
      </c>
      <c r="DL38" s="178">
        <v>2526</v>
      </c>
      <c r="DM38" s="178">
        <v>2502</v>
      </c>
      <c r="DN38" s="178">
        <v>2205</v>
      </c>
      <c r="DO38" s="178">
        <v>2200</v>
      </c>
      <c r="DP38" s="178">
        <v>2117</v>
      </c>
      <c r="DQ38" s="178">
        <v>2030</v>
      </c>
      <c r="DR38" s="178">
        <v>2035</v>
      </c>
      <c r="DS38" s="178">
        <v>1962</v>
      </c>
      <c r="DT38" s="178">
        <v>1862</v>
      </c>
      <c r="DU38" s="178">
        <v>1993</v>
      </c>
      <c r="DV38" s="178">
        <v>2229</v>
      </c>
      <c r="DW38" s="178">
        <v>2520</v>
      </c>
      <c r="DX38" s="178">
        <v>2545</v>
      </c>
      <c r="DY38" s="178">
        <v>2533</v>
      </c>
      <c r="DZ38" s="178">
        <v>2492</v>
      </c>
      <c r="EA38" s="178">
        <v>2398</v>
      </c>
      <c r="EB38" s="178">
        <v>2361</v>
      </c>
      <c r="EC38" s="178">
        <v>2618</v>
      </c>
      <c r="ED38" s="178">
        <v>2744</v>
      </c>
      <c r="EE38" s="178">
        <v>2674</v>
      </c>
      <c r="EF38" s="178">
        <v>2831</v>
      </c>
      <c r="EG38" s="178">
        <v>2844</v>
      </c>
      <c r="EH38" s="178">
        <v>2999</v>
      </c>
    </row>
    <row r="39" spans="1:138" x14ac:dyDescent="0.25">
      <c r="A39" s="49" t="str">
        <f>IPO監視一覧!H36</f>
        <v>A</v>
      </c>
      <c r="B39" s="49" t="str">
        <f>IPO監視一覧!B36</f>
        <v>プロパティデータバンク</v>
      </c>
      <c r="C39" s="177">
        <f>株価一覧!E38</f>
        <v>2330</v>
      </c>
      <c r="D39" s="105">
        <f t="shared" ca="1" si="5"/>
        <v>2411.1999999999998</v>
      </c>
      <c r="E39" s="177">
        <f t="shared" ca="1" si="6"/>
        <v>2467.0666666666666</v>
      </c>
      <c r="F39" s="110">
        <f t="shared" ca="1" si="7"/>
        <v>2330</v>
      </c>
      <c r="G39" s="178">
        <v>0</v>
      </c>
      <c r="H39" s="178">
        <v>0</v>
      </c>
      <c r="I39" s="178">
        <v>0</v>
      </c>
      <c r="J39" s="178">
        <v>0</v>
      </c>
      <c r="K39" s="178">
        <v>0</v>
      </c>
      <c r="L39" s="178">
        <v>0</v>
      </c>
      <c r="M39" s="178">
        <v>0</v>
      </c>
      <c r="N39" s="178">
        <v>0</v>
      </c>
      <c r="O39" s="178">
        <v>0</v>
      </c>
      <c r="P39" s="178">
        <v>0</v>
      </c>
      <c r="Q39" s="178">
        <v>0</v>
      </c>
      <c r="R39" s="178">
        <v>0</v>
      </c>
      <c r="S39" s="178">
        <v>0</v>
      </c>
      <c r="T39" s="178">
        <v>0</v>
      </c>
      <c r="U39" s="178">
        <v>0</v>
      </c>
      <c r="V39" s="178">
        <v>0</v>
      </c>
      <c r="W39" s="178">
        <v>0</v>
      </c>
      <c r="X39" s="178">
        <v>0</v>
      </c>
      <c r="Y39" s="178">
        <v>0</v>
      </c>
      <c r="Z39" s="178">
        <v>0</v>
      </c>
      <c r="AA39" s="178">
        <v>0</v>
      </c>
      <c r="AB39" s="178">
        <v>0</v>
      </c>
      <c r="AC39" s="178">
        <v>0</v>
      </c>
      <c r="AD39" s="178">
        <v>0</v>
      </c>
      <c r="AE39" s="178">
        <v>0</v>
      </c>
      <c r="AF39" s="178">
        <v>0</v>
      </c>
      <c r="AG39" s="178">
        <v>0</v>
      </c>
      <c r="AH39" s="178">
        <v>0</v>
      </c>
      <c r="AI39" s="178">
        <v>0</v>
      </c>
      <c r="AJ39" s="178">
        <v>0</v>
      </c>
      <c r="AK39" s="178">
        <v>0</v>
      </c>
      <c r="AL39" s="178">
        <v>0</v>
      </c>
      <c r="AM39" s="178">
        <v>0</v>
      </c>
      <c r="AN39" s="178">
        <v>0</v>
      </c>
      <c r="AO39" s="178">
        <v>0</v>
      </c>
      <c r="AP39" s="178">
        <v>0</v>
      </c>
      <c r="AQ39" s="178">
        <v>0</v>
      </c>
      <c r="AR39" s="178">
        <v>0</v>
      </c>
      <c r="AS39" s="178">
        <v>0</v>
      </c>
      <c r="AT39" s="178">
        <v>0</v>
      </c>
      <c r="AU39" s="178">
        <v>0</v>
      </c>
      <c r="AV39" s="178">
        <v>0</v>
      </c>
      <c r="AW39" s="178">
        <v>0</v>
      </c>
      <c r="AX39" s="178">
        <v>0</v>
      </c>
      <c r="AY39" s="178">
        <v>0</v>
      </c>
      <c r="AZ39" s="178">
        <v>0</v>
      </c>
      <c r="BA39" s="178">
        <v>0</v>
      </c>
      <c r="BB39" s="178">
        <v>0</v>
      </c>
      <c r="BC39" s="178">
        <v>0</v>
      </c>
      <c r="BD39" s="178">
        <v>0</v>
      </c>
      <c r="BE39" s="178">
        <v>0</v>
      </c>
      <c r="BF39" s="178">
        <v>0</v>
      </c>
      <c r="BG39" s="178">
        <v>0</v>
      </c>
      <c r="BH39" s="178">
        <v>0</v>
      </c>
      <c r="BI39" s="178">
        <v>0</v>
      </c>
      <c r="BJ39" s="178">
        <v>0</v>
      </c>
      <c r="BK39" s="178">
        <v>0</v>
      </c>
      <c r="BL39" s="178">
        <v>0</v>
      </c>
      <c r="BM39" s="178">
        <v>0</v>
      </c>
      <c r="BN39" s="178">
        <v>0</v>
      </c>
      <c r="BO39" s="178">
        <v>0</v>
      </c>
      <c r="BP39" s="178">
        <v>0</v>
      </c>
      <c r="BQ39" s="178">
        <v>0</v>
      </c>
      <c r="BR39" s="178">
        <v>0</v>
      </c>
      <c r="BS39" s="178">
        <v>0</v>
      </c>
      <c r="BT39" s="178">
        <v>0</v>
      </c>
      <c r="BU39" s="178">
        <v>0</v>
      </c>
      <c r="BV39" s="178">
        <v>0</v>
      </c>
      <c r="BW39" s="178">
        <v>0</v>
      </c>
      <c r="BX39" s="178">
        <v>0</v>
      </c>
      <c r="BY39" s="178">
        <v>0</v>
      </c>
      <c r="BZ39" s="178">
        <v>0</v>
      </c>
      <c r="CA39" s="178">
        <v>0</v>
      </c>
      <c r="CB39" s="178">
        <v>0</v>
      </c>
      <c r="CC39" s="178">
        <v>0</v>
      </c>
      <c r="CD39" s="178">
        <v>0</v>
      </c>
      <c r="CE39" s="178">
        <v>0</v>
      </c>
      <c r="CF39" s="178">
        <v>0</v>
      </c>
      <c r="CG39" s="178">
        <v>0</v>
      </c>
      <c r="CH39" s="178">
        <v>0</v>
      </c>
      <c r="CI39" s="178">
        <v>0</v>
      </c>
      <c r="CJ39" s="178">
        <v>0</v>
      </c>
      <c r="CK39" s="178">
        <v>3400</v>
      </c>
      <c r="CL39" s="178">
        <v>3070</v>
      </c>
      <c r="CM39" s="178">
        <v>2814</v>
      </c>
      <c r="CN39" s="178">
        <v>3110</v>
      </c>
      <c r="CO39" s="178">
        <v>3215</v>
      </c>
      <c r="CP39" s="178">
        <v>3080</v>
      </c>
      <c r="CQ39" s="178">
        <v>2920</v>
      </c>
      <c r="CR39" s="178">
        <v>2891</v>
      </c>
      <c r="CS39" s="178">
        <v>2915</v>
      </c>
      <c r="CT39" s="178">
        <v>2823</v>
      </c>
      <c r="CU39" s="178">
        <v>2869</v>
      </c>
      <c r="CV39" s="178">
        <v>2950</v>
      </c>
      <c r="CW39" s="178">
        <v>3290</v>
      </c>
      <c r="CX39" s="178">
        <v>3260</v>
      </c>
      <c r="CY39" s="178">
        <v>3290</v>
      </c>
      <c r="CZ39" s="178">
        <v>3155</v>
      </c>
      <c r="DA39" s="178">
        <v>3080</v>
      </c>
      <c r="DB39" s="178">
        <v>3030</v>
      </c>
      <c r="DC39" s="178">
        <v>3130</v>
      </c>
      <c r="DD39" s="178">
        <v>3190</v>
      </c>
      <c r="DE39" s="178">
        <v>3060</v>
      </c>
      <c r="DF39" s="178">
        <v>3145</v>
      </c>
      <c r="DG39" s="178">
        <v>3120</v>
      </c>
      <c r="DH39" s="178">
        <v>2980</v>
      </c>
      <c r="DI39" s="178">
        <v>2879</v>
      </c>
      <c r="DJ39" s="178">
        <v>2871</v>
      </c>
      <c r="DK39" s="178">
        <v>2854</v>
      </c>
      <c r="DL39" s="178">
        <v>2885</v>
      </c>
      <c r="DM39" s="178">
        <v>2898</v>
      </c>
      <c r="DN39" s="178">
        <v>2663</v>
      </c>
      <c r="DO39" s="178">
        <v>2770</v>
      </c>
      <c r="DP39" s="178">
        <v>2752</v>
      </c>
      <c r="DQ39" s="178">
        <v>2566</v>
      </c>
      <c r="DR39" s="178">
        <v>2478</v>
      </c>
      <c r="DS39" s="178">
        <v>2452</v>
      </c>
      <c r="DT39" s="178">
        <v>2322</v>
      </c>
      <c r="DU39" s="178">
        <v>2420</v>
      </c>
      <c r="DV39" s="178">
        <v>2425</v>
      </c>
      <c r="DW39" s="178">
        <v>2452</v>
      </c>
      <c r="DX39" s="178">
        <v>2656</v>
      </c>
      <c r="DY39" s="178">
        <v>2629</v>
      </c>
      <c r="DZ39" s="178">
        <v>2608</v>
      </c>
      <c r="EA39" s="178">
        <v>2505</v>
      </c>
      <c r="EB39" s="178">
        <v>2469</v>
      </c>
      <c r="EC39" s="178">
        <v>2464</v>
      </c>
      <c r="ED39" s="178">
        <v>2430</v>
      </c>
      <c r="EE39" s="178">
        <v>2471</v>
      </c>
      <c r="EF39" s="178">
        <v>2438</v>
      </c>
      <c r="EG39" s="178">
        <v>2387</v>
      </c>
      <c r="EH39" s="178">
        <v>2330</v>
      </c>
    </row>
    <row r="40" spans="1:138" x14ac:dyDescent="0.25">
      <c r="A40" s="49" t="str">
        <f>IPO監視一覧!H37</f>
        <v>B</v>
      </c>
      <c r="B40" s="49" t="str">
        <f>IPO監視一覧!B37</f>
        <v>IPS</v>
      </c>
      <c r="C40" s="177">
        <f>株価一覧!E39</f>
        <v>8500</v>
      </c>
      <c r="D40" s="105">
        <f t="shared" ca="1" si="5"/>
        <v>8282</v>
      </c>
      <c r="E40" s="177">
        <f t="shared" ca="1" si="6"/>
        <v>7886</v>
      </c>
      <c r="F40" s="110">
        <f t="shared" ca="1" si="7"/>
        <v>7420</v>
      </c>
      <c r="G40" s="178">
        <v>0</v>
      </c>
      <c r="H40" s="178">
        <v>0</v>
      </c>
      <c r="I40" s="178">
        <v>0</v>
      </c>
      <c r="J40" s="178">
        <v>0</v>
      </c>
      <c r="K40" s="178">
        <v>0</v>
      </c>
      <c r="L40" s="178">
        <v>0</v>
      </c>
      <c r="M40" s="178">
        <v>0</v>
      </c>
      <c r="N40" s="178">
        <v>0</v>
      </c>
      <c r="O40" s="178">
        <v>0</v>
      </c>
      <c r="P40" s="178">
        <v>0</v>
      </c>
      <c r="Q40" s="178">
        <v>0</v>
      </c>
      <c r="R40" s="178">
        <v>0</v>
      </c>
      <c r="S40" s="178">
        <v>0</v>
      </c>
      <c r="T40" s="178">
        <v>0</v>
      </c>
      <c r="U40" s="178">
        <v>0</v>
      </c>
      <c r="V40" s="178">
        <v>0</v>
      </c>
      <c r="W40" s="178">
        <v>0</v>
      </c>
      <c r="X40" s="178">
        <v>0</v>
      </c>
      <c r="Y40" s="178">
        <v>0</v>
      </c>
      <c r="Z40" s="178">
        <v>0</v>
      </c>
      <c r="AA40" s="178">
        <v>0</v>
      </c>
      <c r="AB40" s="178">
        <v>0</v>
      </c>
      <c r="AC40" s="178">
        <v>0</v>
      </c>
      <c r="AD40" s="178">
        <v>0</v>
      </c>
      <c r="AE40" s="178">
        <v>0</v>
      </c>
      <c r="AF40" s="178">
        <v>0</v>
      </c>
      <c r="AG40" s="178">
        <v>0</v>
      </c>
      <c r="AH40" s="178">
        <v>0</v>
      </c>
      <c r="AI40" s="178">
        <v>0</v>
      </c>
      <c r="AJ40" s="178">
        <v>0</v>
      </c>
      <c r="AK40" s="178">
        <v>0</v>
      </c>
      <c r="AL40" s="178">
        <v>0</v>
      </c>
      <c r="AM40" s="178">
        <v>0</v>
      </c>
      <c r="AN40" s="178">
        <v>0</v>
      </c>
      <c r="AO40" s="178">
        <v>0</v>
      </c>
      <c r="AP40" s="178">
        <v>0</v>
      </c>
      <c r="AQ40" s="178">
        <v>0</v>
      </c>
      <c r="AR40" s="178">
        <v>0</v>
      </c>
      <c r="AS40" s="178">
        <v>0</v>
      </c>
      <c r="AT40" s="178">
        <v>0</v>
      </c>
      <c r="AU40" s="178">
        <v>0</v>
      </c>
      <c r="AV40" s="178">
        <v>0</v>
      </c>
      <c r="AW40" s="178">
        <v>0</v>
      </c>
      <c r="AX40" s="178">
        <v>0</v>
      </c>
      <c r="AY40" s="178">
        <v>0</v>
      </c>
      <c r="AZ40" s="178">
        <v>0</v>
      </c>
      <c r="BA40" s="178">
        <v>0</v>
      </c>
      <c r="BB40" s="178">
        <v>0</v>
      </c>
      <c r="BC40" s="178">
        <v>0</v>
      </c>
      <c r="BD40" s="178">
        <v>0</v>
      </c>
      <c r="BE40" s="178">
        <v>0</v>
      </c>
      <c r="BF40" s="178">
        <v>0</v>
      </c>
      <c r="BG40" s="178">
        <v>0</v>
      </c>
      <c r="BH40" s="178">
        <v>0</v>
      </c>
      <c r="BI40" s="178">
        <v>0</v>
      </c>
      <c r="BJ40" s="178">
        <v>0</v>
      </c>
      <c r="BK40" s="178">
        <v>0</v>
      </c>
      <c r="BL40" s="178">
        <v>0</v>
      </c>
      <c r="BM40" s="178">
        <v>0</v>
      </c>
      <c r="BN40" s="178">
        <v>0</v>
      </c>
      <c r="BO40" s="178">
        <v>0</v>
      </c>
      <c r="BP40" s="178">
        <v>0</v>
      </c>
      <c r="BQ40" s="178">
        <v>0</v>
      </c>
      <c r="BR40" s="178">
        <v>0</v>
      </c>
      <c r="BS40" s="178">
        <v>0</v>
      </c>
      <c r="BT40" s="178">
        <v>0</v>
      </c>
      <c r="BU40" s="178">
        <v>0</v>
      </c>
      <c r="BV40" s="178">
        <v>0</v>
      </c>
      <c r="BW40" s="178">
        <v>0</v>
      </c>
      <c r="BX40" s="178">
        <v>0</v>
      </c>
      <c r="BY40" s="178">
        <v>0</v>
      </c>
      <c r="BZ40" s="178">
        <v>0</v>
      </c>
      <c r="CA40" s="178">
        <v>0</v>
      </c>
      <c r="CB40" s="178">
        <v>0</v>
      </c>
      <c r="CC40" s="178">
        <v>0</v>
      </c>
      <c r="CD40" s="178">
        <v>0</v>
      </c>
      <c r="CE40" s="178">
        <v>0</v>
      </c>
      <c r="CF40" s="178">
        <v>0</v>
      </c>
      <c r="CG40" s="178">
        <v>0</v>
      </c>
      <c r="CH40" s="178">
        <v>0</v>
      </c>
      <c r="CI40" s="178">
        <v>0</v>
      </c>
      <c r="CJ40" s="178">
        <v>0</v>
      </c>
      <c r="CK40" s="178">
        <v>6160</v>
      </c>
      <c r="CL40" s="178">
        <v>7160</v>
      </c>
      <c r="CM40" s="178">
        <v>8340</v>
      </c>
      <c r="CN40" s="178">
        <v>9840</v>
      </c>
      <c r="CO40" s="178">
        <v>9600</v>
      </c>
      <c r="CP40" s="178">
        <v>9330</v>
      </c>
      <c r="CQ40" s="178">
        <v>7830</v>
      </c>
      <c r="CR40" s="178">
        <v>8560</v>
      </c>
      <c r="CS40" s="178">
        <v>8820</v>
      </c>
      <c r="CT40" s="178">
        <v>8140</v>
      </c>
      <c r="CU40" s="178">
        <v>8180</v>
      </c>
      <c r="CV40" s="178">
        <v>7950</v>
      </c>
      <c r="CW40" s="178">
        <v>7870</v>
      </c>
      <c r="CX40" s="178">
        <v>7950</v>
      </c>
      <c r="CY40" s="178">
        <v>7450</v>
      </c>
      <c r="CZ40" s="178">
        <v>7690</v>
      </c>
      <c r="DA40" s="178">
        <v>7500</v>
      </c>
      <c r="DB40" s="178">
        <v>7580</v>
      </c>
      <c r="DC40" s="178">
        <v>8030</v>
      </c>
      <c r="DD40" s="178">
        <v>7910</v>
      </c>
      <c r="DE40" s="178">
        <v>7980</v>
      </c>
      <c r="DF40" s="178">
        <v>7740</v>
      </c>
      <c r="DG40" s="178">
        <v>7550</v>
      </c>
      <c r="DH40" s="178">
        <v>7480</v>
      </c>
      <c r="DI40" s="178">
        <v>8090</v>
      </c>
      <c r="DJ40" s="178">
        <v>8010</v>
      </c>
      <c r="DK40" s="178">
        <v>8290</v>
      </c>
      <c r="DL40" s="178">
        <v>8090</v>
      </c>
      <c r="DM40" s="178">
        <v>8050</v>
      </c>
      <c r="DN40" s="178">
        <v>9060</v>
      </c>
      <c r="DO40" s="178">
        <v>8900</v>
      </c>
      <c r="DP40" s="178">
        <v>8260</v>
      </c>
      <c r="DQ40" s="178">
        <v>7780</v>
      </c>
      <c r="DR40" s="178">
        <v>7520</v>
      </c>
      <c r="DS40" s="178">
        <v>7580</v>
      </c>
      <c r="DT40" s="178">
        <v>7290</v>
      </c>
      <c r="DU40" s="178">
        <v>7450</v>
      </c>
      <c r="DV40" s="178">
        <v>7600</v>
      </c>
      <c r="DW40" s="178">
        <v>7720</v>
      </c>
      <c r="DX40" s="178">
        <v>7670</v>
      </c>
      <c r="DY40" s="178">
        <v>7440</v>
      </c>
      <c r="DZ40" s="178">
        <v>7420</v>
      </c>
      <c r="EA40" s="178">
        <v>7900</v>
      </c>
      <c r="EB40" s="178">
        <v>8050</v>
      </c>
      <c r="EC40" s="178">
        <v>8340</v>
      </c>
      <c r="ED40" s="178">
        <v>8130</v>
      </c>
      <c r="EE40" s="178">
        <v>8270</v>
      </c>
      <c r="EF40" s="178">
        <v>8060</v>
      </c>
      <c r="EG40" s="178">
        <v>8450</v>
      </c>
      <c r="EH40" s="178">
        <v>8500</v>
      </c>
    </row>
    <row r="41" spans="1:138" x14ac:dyDescent="0.25">
      <c r="A41" s="49" t="str">
        <f>IPO監視一覧!H38</f>
        <v>D</v>
      </c>
      <c r="B41" s="49" t="str">
        <f>IPO監視一覧!B38</f>
        <v>スプリックス</v>
      </c>
      <c r="C41" s="177">
        <f>株価一覧!E40</f>
        <v>2816</v>
      </c>
      <c r="D41" s="105">
        <f t="shared" ref="D41:D54" ca="1" si="8">AVERAGE(OFFSET(A41,0,COUNTA(G41:XFD41)+5,1,-5))</f>
        <v>2789.2</v>
      </c>
      <c r="E41" s="177">
        <f t="shared" ref="E41:E54" ca="1" si="9">IF(F41=0,0,AVERAGE(OFFSET(A41,0,COUNTA(G41:XFD41)+5,1,-15)))</f>
        <v>2750.2</v>
      </c>
      <c r="F41" s="110">
        <f t="shared" ref="F41:F54" ca="1" si="10">MIN(OFFSET(B41,0,COUNTA(G41:XFD41)+5,1,-15))</f>
        <v>2673</v>
      </c>
      <c r="G41" s="178">
        <v>0</v>
      </c>
      <c r="H41" s="178">
        <v>0</v>
      </c>
      <c r="I41" s="178">
        <v>0</v>
      </c>
      <c r="J41" s="178">
        <v>0</v>
      </c>
      <c r="K41" s="178">
        <v>0</v>
      </c>
      <c r="L41" s="178">
        <v>0</v>
      </c>
      <c r="M41" s="178">
        <v>0</v>
      </c>
      <c r="N41" s="178">
        <v>0</v>
      </c>
      <c r="O41" s="178">
        <v>0</v>
      </c>
      <c r="P41" s="178">
        <v>0</v>
      </c>
      <c r="Q41" s="178">
        <v>0</v>
      </c>
      <c r="R41" s="178">
        <v>0</v>
      </c>
      <c r="S41" s="178">
        <v>0</v>
      </c>
      <c r="T41" s="178">
        <v>0</v>
      </c>
      <c r="U41" s="178">
        <v>0</v>
      </c>
      <c r="V41" s="178">
        <v>0</v>
      </c>
      <c r="W41" s="178">
        <v>0</v>
      </c>
      <c r="X41" s="178">
        <v>0</v>
      </c>
      <c r="Y41" s="178">
        <v>0</v>
      </c>
      <c r="Z41" s="178">
        <v>0</v>
      </c>
      <c r="AA41" s="178">
        <v>0</v>
      </c>
      <c r="AB41" s="178">
        <v>0</v>
      </c>
      <c r="AC41" s="178">
        <v>0</v>
      </c>
      <c r="AD41" s="178">
        <v>0</v>
      </c>
      <c r="AE41" s="178">
        <v>0</v>
      </c>
      <c r="AF41" s="178">
        <v>0</v>
      </c>
      <c r="AG41" s="178">
        <v>0</v>
      </c>
      <c r="AH41" s="178">
        <v>0</v>
      </c>
      <c r="AI41" s="178">
        <v>0</v>
      </c>
      <c r="AJ41" s="178">
        <v>0</v>
      </c>
      <c r="AK41" s="178">
        <v>0</v>
      </c>
      <c r="AL41" s="178">
        <v>0</v>
      </c>
      <c r="AM41" s="178">
        <v>0</v>
      </c>
      <c r="AN41" s="178">
        <v>0</v>
      </c>
      <c r="AO41" s="178">
        <v>0</v>
      </c>
      <c r="AP41" s="178">
        <v>0</v>
      </c>
      <c r="AQ41" s="178">
        <v>0</v>
      </c>
      <c r="AR41" s="178">
        <v>0</v>
      </c>
      <c r="AS41" s="178">
        <v>0</v>
      </c>
      <c r="AT41" s="178">
        <v>0</v>
      </c>
      <c r="AU41" s="178">
        <v>0</v>
      </c>
      <c r="AV41" s="178">
        <v>0</v>
      </c>
      <c r="AW41" s="178">
        <v>0</v>
      </c>
      <c r="AX41" s="178">
        <v>0</v>
      </c>
      <c r="AY41" s="178">
        <v>0</v>
      </c>
      <c r="AZ41" s="178">
        <v>0</v>
      </c>
      <c r="BA41" s="178">
        <v>0</v>
      </c>
      <c r="BB41" s="178">
        <v>0</v>
      </c>
      <c r="BC41" s="178">
        <v>0</v>
      </c>
      <c r="BD41" s="178">
        <v>0</v>
      </c>
      <c r="BE41" s="178">
        <v>0</v>
      </c>
      <c r="BF41" s="178">
        <v>0</v>
      </c>
      <c r="BG41" s="178">
        <v>0</v>
      </c>
      <c r="BH41" s="178">
        <v>0</v>
      </c>
      <c r="BI41" s="178">
        <v>0</v>
      </c>
      <c r="BJ41" s="178">
        <v>0</v>
      </c>
      <c r="BK41" s="178">
        <v>0</v>
      </c>
      <c r="BL41" s="178">
        <v>0</v>
      </c>
      <c r="BM41" s="178">
        <v>0</v>
      </c>
      <c r="BN41" s="178">
        <v>0</v>
      </c>
      <c r="BO41" s="178">
        <v>0</v>
      </c>
      <c r="BP41" s="178">
        <v>0</v>
      </c>
      <c r="BQ41" s="178">
        <v>0</v>
      </c>
      <c r="BR41" s="178">
        <v>0</v>
      </c>
      <c r="BS41" s="178">
        <v>0</v>
      </c>
      <c r="BT41" s="178">
        <v>0</v>
      </c>
      <c r="BU41" s="178">
        <v>0</v>
      </c>
      <c r="BV41" s="178">
        <v>0</v>
      </c>
      <c r="BW41" s="178">
        <v>0</v>
      </c>
      <c r="BX41" s="178">
        <v>0</v>
      </c>
      <c r="BY41" s="178">
        <v>0</v>
      </c>
      <c r="BZ41" s="178">
        <v>0</v>
      </c>
      <c r="CA41" s="178">
        <v>0</v>
      </c>
      <c r="CB41" s="178">
        <v>0</v>
      </c>
      <c r="CC41" s="178">
        <v>0</v>
      </c>
      <c r="CD41" s="178">
        <v>0</v>
      </c>
      <c r="CE41" s="178">
        <v>0</v>
      </c>
      <c r="CF41" s="178">
        <v>0</v>
      </c>
      <c r="CG41" s="178">
        <v>0</v>
      </c>
      <c r="CH41" s="178">
        <v>0</v>
      </c>
      <c r="CI41" s="178">
        <v>0</v>
      </c>
      <c r="CJ41" s="178">
        <v>0</v>
      </c>
      <c r="CK41" s="178">
        <v>0</v>
      </c>
      <c r="CL41" s="178">
        <v>0</v>
      </c>
      <c r="CM41" s="178">
        <v>0</v>
      </c>
      <c r="CN41" s="178">
        <v>2770</v>
      </c>
      <c r="CO41" s="178">
        <v>2860</v>
      </c>
      <c r="CP41" s="178">
        <v>2926</v>
      </c>
      <c r="CQ41" s="178">
        <v>2853</v>
      </c>
      <c r="CR41" s="178">
        <v>2823</v>
      </c>
      <c r="CS41" s="178">
        <v>2855</v>
      </c>
      <c r="CT41" s="178">
        <v>2888</v>
      </c>
      <c r="CU41" s="178">
        <v>2864</v>
      </c>
      <c r="CV41" s="178">
        <v>2996</v>
      </c>
      <c r="CW41" s="178">
        <v>2822</v>
      </c>
      <c r="CX41" s="178">
        <v>2787</v>
      </c>
      <c r="CY41" s="178">
        <v>2958</v>
      </c>
      <c r="CZ41" s="178">
        <v>2938</v>
      </c>
      <c r="DA41" s="178">
        <v>2947</v>
      </c>
      <c r="DB41" s="178">
        <v>3035</v>
      </c>
      <c r="DC41" s="178">
        <v>3095</v>
      </c>
      <c r="DD41" s="178">
        <v>2961</v>
      </c>
      <c r="DE41" s="178">
        <v>2871</v>
      </c>
      <c r="DF41" s="178">
        <v>2804</v>
      </c>
      <c r="DG41" s="178">
        <v>2705</v>
      </c>
      <c r="DH41" s="178">
        <v>2825</v>
      </c>
      <c r="DI41" s="178">
        <v>2771</v>
      </c>
      <c r="DJ41" s="178">
        <v>2818</v>
      </c>
      <c r="DK41" s="178">
        <v>2741</v>
      </c>
      <c r="DL41" s="178">
        <v>2726</v>
      </c>
      <c r="DM41" s="178">
        <v>2764</v>
      </c>
      <c r="DN41" s="178">
        <v>2916</v>
      </c>
      <c r="DO41" s="178">
        <v>2901</v>
      </c>
      <c r="DP41" s="178">
        <v>2872</v>
      </c>
      <c r="DQ41" s="178">
        <v>2729</v>
      </c>
      <c r="DR41" s="178">
        <v>2669</v>
      </c>
      <c r="DS41" s="178">
        <v>2687</v>
      </c>
      <c r="DT41" s="178">
        <v>2715</v>
      </c>
      <c r="DU41" s="178">
        <v>2688</v>
      </c>
      <c r="DV41" s="178">
        <v>2740</v>
      </c>
      <c r="DW41" s="178">
        <v>2772</v>
      </c>
      <c r="DX41" s="178">
        <v>2797</v>
      </c>
      <c r="DY41" s="178">
        <v>2688</v>
      </c>
      <c r="DZ41" s="178">
        <v>2673</v>
      </c>
      <c r="EA41" s="178">
        <v>2701</v>
      </c>
      <c r="EB41" s="178">
        <v>2742</v>
      </c>
      <c r="EC41" s="178">
        <v>2791</v>
      </c>
      <c r="ED41" s="178">
        <v>2783</v>
      </c>
      <c r="EE41" s="178">
        <v>2806</v>
      </c>
      <c r="EF41" s="178">
        <v>2751</v>
      </c>
      <c r="EG41" s="178">
        <v>2790</v>
      </c>
      <c r="EH41" s="178">
        <v>2816</v>
      </c>
    </row>
    <row r="42" spans="1:138" x14ac:dyDescent="0.25">
      <c r="A42" s="49" t="str">
        <f>IPO監視一覧!H39</f>
        <v>A</v>
      </c>
      <c r="B42" s="49" t="str">
        <f>IPO監視一覧!B39</f>
        <v>ロジザード</v>
      </c>
      <c r="C42" s="177">
        <f>株価一覧!E41</f>
        <v>1946</v>
      </c>
      <c r="D42" s="105">
        <f t="shared" ca="1" si="8"/>
        <v>1859.2</v>
      </c>
      <c r="E42" s="177">
        <f t="shared" ca="1" si="9"/>
        <v>1886.8666666666666</v>
      </c>
      <c r="F42" s="110">
        <f t="shared" ca="1" si="10"/>
        <v>1780</v>
      </c>
      <c r="G42" s="178">
        <v>0</v>
      </c>
      <c r="H42" s="178">
        <v>0</v>
      </c>
      <c r="I42" s="178">
        <v>0</v>
      </c>
      <c r="J42" s="178">
        <v>0</v>
      </c>
      <c r="K42" s="178">
        <v>0</v>
      </c>
      <c r="L42" s="178">
        <v>0</v>
      </c>
      <c r="M42" s="178">
        <v>0</v>
      </c>
      <c r="N42" s="178">
        <v>0</v>
      </c>
      <c r="O42" s="178">
        <v>0</v>
      </c>
      <c r="P42" s="178">
        <v>0</v>
      </c>
      <c r="Q42" s="178">
        <v>0</v>
      </c>
      <c r="R42" s="178">
        <v>0</v>
      </c>
      <c r="S42" s="178">
        <v>0</v>
      </c>
      <c r="T42" s="178">
        <v>0</v>
      </c>
      <c r="U42" s="178">
        <v>0</v>
      </c>
      <c r="V42" s="178">
        <v>0</v>
      </c>
      <c r="W42" s="178">
        <v>0</v>
      </c>
      <c r="X42" s="178">
        <v>0</v>
      </c>
      <c r="Y42" s="178">
        <v>0</v>
      </c>
      <c r="Z42" s="178">
        <v>0</v>
      </c>
      <c r="AA42" s="178">
        <v>0</v>
      </c>
      <c r="AB42" s="178">
        <v>0</v>
      </c>
      <c r="AC42" s="178">
        <v>0</v>
      </c>
      <c r="AD42" s="178">
        <v>0</v>
      </c>
      <c r="AE42" s="178">
        <v>0</v>
      </c>
      <c r="AF42" s="178">
        <v>0</v>
      </c>
      <c r="AG42" s="178">
        <v>0</v>
      </c>
      <c r="AH42" s="178">
        <v>0</v>
      </c>
      <c r="AI42" s="178">
        <v>0</v>
      </c>
      <c r="AJ42" s="178">
        <v>0</v>
      </c>
      <c r="AK42" s="178">
        <v>0</v>
      </c>
      <c r="AL42" s="178">
        <v>0</v>
      </c>
      <c r="AM42" s="178">
        <v>0</v>
      </c>
      <c r="AN42" s="178">
        <v>0</v>
      </c>
      <c r="AO42" s="178">
        <v>0</v>
      </c>
      <c r="AP42" s="178">
        <v>0</v>
      </c>
      <c r="AQ42" s="178">
        <v>0</v>
      </c>
      <c r="AR42" s="178">
        <v>0</v>
      </c>
      <c r="AS42" s="178">
        <v>0</v>
      </c>
      <c r="AT42" s="178">
        <v>0</v>
      </c>
      <c r="AU42" s="178">
        <v>0</v>
      </c>
      <c r="AV42" s="178">
        <v>0</v>
      </c>
      <c r="AW42" s="178">
        <v>0</v>
      </c>
      <c r="AX42" s="178">
        <v>0</v>
      </c>
      <c r="AY42" s="178">
        <v>0</v>
      </c>
      <c r="AZ42" s="178">
        <v>0</v>
      </c>
      <c r="BA42" s="178">
        <v>0</v>
      </c>
      <c r="BB42" s="178">
        <v>0</v>
      </c>
      <c r="BC42" s="178">
        <v>0</v>
      </c>
      <c r="BD42" s="178">
        <v>0</v>
      </c>
      <c r="BE42" s="178">
        <v>0</v>
      </c>
      <c r="BF42" s="178">
        <v>0</v>
      </c>
      <c r="BG42" s="178">
        <v>0</v>
      </c>
      <c r="BH42" s="178">
        <v>0</v>
      </c>
      <c r="BI42" s="178">
        <v>0</v>
      </c>
      <c r="BJ42" s="178">
        <v>0</v>
      </c>
      <c r="BK42" s="178">
        <v>0</v>
      </c>
      <c r="BL42" s="178">
        <v>0</v>
      </c>
      <c r="BM42" s="178">
        <v>0</v>
      </c>
      <c r="BN42" s="178">
        <v>0</v>
      </c>
      <c r="BO42" s="178">
        <v>0</v>
      </c>
      <c r="BP42" s="178">
        <v>0</v>
      </c>
      <c r="BQ42" s="178">
        <v>0</v>
      </c>
      <c r="BR42" s="178">
        <v>0</v>
      </c>
      <c r="BS42" s="178">
        <v>0</v>
      </c>
      <c r="BT42" s="178">
        <v>0</v>
      </c>
      <c r="BU42" s="178">
        <v>0</v>
      </c>
      <c r="BV42" s="178">
        <v>0</v>
      </c>
      <c r="BW42" s="178">
        <v>0</v>
      </c>
      <c r="BX42" s="178">
        <v>0</v>
      </c>
      <c r="BY42" s="178">
        <v>0</v>
      </c>
      <c r="BZ42" s="178">
        <v>0</v>
      </c>
      <c r="CA42" s="178">
        <v>0</v>
      </c>
      <c r="CB42" s="178">
        <v>0</v>
      </c>
      <c r="CC42" s="178">
        <v>0</v>
      </c>
      <c r="CD42" s="178">
        <v>0</v>
      </c>
      <c r="CE42" s="178">
        <v>0</v>
      </c>
      <c r="CF42" s="178">
        <v>0</v>
      </c>
      <c r="CG42" s="178">
        <v>0</v>
      </c>
      <c r="CH42" s="178">
        <v>0</v>
      </c>
      <c r="CI42" s="178">
        <v>0</v>
      </c>
      <c r="CJ42" s="178">
        <v>0</v>
      </c>
      <c r="CK42" s="178">
        <v>0</v>
      </c>
      <c r="CL42" s="178">
        <v>0</v>
      </c>
      <c r="CM42" s="178">
        <v>0</v>
      </c>
      <c r="CN42" s="178">
        <v>0</v>
      </c>
      <c r="CO42" s="178">
        <v>0</v>
      </c>
      <c r="CP42" s="178">
        <v>0</v>
      </c>
      <c r="CQ42" s="178">
        <v>2450</v>
      </c>
      <c r="CR42" s="178">
        <v>2950</v>
      </c>
      <c r="CS42" s="178">
        <v>2814</v>
      </c>
      <c r="CT42" s="178">
        <v>2535</v>
      </c>
      <c r="CU42" s="178">
        <v>2629</v>
      </c>
      <c r="CV42" s="178">
        <v>2515</v>
      </c>
      <c r="CW42" s="178">
        <v>2300</v>
      </c>
      <c r="CX42" s="178">
        <v>2240</v>
      </c>
      <c r="CY42" s="178">
        <v>2137</v>
      </c>
      <c r="CZ42" s="178">
        <v>2177</v>
      </c>
      <c r="DA42" s="178">
        <v>2420</v>
      </c>
      <c r="DB42" s="178">
        <v>2293</v>
      </c>
      <c r="DC42" s="178">
        <v>2440</v>
      </c>
      <c r="DD42" s="178">
        <v>2590</v>
      </c>
      <c r="DE42" s="178">
        <v>2544</v>
      </c>
      <c r="DF42" s="178">
        <v>2275</v>
      </c>
      <c r="DG42" s="178">
        <v>2420</v>
      </c>
      <c r="DH42" s="178">
        <v>2332</v>
      </c>
      <c r="DI42" s="178">
        <v>2310</v>
      </c>
      <c r="DJ42" s="178">
        <v>2305</v>
      </c>
      <c r="DK42" s="178">
        <v>2232</v>
      </c>
      <c r="DL42" s="178">
        <v>2197</v>
      </c>
      <c r="DM42" s="178">
        <v>2226</v>
      </c>
      <c r="DN42" s="178">
        <v>2243</v>
      </c>
      <c r="DO42" s="178">
        <v>2100</v>
      </c>
      <c r="DP42" s="178">
        <v>1839</v>
      </c>
      <c r="DQ42" s="178">
        <v>1776</v>
      </c>
      <c r="DR42" s="178">
        <v>1796</v>
      </c>
      <c r="DS42" s="178">
        <v>1887</v>
      </c>
      <c r="DT42" s="178">
        <v>1885</v>
      </c>
      <c r="DU42" s="178">
        <v>1853</v>
      </c>
      <c r="DV42" s="178">
        <v>1877</v>
      </c>
      <c r="DW42" s="178">
        <v>2041</v>
      </c>
      <c r="DX42" s="178">
        <v>1995</v>
      </c>
      <c r="DY42" s="178">
        <v>1905</v>
      </c>
      <c r="DZ42" s="178">
        <v>1906</v>
      </c>
      <c r="EA42" s="178">
        <v>1871</v>
      </c>
      <c r="EB42" s="178">
        <v>1872</v>
      </c>
      <c r="EC42" s="178">
        <v>1802</v>
      </c>
      <c r="ED42" s="178">
        <v>1898</v>
      </c>
      <c r="EE42" s="178">
        <v>1835</v>
      </c>
      <c r="EF42" s="178">
        <v>1780</v>
      </c>
      <c r="EG42" s="178">
        <v>1837</v>
      </c>
      <c r="EH42" s="178">
        <v>1946</v>
      </c>
    </row>
    <row r="43" spans="1:138" x14ac:dyDescent="0.25">
      <c r="A43" s="49" t="str">
        <f>IPO監視一覧!H40</f>
        <v>A</v>
      </c>
      <c r="B43" s="49" t="str">
        <f>IPO監視一覧!B40</f>
        <v>キャンディル</v>
      </c>
      <c r="C43" s="177">
        <f>株価一覧!E42</f>
        <v>1445</v>
      </c>
      <c r="D43" s="105">
        <f t="shared" ca="1" si="8"/>
        <v>1444.2</v>
      </c>
      <c r="E43" s="177">
        <f t="shared" ca="1" si="9"/>
        <v>1343.1333333333334</v>
      </c>
      <c r="F43" s="110">
        <f t="shared" ca="1" si="10"/>
        <v>1233</v>
      </c>
      <c r="G43" s="178">
        <v>0</v>
      </c>
      <c r="H43" s="178">
        <v>0</v>
      </c>
      <c r="I43" s="178">
        <v>0</v>
      </c>
      <c r="J43" s="178">
        <v>0</v>
      </c>
      <c r="K43" s="178">
        <v>0</v>
      </c>
      <c r="L43" s="178">
        <v>0</v>
      </c>
      <c r="M43" s="178">
        <v>0</v>
      </c>
      <c r="N43" s="178">
        <v>0</v>
      </c>
      <c r="O43" s="178">
        <v>0</v>
      </c>
      <c r="P43" s="178">
        <v>0</v>
      </c>
      <c r="Q43" s="178">
        <v>0</v>
      </c>
      <c r="R43" s="178">
        <v>0</v>
      </c>
      <c r="S43" s="178">
        <v>0</v>
      </c>
      <c r="T43" s="178">
        <v>0</v>
      </c>
      <c r="U43" s="178">
        <v>0</v>
      </c>
      <c r="V43" s="178">
        <v>0</v>
      </c>
      <c r="W43" s="178">
        <v>0</v>
      </c>
      <c r="X43" s="178">
        <v>0</v>
      </c>
      <c r="Y43" s="178">
        <v>0</v>
      </c>
      <c r="Z43" s="178">
        <v>0</v>
      </c>
      <c r="AA43" s="178">
        <v>0</v>
      </c>
      <c r="AB43" s="178">
        <v>0</v>
      </c>
      <c r="AC43" s="178">
        <v>0</v>
      </c>
      <c r="AD43" s="178">
        <v>0</v>
      </c>
      <c r="AE43" s="178">
        <v>0</v>
      </c>
      <c r="AF43" s="178">
        <v>0</v>
      </c>
      <c r="AG43" s="178">
        <v>0</v>
      </c>
      <c r="AH43" s="178">
        <v>0</v>
      </c>
      <c r="AI43" s="178">
        <v>0</v>
      </c>
      <c r="AJ43" s="178">
        <v>0</v>
      </c>
      <c r="AK43" s="178">
        <v>0</v>
      </c>
      <c r="AL43" s="178">
        <v>0</v>
      </c>
      <c r="AM43" s="178">
        <v>0</v>
      </c>
      <c r="AN43" s="178">
        <v>0</v>
      </c>
      <c r="AO43" s="178">
        <v>0</v>
      </c>
      <c r="AP43" s="178">
        <v>0</v>
      </c>
      <c r="AQ43" s="178">
        <v>0</v>
      </c>
      <c r="AR43" s="178">
        <v>0</v>
      </c>
      <c r="AS43" s="178">
        <v>0</v>
      </c>
      <c r="AT43" s="178">
        <v>0</v>
      </c>
      <c r="AU43" s="178">
        <v>0</v>
      </c>
      <c r="AV43" s="178">
        <v>0</v>
      </c>
      <c r="AW43" s="178">
        <v>0</v>
      </c>
      <c r="AX43" s="178">
        <v>0</v>
      </c>
      <c r="AY43" s="178">
        <v>0</v>
      </c>
      <c r="AZ43" s="178">
        <v>0</v>
      </c>
      <c r="BA43" s="178">
        <v>0</v>
      </c>
      <c r="BB43" s="178">
        <v>0</v>
      </c>
      <c r="BC43" s="178">
        <v>0</v>
      </c>
      <c r="BD43" s="178">
        <v>0</v>
      </c>
      <c r="BE43" s="178">
        <v>0</v>
      </c>
      <c r="BF43" s="178">
        <v>0</v>
      </c>
      <c r="BG43" s="178">
        <v>0</v>
      </c>
      <c r="BH43" s="178">
        <v>0</v>
      </c>
      <c r="BI43" s="178">
        <v>0</v>
      </c>
      <c r="BJ43" s="178">
        <v>0</v>
      </c>
      <c r="BK43" s="178">
        <v>0</v>
      </c>
      <c r="BL43" s="178">
        <v>0</v>
      </c>
      <c r="BM43" s="178">
        <v>0</v>
      </c>
      <c r="BN43" s="178">
        <v>0</v>
      </c>
      <c r="BO43" s="178">
        <v>0</v>
      </c>
      <c r="BP43" s="178">
        <v>0</v>
      </c>
      <c r="BQ43" s="178">
        <v>0</v>
      </c>
      <c r="BR43" s="178">
        <v>0</v>
      </c>
      <c r="BS43" s="178">
        <v>0</v>
      </c>
      <c r="BT43" s="178">
        <v>0</v>
      </c>
      <c r="BU43" s="178">
        <v>0</v>
      </c>
      <c r="BV43" s="178">
        <v>0</v>
      </c>
      <c r="BW43" s="178">
        <v>0</v>
      </c>
      <c r="BX43" s="178">
        <v>0</v>
      </c>
      <c r="BY43" s="178">
        <v>0</v>
      </c>
      <c r="BZ43" s="178">
        <v>0</v>
      </c>
      <c r="CA43" s="178">
        <v>0</v>
      </c>
      <c r="CB43" s="178">
        <v>0</v>
      </c>
      <c r="CC43" s="178">
        <v>0</v>
      </c>
      <c r="CD43" s="178">
        <v>0</v>
      </c>
      <c r="CE43" s="178">
        <v>0</v>
      </c>
      <c r="CF43" s="178">
        <v>0</v>
      </c>
      <c r="CG43" s="178">
        <v>0</v>
      </c>
      <c r="CH43" s="178">
        <v>0</v>
      </c>
      <c r="CI43" s="178">
        <v>0</v>
      </c>
      <c r="CJ43" s="178">
        <v>0</v>
      </c>
      <c r="CK43" s="178">
        <v>0</v>
      </c>
      <c r="CL43" s="178">
        <v>0</v>
      </c>
      <c r="CM43" s="178">
        <v>0</v>
      </c>
      <c r="CN43" s="178">
        <v>0</v>
      </c>
      <c r="CO43" s="178">
        <v>0</v>
      </c>
      <c r="CP43" s="178">
        <v>0</v>
      </c>
      <c r="CQ43" s="178">
        <v>1450</v>
      </c>
      <c r="CR43" s="178">
        <v>1516</v>
      </c>
      <c r="CS43" s="178">
        <v>1422</v>
      </c>
      <c r="CT43" s="178">
        <v>1410</v>
      </c>
      <c r="CU43" s="178">
        <v>1530</v>
      </c>
      <c r="CV43" s="178">
        <v>1564</v>
      </c>
      <c r="CW43" s="178">
        <v>1502</v>
      </c>
      <c r="CX43" s="178">
        <v>1424</v>
      </c>
      <c r="CY43" s="178">
        <v>1419</v>
      </c>
      <c r="CZ43" s="178">
        <v>1508</v>
      </c>
      <c r="DA43" s="178">
        <v>1450</v>
      </c>
      <c r="DB43" s="178">
        <v>1440</v>
      </c>
      <c r="DC43" s="178">
        <v>1466</v>
      </c>
      <c r="DD43" s="178">
        <v>1464</v>
      </c>
      <c r="DE43" s="178">
        <v>1519</v>
      </c>
      <c r="DF43" s="178">
        <v>1453</v>
      </c>
      <c r="DG43" s="178">
        <v>1442</v>
      </c>
      <c r="DH43" s="178">
        <v>1537</v>
      </c>
      <c r="DI43" s="178">
        <v>1507</v>
      </c>
      <c r="DJ43" s="178">
        <v>1436</v>
      </c>
      <c r="DK43" s="178">
        <v>1434</v>
      </c>
      <c r="DL43" s="178">
        <v>1449</v>
      </c>
      <c r="DM43" s="178">
        <v>1438</v>
      </c>
      <c r="DN43" s="178">
        <v>1527</v>
      </c>
      <c r="DO43" s="178">
        <v>1525</v>
      </c>
      <c r="DP43" s="178">
        <v>1376</v>
      </c>
      <c r="DQ43" s="178">
        <v>1389</v>
      </c>
      <c r="DR43" s="178">
        <v>1339</v>
      </c>
      <c r="DS43" s="178">
        <v>1360</v>
      </c>
      <c r="DT43" s="178">
        <v>1342</v>
      </c>
      <c r="DU43" s="178">
        <v>1329</v>
      </c>
      <c r="DV43" s="178">
        <v>1290</v>
      </c>
      <c r="DW43" s="178">
        <v>1303</v>
      </c>
      <c r="DX43" s="178">
        <v>1304</v>
      </c>
      <c r="DY43" s="178">
        <v>1290</v>
      </c>
      <c r="DZ43" s="178">
        <v>1233</v>
      </c>
      <c r="EA43" s="178">
        <v>1260</v>
      </c>
      <c r="EB43" s="178">
        <v>1305</v>
      </c>
      <c r="EC43" s="178">
        <v>1270</v>
      </c>
      <c r="ED43" s="178">
        <v>1443</v>
      </c>
      <c r="EE43" s="178">
        <v>1490</v>
      </c>
      <c r="EF43" s="178">
        <v>1430</v>
      </c>
      <c r="EG43" s="178">
        <v>1413</v>
      </c>
      <c r="EH43" s="178">
        <v>1445</v>
      </c>
    </row>
    <row r="44" spans="1:138" x14ac:dyDescent="0.25">
      <c r="A44" s="49" t="str">
        <f>IPO監視一覧!H41</f>
        <v>C</v>
      </c>
      <c r="B44" s="49" t="str">
        <f>IPO監視一覧!B41</f>
        <v>ＭＴＧ</v>
      </c>
      <c r="C44" s="177">
        <f>株価一覧!E43</f>
        <v>6270</v>
      </c>
      <c r="D44" s="105">
        <f t="shared" ca="1" si="8"/>
        <v>6322</v>
      </c>
      <c r="E44" s="177">
        <f t="shared" ca="1" si="9"/>
        <v>6442.666666666667</v>
      </c>
      <c r="F44" s="110">
        <f t="shared" ca="1" si="10"/>
        <v>6230</v>
      </c>
      <c r="G44" s="178">
        <v>0</v>
      </c>
      <c r="H44" s="178">
        <v>0</v>
      </c>
      <c r="I44" s="178">
        <v>0</v>
      </c>
      <c r="J44" s="178">
        <v>0</v>
      </c>
      <c r="K44" s="178">
        <v>0</v>
      </c>
      <c r="L44" s="178">
        <v>0</v>
      </c>
      <c r="M44" s="178">
        <v>0</v>
      </c>
      <c r="N44" s="178">
        <v>0</v>
      </c>
      <c r="O44" s="178">
        <v>0</v>
      </c>
      <c r="P44" s="178">
        <v>0</v>
      </c>
      <c r="Q44" s="178">
        <v>0</v>
      </c>
      <c r="R44" s="178">
        <v>0</v>
      </c>
      <c r="S44" s="178">
        <v>0</v>
      </c>
      <c r="T44" s="178">
        <v>0</v>
      </c>
      <c r="U44" s="178">
        <v>0</v>
      </c>
      <c r="V44" s="178">
        <v>0</v>
      </c>
      <c r="W44" s="178">
        <v>0</v>
      </c>
      <c r="X44" s="178">
        <v>0</v>
      </c>
      <c r="Y44" s="178">
        <v>0</v>
      </c>
      <c r="Z44" s="178">
        <v>0</v>
      </c>
      <c r="AA44" s="178">
        <v>0</v>
      </c>
      <c r="AB44" s="178">
        <v>0</v>
      </c>
      <c r="AC44" s="178">
        <v>0</v>
      </c>
      <c r="AD44" s="178">
        <v>0</v>
      </c>
      <c r="AE44" s="178">
        <v>0</v>
      </c>
      <c r="AF44" s="178">
        <v>0</v>
      </c>
      <c r="AG44" s="178">
        <v>0</v>
      </c>
      <c r="AH44" s="178">
        <v>0</v>
      </c>
      <c r="AI44" s="178">
        <v>0</v>
      </c>
      <c r="AJ44" s="178">
        <v>0</v>
      </c>
      <c r="AK44" s="178">
        <v>0</v>
      </c>
      <c r="AL44" s="178">
        <v>0</v>
      </c>
      <c r="AM44" s="178">
        <v>0</v>
      </c>
      <c r="AN44" s="178">
        <v>0</v>
      </c>
      <c r="AO44" s="178">
        <v>0</v>
      </c>
      <c r="AP44" s="178">
        <v>0</v>
      </c>
      <c r="AQ44" s="178">
        <v>0</v>
      </c>
      <c r="AR44" s="178">
        <v>0</v>
      </c>
      <c r="AS44" s="178">
        <v>0</v>
      </c>
      <c r="AT44" s="178">
        <v>0</v>
      </c>
      <c r="AU44" s="178">
        <v>0</v>
      </c>
      <c r="AV44" s="178">
        <v>0</v>
      </c>
      <c r="AW44" s="178">
        <v>0</v>
      </c>
      <c r="AX44" s="178">
        <v>0</v>
      </c>
      <c r="AY44" s="178">
        <v>0</v>
      </c>
      <c r="AZ44" s="178">
        <v>0</v>
      </c>
      <c r="BA44" s="178">
        <v>0</v>
      </c>
      <c r="BB44" s="178">
        <v>0</v>
      </c>
      <c r="BC44" s="178">
        <v>0</v>
      </c>
      <c r="BD44" s="178">
        <v>0</v>
      </c>
      <c r="BE44" s="178">
        <v>0</v>
      </c>
      <c r="BF44" s="178">
        <v>0</v>
      </c>
      <c r="BG44" s="178">
        <v>0</v>
      </c>
      <c r="BH44" s="178">
        <v>0</v>
      </c>
      <c r="BI44" s="178">
        <v>0</v>
      </c>
      <c r="BJ44" s="178">
        <v>0</v>
      </c>
      <c r="BK44" s="178">
        <v>0</v>
      </c>
      <c r="BL44" s="178">
        <v>0</v>
      </c>
      <c r="BM44" s="178">
        <v>0</v>
      </c>
      <c r="BN44" s="178">
        <v>0</v>
      </c>
      <c r="BO44" s="178">
        <v>0</v>
      </c>
      <c r="BP44" s="178">
        <v>0</v>
      </c>
      <c r="BQ44" s="178">
        <v>0</v>
      </c>
      <c r="BR44" s="178">
        <v>0</v>
      </c>
      <c r="BS44" s="178">
        <v>0</v>
      </c>
      <c r="BT44" s="178">
        <v>0</v>
      </c>
      <c r="BU44" s="178">
        <v>0</v>
      </c>
      <c r="BV44" s="178">
        <v>0</v>
      </c>
      <c r="BW44" s="178">
        <v>0</v>
      </c>
      <c r="BX44" s="178">
        <v>0</v>
      </c>
      <c r="BY44" s="178">
        <v>0</v>
      </c>
      <c r="BZ44" s="178">
        <v>0</v>
      </c>
      <c r="CA44" s="178">
        <v>0</v>
      </c>
      <c r="CB44" s="178">
        <v>0</v>
      </c>
      <c r="CC44" s="178">
        <v>0</v>
      </c>
      <c r="CD44" s="178">
        <v>0</v>
      </c>
      <c r="CE44" s="178">
        <v>0</v>
      </c>
      <c r="CF44" s="178">
        <v>0</v>
      </c>
      <c r="CG44" s="178">
        <v>0</v>
      </c>
      <c r="CH44" s="178">
        <v>0</v>
      </c>
      <c r="CI44" s="178">
        <v>0</v>
      </c>
      <c r="CJ44" s="178">
        <v>0</v>
      </c>
      <c r="CK44" s="178">
        <v>0</v>
      </c>
      <c r="CL44" s="178">
        <v>0</v>
      </c>
      <c r="CM44" s="178">
        <v>0</v>
      </c>
      <c r="CN44" s="178">
        <v>0</v>
      </c>
      <c r="CO44" s="178">
        <v>0</v>
      </c>
      <c r="CP44" s="178">
        <v>0</v>
      </c>
      <c r="CQ44" s="178">
        <v>0</v>
      </c>
      <c r="CR44" s="178">
        <v>0</v>
      </c>
      <c r="CS44" s="178">
        <v>0</v>
      </c>
      <c r="CT44" s="178">
        <v>7350</v>
      </c>
      <c r="CU44" s="178">
        <v>7850</v>
      </c>
      <c r="CV44" s="178">
        <v>7940</v>
      </c>
      <c r="CW44" s="178">
        <v>7330</v>
      </c>
      <c r="CX44" s="178">
        <v>7400</v>
      </c>
      <c r="CY44" s="178">
        <v>7310</v>
      </c>
      <c r="CZ44" s="178">
        <v>7440</v>
      </c>
      <c r="DA44" s="178">
        <v>7480</v>
      </c>
      <c r="DB44" s="178">
        <v>7320</v>
      </c>
      <c r="DC44" s="178">
        <v>7630</v>
      </c>
      <c r="DD44" s="178">
        <v>7580</v>
      </c>
      <c r="DE44" s="178">
        <v>7590</v>
      </c>
      <c r="DF44" s="178">
        <v>7760</v>
      </c>
      <c r="DG44" s="178">
        <v>7550</v>
      </c>
      <c r="DH44" s="178">
        <v>7730</v>
      </c>
      <c r="DI44" s="178">
        <v>7570</v>
      </c>
      <c r="DJ44" s="178">
        <v>7300</v>
      </c>
      <c r="DK44" s="178">
        <v>7050</v>
      </c>
      <c r="DL44" s="178">
        <v>6860</v>
      </c>
      <c r="DM44" s="178">
        <v>7010</v>
      </c>
      <c r="DN44" s="178">
        <v>6750</v>
      </c>
      <c r="DO44" s="178">
        <v>6770</v>
      </c>
      <c r="DP44" s="178">
        <v>6290</v>
      </c>
      <c r="DQ44" s="178">
        <v>6060</v>
      </c>
      <c r="DR44" s="178">
        <v>6120</v>
      </c>
      <c r="DS44" s="178">
        <v>6520</v>
      </c>
      <c r="DT44" s="178">
        <v>6400</v>
      </c>
      <c r="DU44" s="178">
        <v>6250</v>
      </c>
      <c r="DV44" s="178">
        <v>6480</v>
      </c>
      <c r="DW44" s="178">
        <v>6390</v>
      </c>
      <c r="DX44" s="178">
        <v>6390</v>
      </c>
      <c r="DY44" s="178">
        <v>6650</v>
      </c>
      <c r="DZ44" s="178">
        <v>6640</v>
      </c>
      <c r="EA44" s="178">
        <v>6680</v>
      </c>
      <c r="EB44" s="178">
        <v>6640</v>
      </c>
      <c r="EC44" s="178">
        <v>6510</v>
      </c>
      <c r="ED44" s="178">
        <v>6410</v>
      </c>
      <c r="EE44" s="178">
        <v>6350</v>
      </c>
      <c r="EF44" s="178">
        <v>6350</v>
      </c>
      <c r="EG44" s="178">
        <v>6230</v>
      </c>
      <c r="EH44" s="178">
        <v>6270</v>
      </c>
    </row>
    <row r="45" spans="1:138" x14ac:dyDescent="0.25">
      <c r="A45" s="49" t="str">
        <f>IPO監視一覧!H42</f>
        <v>A</v>
      </c>
      <c r="B45" s="49" t="str">
        <f>IPO監視一覧!B42</f>
        <v>マネジメントソリューションズ</v>
      </c>
      <c r="C45" s="177">
        <f>株価一覧!E44</f>
        <v>2829</v>
      </c>
      <c r="D45" s="105">
        <f t="shared" ca="1" si="8"/>
        <v>2911.8</v>
      </c>
      <c r="E45" s="177">
        <f t="shared" ca="1" si="9"/>
        <v>2665.7333333333331</v>
      </c>
      <c r="F45" s="110">
        <f t="shared" ca="1" si="10"/>
        <v>2368</v>
      </c>
      <c r="G45" s="178">
        <v>0</v>
      </c>
      <c r="H45" s="178">
        <v>0</v>
      </c>
      <c r="I45" s="178">
        <v>0</v>
      </c>
      <c r="J45" s="178">
        <v>0</v>
      </c>
      <c r="K45" s="178">
        <v>0</v>
      </c>
      <c r="L45" s="178">
        <v>0</v>
      </c>
      <c r="M45" s="178">
        <v>0</v>
      </c>
      <c r="N45" s="178">
        <v>0</v>
      </c>
      <c r="O45" s="178">
        <v>0</v>
      </c>
      <c r="P45" s="178">
        <v>0</v>
      </c>
      <c r="Q45" s="178">
        <v>0</v>
      </c>
      <c r="R45" s="178">
        <v>0</v>
      </c>
      <c r="S45" s="178">
        <v>0</v>
      </c>
      <c r="T45" s="178">
        <v>0</v>
      </c>
      <c r="U45" s="178">
        <v>0</v>
      </c>
      <c r="V45" s="178">
        <v>0</v>
      </c>
      <c r="W45" s="178">
        <v>0</v>
      </c>
      <c r="X45" s="178">
        <v>0</v>
      </c>
      <c r="Y45" s="178">
        <v>0</v>
      </c>
      <c r="Z45" s="178">
        <v>0</v>
      </c>
      <c r="AA45" s="178">
        <v>0</v>
      </c>
      <c r="AB45" s="178">
        <v>0</v>
      </c>
      <c r="AC45" s="178">
        <v>0</v>
      </c>
      <c r="AD45" s="178">
        <v>0</v>
      </c>
      <c r="AE45" s="178">
        <v>0</v>
      </c>
      <c r="AF45" s="178">
        <v>0</v>
      </c>
      <c r="AG45" s="178">
        <v>0</v>
      </c>
      <c r="AH45" s="178">
        <v>0</v>
      </c>
      <c r="AI45" s="178">
        <v>0</v>
      </c>
      <c r="AJ45" s="178">
        <v>0</v>
      </c>
      <c r="AK45" s="178">
        <v>0</v>
      </c>
      <c r="AL45" s="178">
        <v>0</v>
      </c>
      <c r="AM45" s="178">
        <v>0</v>
      </c>
      <c r="AN45" s="178">
        <v>0</v>
      </c>
      <c r="AO45" s="178">
        <v>0</v>
      </c>
      <c r="AP45" s="178">
        <v>0</v>
      </c>
      <c r="AQ45" s="178">
        <v>0</v>
      </c>
      <c r="AR45" s="178">
        <v>0</v>
      </c>
      <c r="AS45" s="178">
        <v>0</v>
      </c>
      <c r="AT45" s="178">
        <v>0</v>
      </c>
      <c r="AU45" s="178">
        <v>0</v>
      </c>
      <c r="AV45" s="178">
        <v>0</v>
      </c>
      <c r="AW45" s="178">
        <v>0</v>
      </c>
      <c r="AX45" s="178">
        <v>0</v>
      </c>
      <c r="AY45" s="178">
        <v>0</v>
      </c>
      <c r="AZ45" s="178">
        <v>0</v>
      </c>
      <c r="BA45" s="178">
        <v>0</v>
      </c>
      <c r="BB45" s="178">
        <v>0</v>
      </c>
      <c r="BC45" s="178">
        <v>0</v>
      </c>
      <c r="BD45" s="178">
        <v>0</v>
      </c>
      <c r="BE45" s="178">
        <v>0</v>
      </c>
      <c r="BF45" s="178">
        <v>0</v>
      </c>
      <c r="BG45" s="178">
        <v>0</v>
      </c>
      <c r="BH45" s="178">
        <v>0</v>
      </c>
      <c r="BI45" s="178">
        <v>0</v>
      </c>
      <c r="BJ45" s="178">
        <v>0</v>
      </c>
      <c r="BK45" s="178">
        <v>0</v>
      </c>
      <c r="BL45" s="178">
        <v>0</v>
      </c>
      <c r="BM45" s="178">
        <v>0</v>
      </c>
      <c r="BN45" s="178">
        <v>0</v>
      </c>
      <c r="BO45" s="178">
        <v>0</v>
      </c>
      <c r="BP45" s="178">
        <v>0</v>
      </c>
      <c r="BQ45" s="178">
        <v>0</v>
      </c>
      <c r="BR45" s="178">
        <v>0</v>
      </c>
      <c r="BS45" s="178">
        <v>0</v>
      </c>
      <c r="BT45" s="178">
        <v>0</v>
      </c>
      <c r="BU45" s="178">
        <v>0</v>
      </c>
      <c r="BV45" s="178">
        <v>0</v>
      </c>
      <c r="BW45" s="178">
        <v>0</v>
      </c>
      <c r="BX45" s="178">
        <v>0</v>
      </c>
      <c r="BY45" s="178">
        <v>0</v>
      </c>
      <c r="BZ45" s="178">
        <v>0</v>
      </c>
      <c r="CA45" s="178">
        <v>0</v>
      </c>
      <c r="CB45" s="178">
        <v>0</v>
      </c>
      <c r="CC45" s="178">
        <v>0</v>
      </c>
      <c r="CD45" s="178">
        <v>0</v>
      </c>
      <c r="CE45" s="178">
        <v>0</v>
      </c>
      <c r="CF45" s="178">
        <v>0</v>
      </c>
      <c r="CG45" s="178">
        <v>0</v>
      </c>
      <c r="CH45" s="178">
        <v>0</v>
      </c>
      <c r="CI45" s="178">
        <v>0</v>
      </c>
      <c r="CJ45" s="178">
        <v>0</v>
      </c>
      <c r="CK45" s="178">
        <v>0</v>
      </c>
      <c r="CL45" s="178">
        <v>0</v>
      </c>
      <c r="CM45" s="178">
        <v>0</v>
      </c>
      <c r="CN45" s="178">
        <v>0</v>
      </c>
      <c r="CO45" s="178">
        <v>0</v>
      </c>
      <c r="CP45" s="178">
        <v>0</v>
      </c>
      <c r="CQ45" s="178">
        <v>0</v>
      </c>
      <c r="CR45" s="178">
        <v>0</v>
      </c>
      <c r="CS45" s="178">
        <v>0</v>
      </c>
      <c r="CT45" s="178">
        <v>0</v>
      </c>
      <c r="CU45" s="178">
        <v>0</v>
      </c>
      <c r="CV45" s="178">
        <v>0</v>
      </c>
      <c r="CW45" s="178">
        <v>0</v>
      </c>
      <c r="CX45" s="178">
        <v>0</v>
      </c>
      <c r="CY45" s="178">
        <v>0</v>
      </c>
      <c r="CZ45" s="178">
        <v>0</v>
      </c>
      <c r="DA45" s="178">
        <v>0</v>
      </c>
      <c r="DB45" s="178">
        <v>3620</v>
      </c>
      <c r="DC45" s="178">
        <v>3690</v>
      </c>
      <c r="DD45" s="178">
        <v>3645</v>
      </c>
      <c r="DE45" s="178">
        <v>3725</v>
      </c>
      <c r="DF45" s="178">
        <v>3430</v>
      </c>
      <c r="DG45" s="178">
        <v>3300</v>
      </c>
      <c r="DH45" s="178">
        <v>3290</v>
      </c>
      <c r="DI45" s="178">
        <v>3090</v>
      </c>
      <c r="DJ45" s="178">
        <v>3120</v>
      </c>
      <c r="DK45" s="178">
        <v>3180</v>
      </c>
      <c r="DL45" s="178">
        <v>3315</v>
      </c>
      <c r="DM45" s="178">
        <v>3280</v>
      </c>
      <c r="DN45" s="178">
        <v>2760</v>
      </c>
      <c r="DO45" s="178">
        <v>2683</v>
      </c>
      <c r="DP45" s="178">
        <v>2650</v>
      </c>
      <c r="DQ45" s="178">
        <v>2548</v>
      </c>
      <c r="DR45" s="178">
        <v>2550</v>
      </c>
      <c r="DS45" s="178">
        <v>2529</v>
      </c>
      <c r="DT45" s="178">
        <v>2362</v>
      </c>
      <c r="DU45" s="178">
        <v>2368</v>
      </c>
      <c r="DV45" s="178">
        <v>2458</v>
      </c>
      <c r="DW45" s="178">
        <v>2580</v>
      </c>
      <c r="DX45" s="178">
        <v>2498</v>
      </c>
      <c r="DY45" s="178">
        <v>2478</v>
      </c>
      <c r="DZ45" s="178">
        <v>2437</v>
      </c>
      <c r="EA45" s="178">
        <v>2581</v>
      </c>
      <c r="EB45" s="178">
        <v>2640</v>
      </c>
      <c r="EC45" s="178">
        <v>3025</v>
      </c>
      <c r="ED45" s="178">
        <v>3140</v>
      </c>
      <c r="EE45" s="178">
        <v>3000</v>
      </c>
      <c r="EF45" s="178">
        <v>2820</v>
      </c>
      <c r="EG45" s="178">
        <v>2770</v>
      </c>
      <c r="EH45" s="178">
        <v>2829</v>
      </c>
    </row>
    <row r="46" spans="1:138" x14ac:dyDescent="0.25">
      <c r="A46" s="49" t="str">
        <f>IPO監視一覧!H43</f>
        <v>A</v>
      </c>
      <c r="B46" s="49" t="str">
        <f>IPO監視一覧!B43</f>
        <v>バンク・オブ・イノベーション</v>
      </c>
      <c r="C46" s="177">
        <f>株価一覧!E45</f>
        <v>1643</v>
      </c>
      <c r="D46" s="105">
        <f t="shared" ca="1" si="8"/>
        <v>1641.8</v>
      </c>
      <c r="E46" s="177">
        <f t="shared" ca="1" si="9"/>
        <v>1722.7333333333333</v>
      </c>
      <c r="F46" s="110">
        <f t="shared" ca="1" si="10"/>
        <v>1590</v>
      </c>
      <c r="G46" s="178">
        <v>0</v>
      </c>
      <c r="H46" s="178">
        <v>0</v>
      </c>
      <c r="I46" s="178">
        <v>0</v>
      </c>
      <c r="J46" s="178">
        <v>0</v>
      </c>
      <c r="K46" s="178">
        <v>0</v>
      </c>
      <c r="L46" s="178">
        <v>0</v>
      </c>
      <c r="M46" s="178">
        <v>0</v>
      </c>
      <c r="N46" s="178">
        <v>0</v>
      </c>
      <c r="O46" s="178">
        <v>0</v>
      </c>
      <c r="P46" s="178">
        <v>0</v>
      </c>
      <c r="Q46" s="178">
        <v>0</v>
      </c>
      <c r="R46" s="178">
        <v>0</v>
      </c>
      <c r="S46" s="178">
        <v>0</v>
      </c>
      <c r="T46" s="178">
        <v>0</v>
      </c>
      <c r="U46" s="178">
        <v>0</v>
      </c>
      <c r="V46" s="178">
        <v>0</v>
      </c>
      <c r="W46" s="178">
        <v>0</v>
      </c>
      <c r="X46" s="178">
        <v>0</v>
      </c>
      <c r="Y46" s="178">
        <v>0</v>
      </c>
      <c r="Z46" s="178">
        <v>0</v>
      </c>
      <c r="AA46" s="178">
        <v>0</v>
      </c>
      <c r="AB46" s="178">
        <v>0</v>
      </c>
      <c r="AC46" s="178">
        <v>0</v>
      </c>
      <c r="AD46" s="178">
        <v>0</v>
      </c>
      <c r="AE46" s="178">
        <v>0</v>
      </c>
      <c r="AF46" s="178">
        <v>0</v>
      </c>
      <c r="AG46" s="178">
        <v>0</v>
      </c>
      <c r="AH46" s="178">
        <v>0</v>
      </c>
      <c r="AI46" s="178">
        <v>0</v>
      </c>
      <c r="AJ46" s="178">
        <v>0</v>
      </c>
      <c r="AK46" s="178">
        <v>0</v>
      </c>
      <c r="AL46" s="178">
        <v>0</v>
      </c>
      <c r="AM46" s="178">
        <v>0</v>
      </c>
      <c r="AN46" s="178">
        <v>0</v>
      </c>
      <c r="AO46" s="178">
        <v>0</v>
      </c>
      <c r="AP46" s="178">
        <v>0</v>
      </c>
      <c r="AQ46" s="178">
        <v>0</v>
      </c>
      <c r="AR46" s="178">
        <v>0</v>
      </c>
      <c r="AS46" s="178">
        <v>0</v>
      </c>
      <c r="AT46" s="178">
        <v>0</v>
      </c>
      <c r="AU46" s="178">
        <v>0</v>
      </c>
      <c r="AV46" s="178">
        <v>0</v>
      </c>
      <c r="AW46" s="178">
        <v>0</v>
      </c>
      <c r="AX46" s="178">
        <v>0</v>
      </c>
      <c r="AY46" s="178">
        <v>0</v>
      </c>
      <c r="AZ46" s="178">
        <v>0</v>
      </c>
      <c r="BA46" s="178">
        <v>0</v>
      </c>
      <c r="BB46" s="178">
        <v>0</v>
      </c>
      <c r="BC46" s="178">
        <v>0</v>
      </c>
      <c r="BD46" s="178">
        <v>0</v>
      </c>
      <c r="BE46" s="178">
        <v>0</v>
      </c>
      <c r="BF46" s="178">
        <v>0</v>
      </c>
      <c r="BG46" s="178">
        <v>0</v>
      </c>
      <c r="BH46" s="178">
        <v>0</v>
      </c>
      <c r="BI46" s="178">
        <v>0</v>
      </c>
      <c r="BJ46" s="178">
        <v>0</v>
      </c>
      <c r="BK46" s="178">
        <v>0</v>
      </c>
      <c r="BL46" s="178">
        <v>0</v>
      </c>
      <c r="BM46" s="178">
        <v>0</v>
      </c>
      <c r="BN46" s="178">
        <v>0</v>
      </c>
      <c r="BO46" s="178">
        <v>0</v>
      </c>
      <c r="BP46" s="178">
        <v>0</v>
      </c>
      <c r="BQ46" s="178">
        <v>0</v>
      </c>
      <c r="BR46" s="178">
        <v>0</v>
      </c>
      <c r="BS46" s="178">
        <v>0</v>
      </c>
      <c r="BT46" s="178">
        <v>0</v>
      </c>
      <c r="BU46" s="178">
        <v>0</v>
      </c>
      <c r="BV46" s="178">
        <v>0</v>
      </c>
      <c r="BW46" s="178">
        <v>0</v>
      </c>
      <c r="BX46" s="178">
        <v>0</v>
      </c>
      <c r="BY46" s="178">
        <v>0</v>
      </c>
      <c r="BZ46" s="178">
        <v>0</v>
      </c>
      <c r="CA46" s="178">
        <v>0</v>
      </c>
      <c r="CB46" s="178">
        <v>0</v>
      </c>
      <c r="CC46" s="178">
        <v>0</v>
      </c>
      <c r="CD46" s="178">
        <v>0</v>
      </c>
      <c r="CE46" s="178">
        <v>0</v>
      </c>
      <c r="CF46" s="178">
        <v>0</v>
      </c>
      <c r="CG46" s="178">
        <v>0</v>
      </c>
      <c r="CH46" s="178">
        <v>0</v>
      </c>
      <c r="CI46" s="178">
        <v>0</v>
      </c>
      <c r="CJ46" s="178">
        <v>0</v>
      </c>
      <c r="CK46" s="178">
        <v>0</v>
      </c>
      <c r="CL46" s="178">
        <v>0</v>
      </c>
      <c r="CM46" s="178">
        <v>0</v>
      </c>
      <c r="CN46" s="178">
        <v>0</v>
      </c>
      <c r="CO46" s="178">
        <v>0</v>
      </c>
      <c r="CP46" s="178">
        <v>0</v>
      </c>
      <c r="CQ46" s="178">
        <v>0</v>
      </c>
      <c r="CR46" s="178">
        <v>0</v>
      </c>
      <c r="CS46" s="178">
        <v>0</v>
      </c>
      <c r="CT46" s="178">
        <v>0</v>
      </c>
      <c r="CU46" s="178">
        <v>0</v>
      </c>
      <c r="CV46" s="178">
        <v>0</v>
      </c>
      <c r="CW46" s="178">
        <v>0</v>
      </c>
      <c r="CX46" s="178">
        <v>0</v>
      </c>
      <c r="CY46" s="178">
        <v>0</v>
      </c>
      <c r="CZ46" s="178">
        <v>0</v>
      </c>
      <c r="DA46" s="178">
        <v>0</v>
      </c>
      <c r="DB46" s="178">
        <v>2199</v>
      </c>
      <c r="DC46" s="178">
        <v>2065</v>
      </c>
      <c r="DD46" s="178">
        <v>1877</v>
      </c>
      <c r="DE46" s="178">
        <v>1889</v>
      </c>
      <c r="DF46" s="178">
        <v>1740</v>
      </c>
      <c r="DG46" s="178">
        <v>1707</v>
      </c>
      <c r="DH46" s="178">
        <v>1763</v>
      </c>
      <c r="DI46" s="178">
        <v>1650</v>
      </c>
      <c r="DJ46" s="178">
        <v>1588</v>
      </c>
      <c r="DK46" s="178">
        <v>1660</v>
      </c>
      <c r="DL46" s="178">
        <v>1717</v>
      </c>
      <c r="DM46" s="178">
        <v>1750</v>
      </c>
      <c r="DN46" s="178">
        <v>1599</v>
      </c>
      <c r="DO46" s="178">
        <v>1562</v>
      </c>
      <c r="DP46" s="178">
        <v>1917</v>
      </c>
      <c r="DQ46" s="178">
        <v>1846</v>
      </c>
      <c r="DR46" s="178">
        <v>1678</v>
      </c>
      <c r="DS46" s="178">
        <v>1660</v>
      </c>
      <c r="DT46" s="178">
        <v>1632</v>
      </c>
      <c r="DU46" s="178">
        <v>1703</v>
      </c>
      <c r="DV46" s="178">
        <v>1790</v>
      </c>
      <c r="DW46" s="178">
        <v>1765</v>
      </c>
      <c r="DX46" s="178">
        <v>1809</v>
      </c>
      <c r="DY46" s="178">
        <v>1781</v>
      </c>
      <c r="DZ46" s="178">
        <v>1757</v>
      </c>
      <c r="EA46" s="178">
        <v>1798</v>
      </c>
      <c r="EB46" s="178">
        <v>1817</v>
      </c>
      <c r="EC46" s="178">
        <v>1780</v>
      </c>
      <c r="ED46" s="178">
        <v>1700</v>
      </c>
      <c r="EE46" s="178">
        <v>1654</v>
      </c>
      <c r="EF46" s="178">
        <v>1590</v>
      </c>
      <c r="EG46" s="178">
        <v>1622</v>
      </c>
      <c r="EH46" s="178">
        <v>1643</v>
      </c>
    </row>
    <row r="47" spans="1:138" x14ac:dyDescent="0.25">
      <c r="A47" s="49" t="str">
        <f>IPO監視一覧!H44</f>
        <v>A</v>
      </c>
      <c r="B47" s="49" t="str">
        <f>IPO監視一覧!B44</f>
        <v>ga technologies</v>
      </c>
      <c r="C47" s="177">
        <f>株価一覧!E46</f>
        <v>7980</v>
      </c>
      <c r="D47" s="105">
        <f t="shared" ca="1" si="8"/>
        <v>7600</v>
      </c>
      <c r="E47" s="177">
        <f t="shared" ca="1" si="9"/>
        <v>9049.3333333333339</v>
      </c>
      <c r="F47" s="110">
        <f t="shared" ca="1" si="10"/>
        <v>6720</v>
      </c>
      <c r="G47" s="178">
        <v>0</v>
      </c>
      <c r="H47" s="178">
        <v>0</v>
      </c>
      <c r="I47" s="178">
        <v>0</v>
      </c>
      <c r="J47" s="178">
        <v>0</v>
      </c>
      <c r="K47" s="178">
        <v>0</v>
      </c>
      <c r="L47" s="178">
        <v>0</v>
      </c>
      <c r="M47" s="178">
        <v>0</v>
      </c>
      <c r="N47" s="178">
        <v>0</v>
      </c>
      <c r="O47" s="178">
        <v>0</v>
      </c>
      <c r="P47" s="178">
        <v>0</v>
      </c>
      <c r="Q47" s="178">
        <v>0</v>
      </c>
      <c r="R47" s="178">
        <v>0</v>
      </c>
      <c r="S47" s="178">
        <v>0</v>
      </c>
      <c r="T47" s="178">
        <v>0</v>
      </c>
      <c r="U47" s="178">
        <v>0</v>
      </c>
      <c r="V47" s="178">
        <v>0</v>
      </c>
      <c r="W47" s="178">
        <v>0</v>
      </c>
      <c r="X47" s="178">
        <v>0</v>
      </c>
      <c r="Y47" s="178">
        <v>0</v>
      </c>
      <c r="Z47" s="178">
        <v>0</v>
      </c>
      <c r="AA47" s="178">
        <v>0</v>
      </c>
      <c r="AB47" s="178">
        <v>0</v>
      </c>
      <c r="AC47" s="178">
        <v>0</v>
      </c>
      <c r="AD47" s="178">
        <v>0</v>
      </c>
      <c r="AE47" s="178">
        <v>0</v>
      </c>
      <c r="AF47" s="178">
        <v>0</v>
      </c>
      <c r="AG47" s="178">
        <v>0</v>
      </c>
      <c r="AH47" s="178">
        <v>0</v>
      </c>
      <c r="AI47" s="178">
        <v>0</v>
      </c>
      <c r="AJ47" s="178">
        <v>0</v>
      </c>
      <c r="AK47" s="178">
        <v>0</v>
      </c>
      <c r="AL47" s="178">
        <v>0</v>
      </c>
      <c r="AM47" s="178">
        <v>0</v>
      </c>
      <c r="AN47" s="178">
        <v>0</v>
      </c>
      <c r="AO47" s="178">
        <v>0</v>
      </c>
      <c r="AP47" s="178">
        <v>0</v>
      </c>
      <c r="AQ47" s="178">
        <v>0</v>
      </c>
      <c r="AR47" s="178">
        <v>0</v>
      </c>
      <c r="AS47" s="178">
        <v>0</v>
      </c>
      <c r="AT47" s="178">
        <v>0</v>
      </c>
      <c r="AU47" s="178">
        <v>0</v>
      </c>
      <c r="AV47" s="178">
        <v>0</v>
      </c>
      <c r="AW47" s="178">
        <v>0</v>
      </c>
      <c r="AX47" s="178">
        <v>0</v>
      </c>
      <c r="AY47" s="178">
        <v>0</v>
      </c>
      <c r="AZ47" s="178">
        <v>0</v>
      </c>
      <c r="BA47" s="178">
        <v>0</v>
      </c>
      <c r="BB47" s="178">
        <v>0</v>
      </c>
      <c r="BC47" s="178">
        <v>0</v>
      </c>
      <c r="BD47" s="178">
        <v>0</v>
      </c>
      <c r="BE47" s="178">
        <v>0</v>
      </c>
      <c r="BF47" s="178">
        <v>0</v>
      </c>
      <c r="BG47" s="178">
        <v>0</v>
      </c>
      <c r="BH47" s="178">
        <v>0</v>
      </c>
      <c r="BI47" s="178">
        <v>0</v>
      </c>
      <c r="BJ47" s="178">
        <v>0</v>
      </c>
      <c r="BK47" s="178">
        <v>0</v>
      </c>
      <c r="BL47" s="178">
        <v>0</v>
      </c>
      <c r="BM47" s="178">
        <v>0</v>
      </c>
      <c r="BN47" s="178">
        <v>0</v>
      </c>
      <c r="BO47" s="178">
        <v>0</v>
      </c>
      <c r="BP47" s="178">
        <v>0</v>
      </c>
      <c r="BQ47" s="178">
        <v>0</v>
      </c>
      <c r="BR47" s="178">
        <v>0</v>
      </c>
      <c r="BS47" s="178">
        <v>0</v>
      </c>
      <c r="BT47" s="178">
        <v>0</v>
      </c>
      <c r="BU47" s="178">
        <v>0</v>
      </c>
      <c r="BV47" s="178">
        <v>0</v>
      </c>
      <c r="BW47" s="178">
        <v>0</v>
      </c>
      <c r="BX47" s="178">
        <v>0</v>
      </c>
      <c r="BY47" s="178">
        <v>0</v>
      </c>
      <c r="BZ47" s="178">
        <v>0</v>
      </c>
      <c r="CA47" s="178">
        <v>0</v>
      </c>
      <c r="CB47" s="178">
        <v>0</v>
      </c>
      <c r="CC47" s="178">
        <v>0</v>
      </c>
      <c r="CD47" s="178">
        <v>0</v>
      </c>
      <c r="CE47" s="178">
        <v>0</v>
      </c>
      <c r="CF47" s="178">
        <v>0</v>
      </c>
      <c r="CG47" s="178">
        <v>0</v>
      </c>
      <c r="CH47" s="178">
        <v>0</v>
      </c>
      <c r="CI47" s="178">
        <v>0</v>
      </c>
      <c r="CJ47" s="178">
        <v>0</v>
      </c>
      <c r="CK47" s="178">
        <v>0</v>
      </c>
      <c r="CL47" s="178">
        <v>0</v>
      </c>
      <c r="CM47" s="178">
        <v>0</v>
      </c>
      <c r="CN47" s="178">
        <v>0</v>
      </c>
      <c r="CO47" s="178">
        <v>0</v>
      </c>
      <c r="CP47" s="178">
        <v>0</v>
      </c>
      <c r="CQ47" s="178">
        <v>0</v>
      </c>
      <c r="CR47" s="178">
        <v>0</v>
      </c>
      <c r="CS47" s="178">
        <v>0</v>
      </c>
      <c r="CT47" s="178">
        <v>0</v>
      </c>
      <c r="CU47" s="178">
        <v>0</v>
      </c>
      <c r="CV47" s="178">
        <v>0</v>
      </c>
      <c r="CW47" s="178">
        <v>0</v>
      </c>
      <c r="CX47" s="178">
        <v>0</v>
      </c>
      <c r="CY47" s="178">
        <v>0</v>
      </c>
      <c r="CZ47" s="178">
        <v>0</v>
      </c>
      <c r="DA47" s="178">
        <v>0</v>
      </c>
      <c r="DB47" s="178">
        <v>0</v>
      </c>
      <c r="DC47" s="178">
        <v>5550</v>
      </c>
      <c r="DD47" s="178">
        <v>6550</v>
      </c>
      <c r="DE47" s="178">
        <v>7550</v>
      </c>
      <c r="DF47" s="178">
        <v>7600</v>
      </c>
      <c r="DG47" s="178">
        <v>9100</v>
      </c>
      <c r="DH47" s="178">
        <v>10600</v>
      </c>
      <c r="DI47" s="178">
        <v>10990</v>
      </c>
      <c r="DJ47" s="178">
        <v>9650</v>
      </c>
      <c r="DK47" s="178">
        <v>9470</v>
      </c>
      <c r="DL47" s="178">
        <v>9760</v>
      </c>
      <c r="DM47" s="178">
        <v>9500</v>
      </c>
      <c r="DN47" s="178">
        <v>10520</v>
      </c>
      <c r="DO47" s="178">
        <v>10920</v>
      </c>
      <c r="DP47" s="178">
        <v>10400</v>
      </c>
      <c r="DQ47" s="178">
        <v>10290</v>
      </c>
      <c r="DR47" s="178">
        <v>9550</v>
      </c>
      <c r="DS47" s="178">
        <v>8610</v>
      </c>
      <c r="DT47" s="178">
        <v>8360</v>
      </c>
      <c r="DU47" s="178">
        <v>9080</v>
      </c>
      <c r="DV47" s="178">
        <v>8970</v>
      </c>
      <c r="DW47" s="178">
        <v>9110</v>
      </c>
      <c r="DX47" s="178">
        <v>10000</v>
      </c>
      <c r="DY47" s="178">
        <v>10370</v>
      </c>
      <c r="DZ47" s="178">
        <v>10820</v>
      </c>
      <c r="EA47" s="178">
        <v>11070</v>
      </c>
      <c r="EB47" s="178">
        <v>10920</v>
      </c>
      <c r="EC47" s="178">
        <v>9040</v>
      </c>
      <c r="ED47" s="178">
        <v>7800</v>
      </c>
      <c r="EE47" s="178">
        <v>6720</v>
      </c>
      <c r="EF47" s="178">
        <v>7030</v>
      </c>
      <c r="EG47" s="178">
        <v>8470</v>
      </c>
      <c r="EH47" s="178">
        <v>7980</v>
      </c>
    </row>
    <row r="48" spans="1:138" x14ac:dyDescent="0.25">
      <c r="A48" s="49" t="str">
        <f>IPO監視一覧!H45</f>
        <v>B</v>
      </c>
      <c r="B48" s="49" t="str">
        <f>IPO監視一覧!B45</f>
        <v>エクスモーション</v>
      </c>
      <c r="C48" s="177">
        <f>株価一覧!E47</f>
        <v>4470</v>
      </c>
      <c r="D48" s="105">
        <f t="shared" ca="1" si="8"/>
        <v>4470</v>
      </c>
      <c r="E48" s="177">
        <f t="shared" ca="1" si="9"/>
        <v>4669</v>
      </c>
      <c r="F48" s="110">
        <f t="shared" ca="1" si="10"/>
        <v>4210</v>
      </c>
      <c r="G48" s="178">
        <v>0</v>
      </c>
      <c r="H48" s="178">
        <v>0</v>
      </c>
      <c r="I48" s="178">
        <v>0</v>
      </c>
      <c r="J48" s="178">
        <v>0</v>
      </c>
      <c r="K48" s="178">
        <v>0</v>
      </c>
      <c r="L48" s="178">
        <v>0</v>
      </c>
      <c r="M48" s="178">
        <v>0</v>
      </c>
      <c r="N48" s="178">
        <v>0</v>
      </c>
      <c r="O48" s="178">
        <v>0</v>
      </c>
      <c r="P48" s="178">
        <v>0</v>
      </c>
      <c r="Q48" s="178">
        <v>0</v>
      </c>
      <c r="R48" s="178">
        <v>0</v>
      </c>
      <c r="S48" s="178">
        <v>0</v>
      </c>
      <c r="T48" s="178">
        <v>0</v>
      </c>
      <c r="U48" s="178">
        <v>0</v>
      </c>
      <c r="V48" s="178">
        <v>0</v>
      </c>
      <c r="W48" s="178">
        <v>0</v>
      </c>
      <c r="X48" s="178">
        <v>0</v>
      </c>
      <c r="Y48" s="178">
        <v>0</v>
      </c>
      <c r="Z48" s="178">
        <v>0</v>
      </c>
      <c r="AA48" s="178">
        <v>0</v>
      </c>
      <c r="AB48" s="178">
        <v>0</v>
      </c>
      <c r="AC48" s="178">
        <v>0</v>
      </c>
      <c r="AD48" s="178">
        <v>0</v>
      </c>
      <c r="AE48" s="178">
        <v>0</v>
      </c>
      <c r="AF48" s="178">
        <v>0</v>
      </c>
      <c r="AG48" s="178">
        <v>0</v>
      </c>
      <c r="AH48" s="178">
        <v>0</v>
      </c>
      <c r="AI48" s="178">
        <v>0</v>
      </c>
      <c r="AJ48" s="178">
        <v>0</v>
      </c>
      <c r="AK48" s="178">
        <v>0</v>
      </c>
      <c r="AL48" s="178">
        <v>0</v>
      </c>
      <c r="AM48" s="178">
        <v>0</v>
      </c>
      <c r="AN48" s="178">
        <v>0</v>
      </c>
      <c r="AO48" s="178">
        <v>0</v>
      </c>
      <c r="AP48" s="178">
        <v>0</v>
      </c>
      <c r="AQ48" s="178">
        <v>0</v>
      </c>
      <c r="AR48" s="178">
        <v>0</v>
      </c>
      <c r="AS48" s="178">
        <v>0</v>
      </c>
      <c r="AT48" s="178">
        <v>0</v>
      </c>
      <c r="AU48" s="178">
        <v>0</v>
      </c>
      <c r="AV48" s="178">
        <v>0</v>
      </c>
      <c r="AW48" s="178">
        <v>0</v>
      </c>
      <c r="AX48" s="178">
        <v>0</v>
      </c>
      <c r="AY48" s="178">
        <v>0</v>
      </c>
      <c r="AZ48" s="178">
        <v>0</v>
      </c>
      <c r="BA48" s="178">
        <v>0</v>
      </c>
      <c r="BB48" s="178">
        <v>0</v>
      </c>
      <c r="BC48" s="178">
        <v>0</v>
      </c>
      <c r="BD48" s="178">
        <v>0</v>
      </c>
      <c r="BE48" s="178">
        <v>0</v>
      </c>
      <c r="BF48" s="178">
        <v>0</v>
      </c>
      <c r="BG48" s="178">
        <v>0</v>
      </c>
      <c r="BH48" s="178">
        <v>0</v>
      </c>
      <c r="BI48" s="178">
        <v>0</v>
      </c>
      <c r="BJ48" s="178">
        <v>0</v>
      </c>
      <c r="BK48" s="178">
        <v>0</v>
      </c>
      <c r="BL48" s="178">
        <v>0</v>
      </c>
      <c r="BM48" s="178">
        <v>0</v>
      </c>
      <c r="BN48" s="178">
        <v>0</v>
      </c>
      <c r="BO48" s="178">
        <v>0</v>
      </c>
      <c r="BP48" s="178">
        <v>0</v>
      </c>
      <c r="BQ48" s="178">
        <v>0</v>
      </c>
      <c r="BR48" s="178">
        <v>0</v>
      </c>
      <c r="BS48" s="178">
        <v>0</v>
      </c>
      <c r="BT48" s="178">
        <v>0</v>
      </c>
      <c r="BU48" s="178">
        <v>0</v>
      </c>
      <c r="BV48" s="178">
        <v>0</v>
      </c>
      <c r="BW48" s="178">
        <v>0</v>
      </c>
      <c r="BX48" s="178">
        <v>0</v>
      </c>
      <c r="BY48" s="178">
        <v>0</v>
      </c>
      <c r="BZ48" s="178">
        <v>0</v>
      </c>
      <c r="CA48" s="178">
        <v>0</v>
      </c>
      <c r="CB48" s="178">
        <v>0</v>
      </c>
      <c r="CC48" s="178">
        <v>0</v>
      </c>
      <c r="CD48" s="178">
        <v>0</v>
      </c>
      <c r="CE48" s="178">
        <v>0</v>
      </c>
      <c r="CF48" s="178">
        <v>0</v>
      </c>
      <c r="CG48" s="178">
        <v>0</v>
      </c>
      <c r="CH48" s="178">
        <v>0</v>
      </c>
      <c r="CI48" s="178">
        <v>0</v>
      </c>
      <c r="CJ48" s="178">
        <v>0</v>
      </c>
      <c r="CK48" s="178">
        <v>0</v>
      </c>
      <c r="CL48" s="178">
        <v>0</v>
      </c>
      <c r="CM48" s="178">
        <v>0</v>
      </c>
      <c r="CN48" s="178">
        <v>0</v>
      </c>
      <c r="CO48" s="178">
        <v>0</v>
      </c>
      <c r="CP48" s="178">
        <v>0</v>
      </c>
      <c r="CQ48" s="178">
        <v>0</v>
      </c>
      <c r="CR48" s="178">
        <v>0</v>
      </c>
      <c r="CS48" s="178">
        <v>0</v>
      </c>
      <c r="CT48" s="178">
        <v>0</v>
      </c>
      <c r="CU48" s="178">
        <v>0</v>
      </c>
      <c r="CV48" s="178">
        <v>0</v>
      </c>
      <c r="CW48" s="178">
        <v>0</v>
      </c>
      <c r="CX48" s="178">
        <v>0</v>
      </c>
      <c r="CY48" s="178">
        <v>0</v>
      </c>
      <c r="CZ48" s="178">
        <v>0</v>
      </c>
      <c r="DA48" s="178">
        <v>0</v>
      </c>
      <c r="DB48" s="178">
        <v>0</v>
      </c>
      <c r="DC48" s="178">
        <v>0</v>
      </c>
      <c r="DD48" s="178">
        <v>4865</v>
      </c>
      <c r="DE48" s="178">
        <v>5570</v>
      </c>
      <c r="DF48" s="178">
        <v>5110</v>
      </c>
      <c r="DG48" s="178">
        <v>6110</v>
      </c>
      <c r="DH48" s="178">
        <v>5600</v>
      </c>
      <c r="DI48" s="178">
        <v>5440</v>
      </c>
      <c r="DJ48" s="178">
        <v>5350</v>
      </c>
      <c r="DK48" s="178">
        <v>5900</v>
      </c>
      <c r="DL48" s="178">
        <v>5860</v>
      </c>
      <c r="DM48" s="178">
        <v>6190</v>
      </c>
      <c r="DN48" s="178">
        <v>5590</v>
      </c>
      <c r="DO48" s="178">
        <v>5440</v>
      </c>
      <c r="DP48" s="178">
        <v>5030</v>
      </c>
      <c r="DQ48" s="178">
        <v>4510</v>
      </c>
      <c r="DR48" s="178">
        <v>4535</v>
      </c>
      <c r="DS48" s="178">
        <v>4180</v>
      </c>
      <c r="DT48" s="178">
        <v>4500</v>
      </c>
      <c r="DU48" s="178">
        <v>4560</v>
      </c>
      <c r="DV48" s="178">
        <v>4510</v>
      </c>
      <c r="DW48" s="178">
        <v>4695</v>
      </c>
      <c r="DX48" s="178">
        <v>4900</v>
      </c>
      <c r="DY48" s="178">
        <v>4690</v>
      </c>
      <c r="DZ48" s="178">
        <v>5000</v>
      </c>
      <c r="EA48" s="178">
        <v>5080</v>
      </c>
      <c r="EB48" s="178">
        <v>5050</v>
      </c>
      <c r="EC48" s="178">
        <v>4700</v>
      </c>
      <c r="ED48" s="178">
        <v>4745</v>
      </c>
      <c r="EE48" s="178">
        <v>4620</v>
      </c>
      <c r="EF48" s="178">
        <v>4305</v>
      </c>
      <c r="EG48" s="178">
        <v>4210</v>
      </c>
      <c r="EH48" s="178">
        <v>4470</v>
      </c>
    </row>
    <row r="49" spans="1:138" x14ac:dyDescent="0.25">
      <c r="A49" s="49" t="str">
        <f>IPO監視一覧!H46</f>
        <v>A</v>
      </c>
      <c r="B49" s="49" t="str">
        <f>IPO監視一覧!B46</f>
        <v>アクリート</v>
      </c>
      <c r="C49" s="177">
        <f>株価一覧!E48</f>
        <v>1388</v>
      </c>
      <c r="D49" s="105">
        <f t="shared" ca="1" si="8"/>
        <v>1411</v>
      </c>
      <c r="E49" s="177">
        <f t="shared" ca="1" si="9"/>
        <v>1388.2</v>
      </c>
      <c r="F49" s="110">
        <f t="shared" ca="1" si="10"/>
        <v>1245</v>
      </c>
      <c r="G49" s="178">
        <v>0</v>
      </c>
      <c r="H49" s="178">
        <v>0</v>
      </c>
      <c r="I49" s="178">
        <v>0</v>
      </c>
      <c r="J49" s="178">
        <v>0</v>
      </c>
      <c r="K49" s="178">
        <v>0</v>
      </c>
      <c r="L49" s="178">
        <v>0</v>
      </c>
      <c r="M49" s="178">
        <v>0</v>
      </c>
      <c r="N49" s="178">
        <v>0</v>
      </c>
      <c r="O49" s="178">
        <v>0</v>
      </c>
      <c r="P49" s="178">
        <v>0</v>
      </c>
      <c r="Q49" s="178">
        <v>0</v>
      </c>
      <c r="R49" s="178">
        <v>0</v>
      </c>
      <c r="S49" s="178">
        <v>0</v>
      </c>
      <c r="T49" s="178">
        <v>0</v>
      </c>
      <c r="U49" s="178">
        <v>0</v>
      </c>
      <c r="V49" s="178">
        <v>0</v>
      </c>
      <c r="W49" s="178">
        <v>0</v>
      </c>
      <c r="X49" s="178">
        <v>0</v>
      </c>
      <c r="Y49" s="178">
        <v>0</v>
      </c>
      <c r="Z49" s="178">
        <v>0</v>
      </c>
      <c r="AA49" s="178">
        <v>0</v>
      </c>
      <c r="AB49" s="178">
        <v>0</v>
      </c>
      <c r="AC49" s="178">
        <v>0</v>
      </c>
      <c r="AD49" s="178">
        <v>0</v>
      </c>
      <c r="AE49" s="178">
        <v>0</v>
      </c>
      <c r="AF49" s="178">
        <v>0</v>
      </c>
      <c r="AG49" s="178">
        <v>0</v>
      </c>
      <c r="AH49" s="178">
        <v>0</v>
      </c>
      <c r="AI49" s="178">
        <v>0</v>
      </c>
      <c r="AJ49" s="178">
        <v>0</v>
      </c>
      <c r="AK49" s="178">
        <v>0</v>
      </c>
      <c r="AL49" s="178">
        <v>0</v>
      </c>
      <c r="AM49" s="178">
        <v>0</v>
      </c>
      <c r="AN49" s="178">
        <v>0</v>
      </c>
      <c r="AO49" s="178">
        <v>0</v>
      </c>
      <c r="AP49" s="178">
        <v>0</v>
      </c>
      <c r="AQ49" s="178">
        <v>0</v>
      </c>
      <c r="AR49" s="178">
        <v>0</v>
      </c>
      <c r="AS49" s="178">
        <v>0</v>
      </c>
      <c r="AT49" s="178">
        <v>0</v>
      </c>
      <c r="AU49" s="178">
        <v>0</v>
      </c>
      <c r="AV49" s="178">
        <v>0</v>
      </c>
      <c r="AW49" s="178">
        <v>0</v>
      </c>
      <c r="AX49" s="178">
        <v>0</v>
      </c>
      <c r="AY49" s="178">
        <v>0</v>
      </c>
      <c r="AZ49" s="178">
        <v>0</v>
      </c>
      <c r="BA49" s="178">
        <v>0</v>
      </c>
      <c r="BB49" s="178">
        <v>0</v>
      </c>
      <c r="BC49" s="178">
        <v>0</v>
      </c>
      <c r="BD49" s="178">
        <v>0</v>
      </c>
      <c r="BE49" s="178">
        <v>0</v>
      </c>
      <c r="BF49" s="178">
        <v>0</v>
      </c>
      <c r="BG49" s="178">
        <v>0</v>
      </c>
      <c r="BH49" s="178">
        <v>0</v>
      </c>
      <c r="BI49" s="178">
        <v>0</v>
      </c>
      <c r="BJ49" s="178">
        <v>0</v>
      </c>
      <c r="BK49" s="178">
        <v>0</v>
      </c>
      <c r="BL49" s="178">
        <v>0</v>
      </c>
      <c r="BM49" s="178">
        <v>0</v>
      </c>
      <c r="BN49" s="178">
        <v>0</v>
      </c>
      <c r="BO49" s="178">
        <v>0</v>
      </c>
      <c r="BP49" s="178">
        <v>0</v>
      </c>
      <c r="BQ49" s="178">
        <v>0</v>
      </c>
      <c r="BR49" s="178">
        <v>0</v>
      </c>
      <c r="BS49" s="178">
        <v>0</v>
      </c>
      <c r="BT49" s="178">
        <v>0</v>
      </c>
      <c r="BU49" s="178">
        <v>0</v>
      </c>
      <c r="BV49" s="178">
        <v>0</v>
      </c>
      <c r="BW49" s="178">
        <v>0</v>
      </c>
      <c r="BX49" s="178">
        <v>0</v>
      </c>
      <c r="BY49" s="178">
        <v>0</v>
      </c>
      <c r="BZ49" s="178">
        <v>0</v>
      </c>
      <c r="CA49" s="178">
        <v>0</v>
      </c>
      <c r="CB49" s="178">
        <v>0</v>
      </c>
      <c r="CC49" s="178">
        <v>0</v>
      </c>
      <c r="CD49" s="178">
        <v>0</v>
      </c>
      <c r="CE49" s="178">
        <v>0</v>
      </c>
      <c r="CF49" s="178">
        <v>0</v>
      </c>
      <c r="CG49" s="178">
        <v>0</v>
      </c>
      <c r="CH49" s="178">
        <v>0</v>
      </c>
      <c r="CI49" s="178">
        <v>0</v>
      </c>
      <c r="CJ49" s="178">
        <v>0</v>
      </c>
      <c r="CK49" s="178">
        <v>0</v>
      </c>
      <c r="CL49" s="178">
        <v>0</v>
      </c>
      <c r="CM49" s="178">
        <v>0</v>
      </c>
      <c r="CN49" s="178">
        <v>0</v>
      </c>
      <c r="CO49" s="178">
        <v>0</v>
      </c>
      <c r="CP49" s="178">
        <v>0</v>
      </c>
      <c r="CQ49" s="178">
        <v>0</v>
      </c>
      <c r="CR49" s="178">
        <v>0</v>
      </c>
      <c r="CS49" s="178">
        <v>0</v>
      </c>
      <c r="CT49" s="178">
        <v>0</v>
      </c>
      <c r="CU49" s="178">
        <v>0</v>
      </c>
      <c r="CV49" s="178">
        <v>0</v>
      </c>
      <c r="CW49" s="178">
        <v>0</v>
      </c>
      <c r="CX49" s="178">
        <v>0</v>
      </c>
      <c r="CY49" s="178">
        <v>0</v>
      </c>
      <c r="CZ49" s="178">
        <v>0</v>
      </c>
      <c r="DA49" s="178">
        <v>0</v>
      </c>
      <c r="DB49" s="178">
        <v>0</v>
      </c>
      <c r="DC49" s="178">
        <v>0</v>
      </c>
      <c r="DD49" s="178">
        <v>1308</v>
      </c>
      <c r="DE49" s="178">
        <v>1501</v>
      </c>
      <c r="DF49" s="178">
        <v>1462</v>
      </c>
      <c r="DG49" s="178">
        <v>1584</v>
      </c>
      <c r="DH49" s="178">
        <v>1510</v>
      </c>
      <c r="DI49" s="178">
        <v>1668</v>
      </c>
      <c r="DJ49" s="178">
        <v>1850</v>
      </c>
      <c r="DK49" s="178">
        <v>1825</v>
      </c>
      <c r="DL49" s="178">
        <v>1810</v>
      </c>
      <c r="DM49" s="178">
        <v>1685</v>
      </c>
      <c r="DN49" s="178">
        <v>1570</v>
      </c>
      <c r="DO49" s="178">
        <v>1380</v>
      </c>
      <c r="DP49" s="178">
        <v>1365</v>
      </c>
      <c r="DQ49" s="178">
        <v>1465</v>
      </c>
      <c r="DR49" s="178">
        <v>1399</v>
      </c>
      <c r="DS49" s="178">
        <v>1261</v>
      </c>
      <c r="DT49" s="178">
        <v>1271</v>
      </c>
      <c r="DU49" s="178">
        <v>1245</v>
      </c>
      <c r="DV49" s="178">
        <v>1298</v>
      </c>
      <c r="DW49" s="178">
        <v>1376</v>
      </c>
      <c r="DX49" s="178">
        <v>1470</v>
      </c>
      <c r="DY49" s="178">
        <v>1452</v>
      </c>
      <c r="DZ49" s="178">
        <v>1412</v>
      </c>
      <c r="EA49" s="178">
        <v>1415</v>
      </c>
      <c r="EB49" s="178">
        <v>1425</v>
      </c>
      <c r="EC49" s="178">
        <v>1404</v>
      </c>
      <c r="ED49" s="178">
        <v>1450</v>
      </c>
      <c r="EE49" s="178">
        <v>1470</v>
      </c>
      <c r="EF49" s="178">
        <v>1385</v>
      </c>
      <c r="EG49" s="178">
        <v>1362</v>
      </c>
      <c r="EH49" s="178">
        <v>1388</v>
      </c>
    </row>
    <row r="50" spans="1:138" x14ac:dyDescent="0.25">
      <c r="A50" s="49" t="str">
        <f>IPO監視一覧!H47</f>
        <v>B</v>
      </c>
      <c r="B50" s="49" t="str">
        <f>IPO監視一覧!B47</f>
        <v>プロレド・パートナーズ</v>
      </c>
      <c r="C50" s="177">
        <f>株価一覧!E49</f>
        <v>8900</v>
      </c>
      <c r="D50" s="105">
        <f t="shared" ca="1" si="8"/>
        <v>9334</v>
      </c>
      <c r="E50" s="177">
        <f t="shared" ca="1" si="9"/>
        <v>8548.6666666666661</v>
      </c>
      <c r="F50" s="110">
        <f t="shared" ca="1" si="10"/>
        <v>6540</v>
      </c>
      <c r="G50" s="178">
        <v>0</v>
      </c>
      <c r="H50" s="178">
        <v>0</v>
      </c>
      <c r="I50" s="178">
        <v>0</v>
      </c>
      <c r="J50" s="178">
        <v>0</v>
      </c>
      <c r="K50" s="178">
        <v>0</v>
      </c>
      <c r="L50" s="178">
        <v>0</v>
      </c>
      <c r="M50" s="178">
        <v>0</v>
      </c>
      <c r="N50" s="178">
        <v>0</v>
      </c>
      <c r="O50" s="178">
        <v>0</v>
      </c>
      <c r="P50" s="178">
        <v>0</v>
      </c>
      <c r="Q50" s="178">
        <v>0</v>
      </c>
      <c r="R50" s="178">
        <v>0</v>
      </c>
      <c r="S50" s="178">
        <v>0</v>
      </c>
      <c r="T50" s="178">
        <v>0</v>
      </c>
      <c r="U50" s="178">
        <v>0</v>
      </c>
      <c r="V50" s="178">
        <v>0</v>
      </c>
      <c r="W50" s="178">
        <v>0</v>
      </c>
      <c r="X50" s="178">
        <v>0</v>
      </c>
      <c r="Y50" s="178">
        <v>0</v>
      </c>
      <c r="Z50" s="178">
        <v>0</v>
      </c>
      <c r="AA50" s="178">
        <v>0</v>
      </c>
      <c r="AB50" s="178">
        <v>0</v>
      </c>
      <c r="AC50" s="178">
        <v>0</v>
      </c>
      <c r="AD50" s="178">
        <v>0</v>
      </c>
      <c r="AE50" s="178">
        <v>0</v>
      </c>
      <c r="AF50" s="178">
        <v>0</v>
      </c>
      <c r="AG50" s="178">
        <v>0</v>
      </c>
      <c r="AH50" s="178">
        <v>0</v>
      </c>
      <c r="AI50" s="178">
        <v>0</v>
      </c>
      <c r="AJ50" s="178">
        <v>0</v>
      </c>
      <c r="AK50" s="178">
        <v>0</v>
      </c>
      <c r="AL50" s="178">
        <v>0</v>
      </c>
      <c r="AM50" s="178">
        <v>0</v>
      </c>
      <c r="AN50" s="178">
        <v>0</v>
      </c>
      <c r="AO50" s="178">
        <v>0</v>
      </c>
      <c r="AP50" s="178">
        <v>0</v>
      </c>
      <c r="AQ50" s="178">
        <v>0</v>
      </c>
      <c r="AR50" s="178">
        <v>0</v>
      </c>
      <c r="AS50" s="178">
        <v>0</v>
      </c>
      <c r="AT50" s="178">
        <v>0</v>
      </c>
      <c r="AU50" s="178">
        <v>0</v>
      </c>
      <c r="AV50" s="178">
        <v>0</v>
      </c>
      <c r="AW50" s="178">
        <v>0</v>
      </c>
      <c r="AX50" s="178">
        <v>0</v>
      </c>
      <c r="AY50" s="178">
        <v>0</v>
      </c>
      <c r="AZ50" s="178">
        <v>0</v>
      </c>
      <c r="BA50" s="178">
        <v>0</v>
      </c>
      <c r="BB50" s="178">
        <v>0</v>
      </c>
      <c r="BC50" s="178">
        <v>0</v>
      </c>
      <c r="BD50" s="178">
        <v>0</v>
      </c>
      <c r="BE50" s="178">
        <v>0</v>
      </c>
      <c r="BF50" s="178">
        <v>0</v>
      </c>
      <c r="BG50" s="178">
        <v>0</v>
      </c>
      <c r="BH50" s="178">
        <v>0</v>
      </c>
      <c r="BI50" s="178">
        <v>0</v>
      </c>
      <c r="BJ50" s="178">
        <v>0</v>
      </c>
      <c r="BK50" s="178">
        <v>0</v>
      </c>
      <c r="BL50" s="178">
        <v>0</v>
      </c>
      <c r="BM50" s="178">
        <v>0</v>
      </c>
      <c r="BN50" s="178">
        <v>0</v>
      </c>
      <c r="BO50" s="178">
        <v>0</v>
      </c>
      <c r="BP50" s="178">
        <v>0</v>
      </c>
      <c r="BQ50" s="178">
        <v>0</v>
      </c>
      <c r="BR50" s="178">
        <v>0</v>
      </c>
      <c r="BS50" s="178">
        <v>0</v>
      </c>
      <c r="BT50" s="178">
        <v>0</v>
      </c>
      <c r="BU50" s="178">
        <v>0</v>
      </c>
      <c r="BV50" s="178">
        <v>0</v>
      </c>
      <c r="BW50" s="178">
        <v>0</v>
      </c>
      <c r="BX50" s="178">
        <v>0</v>
      </c>
      <c r="BY50" s="178">
        <v>0</v>
      </c>
      <c r="BZ50" s="178">
        <v>0</v>
      </c>
      <c r="CA50" s="178">
        <v>0</v>
      </c>
      <c r="CB50" s="178">
        <v>0</v>
      </c>
      <c r="CC50" s="178">
        <v>0</v>
      </c>
      <c r="CD50" s="178">
        <v>0</v>
      </c>
      <c r="CE50" s="178">
        <v>0</v>
      </c>
      <c r="CF50" s="178">
        <v>0</v>
      </c>
      <c r="CG50" s="178">
        <v>0</v>
      </c>
      <c r="CH50" s="178">
        <v>0</v>
      </c>
      <c r="CI50" s="178">
        <v>0</v>
      </c>
      <c r="CJ50" s="178">
        <v>0</v>
      </c>
      <c r="CK50" s="178">
        <v>0</v>
      </c>
      <c r="CL50" s="178">
        <v>0</v>
      </c>
      <c r="CM50" s="178">
        <v>0</v>
      </c>
      <c r="CN50" s="178">
        <v>0</v>
      </c>
      <c r="CO50" s="178">
        <v>0</v>
      </c>
      <c r="CP50" s="178">
        <v>0</v>
      </c>
      <c r="CQ50" s="178">
        <v>0</v>
      </c>
      <c r="CR50" s="178">
        <v>0</v>
      </c>
      <c r="CS50" s="178">
        <v>0</v>
      </c>
      <c r="CT50" s="178">
        <v>0</v>
      </c>
      <c r="CU50" s="178">
        <v>0</v>
      </c>
      <c r="CV50" s="178">
        <v>0</v>
      </c>
      <c r="CW50" s="178">
        <v>0</v>
      </c>
      <c r="CX50" s="178">
        <v>0</v>
      </c>
      <c r="CY50" s="178">
        <v>0</v>
      </c>
      <c r="CZ50" s="178">
        <v>0</v>
      </c>
      <c r="DA50" s="178">
        <v>0</v>
      </c>
      <c r="DB50" s="178">
        <v>0</v>
      </c>
      <c r="DC50" s="178">
        <v>0</v>
      </c>
      <c r="DD50" s="178">
        <v>0</v>
      </c>
      <c r="DE50" s="178">
        <v>0</v>
      </c>
      <c r="DF50" s="178">
        <v>7200</v>
      </c>
      <c r="DG50" s="178">
        <v>7600</v>
      </c>
      <c r="DH50" s="178">
        <v>6910</v>
      </c>
      <c r="DI50" s="178">
        <v>7060</v>
      </c>
      <c r="DJ50" s="178">
        <v>7800</v>
      </c>
      <c r="DK50" s="178">
        <v>7460</v>
      </c>
      <c r="DL50" s="178">
        <v>7910</v>
      </c>
      <c r="DM50" s="178">
        <v>8500</v>
      </c>
      <c r="DN50" s="178">
        <v>7660</v>
      </c>
      <c r="DO50" s="178">
        <v>7730</v>
      </c>
      <c r="DP50" s="178">
        <v>7480</v>
      </c>
      <c r="DQ50" s="178">
        <v>7440</v>
      </c>
      <c r="DR50" s="178">
        <v>7240</v>
      </c>
      <c r="DS50" s="178">
        <v>6700</v>
      </c>
      <c r="DT50" s="178">
        <v>6460</v>
      </c>
      <c r="DU50" s="178">
        <v>6540</v>
      </c>
      <c r="DV50" s="178">
        <v>7540</v>
      </c>
      <c r="DW50" s="178">
        <v>7450</v>
      </c>
      <c r="DX50" s="178">
        <v>7930</v>
      </c>
      <c r="DY50" s="178">
        <v>8270</v>
      </c>
      <c r="DZ50" s="178">
        <v>9180</v>
      </c>
      <c r="EA50" s="178">
        <v>8890</v>
      </c>
      <c r="EB50" s="178">
        <v>9760</v>
      </c>
      <c r="EC50" s="178">
        <v>9540</v>
      </c>
      <c r="ED50" s="178">
        <v>10000</v>
      </c>
      <c r="EE50" s="178">
        <v>9590</v>
      </c>
      <c r="EF50" s="178">
        <v>9040</v>
      </c>
      <c r="EG50" s="178">
        <v>9140</v>
      </c>
      <c r="EH50" s="178">
        <v>8900</v>
      </c>
    </row>
    <row r="51" spans="1:138" x14ac:dyDescent="0.25">
      <c r="A51" s="49" t="str">
        <f>IPO監視一覧!H48</f>
        <v>A</v>
      </c>
      <c r="B51" s="49" t="str">
        <f>IPO監視一覧!B48</f>
        <v>システムサポート</v>
      </c>
      <c r="C51" s="177">
        <f>株価一覧!E50</f>
        <v>2584</v>
      </c>
      <c r="D51" s="105">
        <f t="shared" ca="1" si="8"/>
        <v>2676.2</v>
      </c>
      <c r="E51" s="177">
        <f t="shared" ca="1" si="9"/>
        <v>2640.4</v>
      </c>
      <c r="F51" s="110">
        <f t="shared" ca="1" si="10"/>
        <v>2438</v>
      </c>
      <c r="G51" s="178">
        <v>0</v>
      </c>
      <c r="H51" s="178">
        <v>0</v>
      </c>
      <c r="I51" s="178">
        <v>0</v>
      </c>
      <c r="J51" s="178">
        <v>0</v>
      </c>
      <c r="K51" s="178">
        <v>0</v>
      </c>
      <c r="L51" s="178">
        <v>0</v>
      </c>
      <c r="M51" s="178">
        <v>0</v>
      </c>
      <c r="N51" s="178">
        <v>0</v>
      </c>
      <c r="O51" s="178">
        <v>0</v>
      </c>
      <c r="P51" s="178">
        <v>0</v>
      </c>
      <c r="Q51" s="178">
        <v>0</v>
      </c>
      <c r="R51" s="178">
        <v>0</v>
      </c>
      <c r="S51" s="178">
        <v>0</v>
      </c>
      <c r="T51" s="178">
        <v>0</v>
      </c>
      <c r="U51" s="178">
        <v>0</v>
      </c>
      <c r="V51" s="178">
        <v>0</v>
      </c>
      <c r="W51" s="178">
        <v>0</v>
      </c>
      <c r="X51" s="178">
        <v>0</v>
      </c>
      <c r="Y51" s="178">
        <v>0</v>
      </c>
      <c r="Z51" s="178">
        <v>0</v>
      </c>
      <c r="AA51" s="178">
        <v>0</v>
      </c>
      <c r="AB51" s="178">
        <v>0</v>
      </c>
      <c r="AC51" s="178">
        <v>0</v>
      </c>
      <c r="AD51" s="178">
        <v>0</v>
      </c>
      <c r="AE51" s="178">
        <v>0</v>
      </c>
      <c r="AF51" s="178">
        <v>0</v>
      </c>
      <c r="AG51" s="178">
        <v>0</v>
      </c>
      <c r="AH51" s="178">
        <v>0</v>
      </c>
      <c r="AI51" s="178">
        <v>0</v>
      </c>
      <c r="AJ51" s="178">
        <v>0</v>
      </c>
      <c r="AK51" s="178">
        <v>0</v>
      </c>
      <c r="AL51" s="178">
        <v>0</v>
      </c>
      <c r="AM51" s="178">
        <v>0</v>
      </c>
      <c r="AN51" s="178">
        <v>0</v>
      </c>
      <c r="AO51" s="178">
        <v>0</v>
      </c>
      <c r="AP51" s="178">
        <v>0</v>
      </c>
      <c r="AQ51" s="178">
        <v>0</v>
      </c>
      <c r="AR51" s="178">
        <v>0</v>
      </c>
      <c r="AS51" s="178">
        <v>0</v>
      </c>
      <c r="AT51" s="178">
        <v>0</v>
      </c>
      <c r="AU51" s="178">
        <v>0</v>
      </c>
      <c r="AV51" s="178">
        <v>0</v>
      </c>
      <c r="AW51" s="178">
        <v>0</v>
      </c>
      <c r="AX51" s="178">
        <v>0</v>
      </c>
      <c r="AY51" s="178">
        <v>0</v>
      </c>
      <c r="AZ51" s="178">
        <v>0</v>
      </c>
      <c r="BA51" s="178">
        <v>0</v>
      </c>
      <c r="BB51" s="178">
        <v>0</v>
      </c>
      <c r="BC51" s="178">
        <v>0</v>
      </c>
      <c r="BD51" s="178">
        <v>0</v>
      </c>
      <c r="BE51" s="178">
        <v>0</v>
      </c>
      <c r="BF51" s="178">
        <v>0</v>
      </c>
      <c r="BG51" s="178">
        <v>0</v>
      </c>
      <c r="BH51" s="178">
        <v>0</v>
      </c>
      <c r="BI51" s="178">
        <v>0</v>
      </c>
      <c r="BJ51" s="178">
        <v>0</v>
      </c>
      <c r="BK51" s="178">
        <v>0</v>
      </c>
      <c r="BL51" s="178">
        <v>0</v>
      </c>
      <c r="BM51" s="178">
        <v>0</v>
      </c>
      <c r="BN51" s="178">
        <v>0</v>
      </c>
      <c r="BO51" s="178">
        <v>0</v>
      </c>
      <c r="BP51" s="178">
        <v>0</v>
      </c>
      <c r="BQ51" s="178">
        <v>0</v>
      </c>
      <c r="BR51" s="178">
        <v>0</v>
      </c>
      <c r="BS51" s="178">
        <v>0</v>
      </c>
      <c r="BT51" s="178">
        <v>0</v>
      </c>
      <c r="BU51" s="178">
        <v>0</v>
      </c>
      <c r="BV51" s="178">
        <v>0</v>
      </c>
      <c r="BW51" s="178">
        <v>0</v>
      </c>
      <c r="BX51" s="178">
        <v>0</v>
      </c>
      <c r="BY51" s="178">
        <v>0</v>
      </c>
      <c r="BZ51" s="178">
        <v>0</v>
      </c>
      <c r="CA51" s="178">
        <v>0</v>
      </c>
      <c r="CB51" s="178">
        <v>0</v>
      </c>
      <c r="CC51" s="178">
        <v>0</v>
      </c>
      <c r="CD51" s="178">
        <v>0</v>
      </c>
      <c r="CE51" s="178">
        <v>0</v>
      </c>
      <c r="CF51" s="178">
        <v>0</v>
      </c>
      <c r="CG51" s="178">
        <v>0</v>
      </c>
      <c r="CH51" s="178">
        <v>0</v>
      </c>
      <c r="CI51" s="178">
        <v>0</v>
      </c>
      <c r="CJ51" s="178">
        <v>0</v>
      </c>
      <c r="CK51" s="178">
        <v>0</v>
      </c>
      <c r="CL51" s="178">
        <v>0</v>
      </c>
      <c r="CM51" s="178">
        <v>0</v>
      </c>
      <c r="CN51" s="178">
        <v>0</v>
      </c>
      <c r="CO51" s="178">
        <v>0</v>
      </c>
      <c r="CP51" s="178">
        <v>0</v>
      </c>
      <c r="CQ51" s="178">
        <v>0</v>
      </c>
      <c r="CR51" s="178">
        <v>0</v>
      </c>
      <c r="CS51" s="178">
        <v>0</v>
      </c>
      <c r="CT51" s="178">
        <v>0</v>
      </c>
      <c r="CU51" s="178">
        <v>0</v>
      </c>
      <c r="CV51" s="178">
        <v>0</v>
      </c>
      <c r="CW51" s="178">
        <v>0</v>
      </c>
      <c r="CX51" s="178">
        <v>0</v>
      </c>
      <c r="CY51" s="178">
        <v>0</v>
      </c>
      <c r="CZ51" s="178">
        <v>0</v>
      </c>
      <c r="DA51" s="178">
        <v>0</v>
      </c>
      <c r="DB51" s="178">
        <v>0</v>
      </c>
      <c r="DC51" s="178">
        <v>0</v>
      </c>
      <c r="DD51" s="178">
        <v>0</v>
      </c>
      <c r="DE51" s="178">
        <v>0</v>
      </c>
      <c r="DF51" s="178">
        <v>0</v>
      </c>
      <c r="DG51" s="178">
        <v>0</v>
      </c>
      <c r="DH51" s="178">
        <v>0</v>
      </c>
      <c r="DI51" s="178">
        <v>0</v>
      </c>
      <c r="DJ51" s="178">
        <v>3345</v>
      </c>
      <c r="DK51" s="178">
        <v>3220</v>
      </c>
      <c r="DL51" s="178">
        <v>3260</v>
      </c>
      <c r="DM51" s="178">
        <v>3035</v>
      </c>
      <c r="DN51" s="178">
        <v>2891</v>
      </c>
      <c r="DO51" s="178">
        <v>2694</v>
      </c>
      <c r="DP51" s="178">
        <v>2483</v>
      </c>
      <c r="DQ51" s="178">
        <v>2546</v>
      </c>
      <c r="DR51" s="178">
        <v>2568</v>
      </c>
      <c r="DS51" s="178">
        <v>2729</v>
      </c>
      <c r="DT51" s="178">
        <v>2620</v>
      </c>
      <c r="DU51" s="178">
        <v>2715</v>
      </c>
      <c r="DV51" s="178">
        <v>2715</v>
      </c>
      <c r="DW51" s="178">
        <v>2682</v>
      </c>
      <c r="DX51" s="178">
        <v>2601</v>
      </c>
      <c r="DY51" s="178">
        <v>2505</v>
      </c>
      <c r="DZ51" s="178">
        <v>2438</v>
      </c>
      <c r="EA51" s="178">
        <v>2625</v>
      </c>
      <c r="EB51" s="178">
        <v>2626</v>
      </c>
      <c r="EC51" s="178">
        <v>2698</v>
      </c>
      <c r="ED51" s="178">
        <v>2818</v>
      </c>
      <c r="EE51" s="178">
        <v>2782</v>
      </c>
      <c r="EF51" s="178">
        <v>2623</v>
      </c>
      <c r="EG51" s="178">
        <v>2574</v>
      </c>
      <c r="EH51" s="178">
        <v>2584</v>
      </c>
    </row>
    <row r="52" spans="1:138" x14ac:dyDescent="0.25">
      <c r="A52" s="49" t="str">
        <f>IPO監視一覧!H49</f>
        <v>C</v>
      </c>
      <c r="B52" s="49" t="str">
        <f>IPO監視一覧!B49</f>
        <v>イボキン</v>
      </c>
      <c r="C52" s="177">
        <f>株価一覧!E51</f>
        <v>1992</v>
      </c>
      <c r="D52" s="105">
        <f t="shared" ca="1" si="8"/>
        <v>2070.4</v>
      </c>
      <c r="E52" s="177">
        <f t="shared" ca="1" si="9"/>
        <v>2050.2666666666669</v>
      </c>
      <c r="F52" s="110">
        <f t="shared" ca="1" si="10"/>
        <v>1940</v>
      </c>
      <c r="G52" s="178">
        <v>0</v>
      </c>
      <c r="H52" s="178">
        <v>0</v>
      </c>
      <c r="I52" s="178">
        <v>0</v>
      </c>
      <c r="J52" s="178">
        <v>0</v>
      </c>
      <c r="K52" s="178">
        <v>0</v>
      </c>
      <c r="L52" s="178">
        <v>0</v>
      </c>
      <c r="M52" s="178">
        <v>0</v>
      </c>
      <c r="N52" s="178">
        <v>0</v>
      </c>
      <c r="O52" s="178">
        <v>0</v>
      </c>
      <c r="P52" s="178">
        <v>0</v>
      </c>
      <c r="Q52" s="178">
        <v>0</v>
      </c>
      <c r="R52" s="178">
        <v>0</v>
      </c>
      <c r="S52" s="178">
        <v>0</v>
      </c>
      <c r="T52" s="178">
        <v>0</v>
      </c>
      <c r="U52" s="178">
        <v>0</v>
      </c>
      <c r="V52" s="178">
        <v>0</v>
      </c>
      <c r="W52" s="178">
        <v>0</v>
      </c>
      <c r="X52" s="178">
        <v>0</v>
      </c>
      <c r="Y52" s="178">
        <v>0</v>
      </c>
      <c r="Z52" s="178">
        <v>0</v>
      </c>
      <c r="AA52" s="178">
        <v>0</v>
      </c>
      <c r="AB52" s="178">
        <v>0</v>
      </c>
      <c r="AC52" s="178">
        <v>0</v>
      </c>
      <c r="AD52" s="178">
        <v>0</v>
      </c>
      <c r="AE52" s="178">
        <v>0</v>
      </c>
      <c r="AF52" s="178">
        <v>0</v>
      </c>
      <c r="AG52" s="178">
        <v>0</v>
      </c>
      <c r="AH52" s="178">
        <v>0</v>
      </c>
      <c r="AI52" s="178">
        <v>0</v>
      </c>
      <c r="AJ52" s="178">
        <v>0</v>
      </c>
      <c r="AK52" s="178">
        <v>0</v>
      </c>
      <c r="AL52" s="178">
        <v>0</v>
      </c>
      <c r="AM52" s="178">
        <v>0</v>
      </c>
      <c r="AN52" s="178">
        <v>0</v>
      </c>
      <c r="AO52" s="178">
        <v>0</v>
      </c>
      <c r="AP52" s="178">
        <v>0</v>
      </c>
      <c r="AQ52" s="178">
        <v>0</v>
      </c>
      <c r="AR52" s="178">
        <v>0</v>
      </c>
      <c r="AS52" s="178">
        <v>0</v>
      </c>
      <c r="AT52" s="178">
        <v>0</v>
      </c>
      <c r="AU52" s="178">
        <v>0</v>
      </c>
      <c r="AV52" s="178">
        <v>0</v>
      </c>
      <c r="AW52" s="178">
        <v>0</v>
      </c>
      <c r="AX52" s="178">
        <v>0</v>
      </c>
      <c r="AY52" s="178">
        <v>0</v>
      </c>
      <c r="AZ52" s="178">
        <v>0</v>
      </c>
      <c r="BA52" s="178">
        <v>0</v>
      </c>
      <c r="BB52" s="178">
        <v>0</v>
      </c>
      <c r="BC52" s="178">
        <v>0</v>
      </c>
      <c r="BD52" s="178">
        <v>0</v>
      </c>
      <c r="BE52" s="178">
        <v>0</v>
      </c>
      <c r="BF52" s="178">
        <v>0</v>
      </c>
      <c r="BG52" s="178">
        <v>0</v>
      </c>
      <c r="BH52" s="178">
        <v>0</v>
      </c>
      <c r="BI52" s="178">
        <v>0</v>
      </c>
      <c r="BJ52" s="178">
        <v>0</v>
      </c>
      <c r="BK52" s="178">
        <v>0</v>
      </c>
      <c r="BL52" s="178">
        <v>0</v>
      </c>
      <c r="BM52" s="178">
        <v>0</v>
      </c>
      <c r="BN52" s="178">
        <v>0</v>
      </c>
      <c r="BO52" s="178">
        <v>0</v>
      </c>
      <c r="BP52" s="178">
        <v>0</v>
      </c>
      <c r="BQ52" s="178">
        <v>0</v>
      </c>
      <c r="BR52" s="178">
        <v>0</v>
      </c>
      <c r="BS52" s="178">
        <v>0</v>
      </c>
      <c r="BT52" s="178">
        <v>0</v>
      </c>
      <c r="BU52" s="178">
        <v>0</v>
      </c>
      <c r="BV52" s="178">
        <v>0</v>
      </c>
      <c r="BW52" s="178">
        <v>0</v>
      </c>
      <c r="BX52" s="178">
        <v>0</v>
      </c>
      <c r="BY52" s="178">
        <v>0</v>
      </c>
      <c r="BZ52" s="178">
        <v>0</v>
      </c>
      <c r="CA52" s="178">
        <v>0</v>
      </c>
      <c r="CB52" s="178">
        <v>0</v>
      </c>
      <c r="CC52" s="178">
        <v>0</v>
      </c>
      <c r="CD52" s="178">
        <v>0</v>
      </c>
      <c r="CE52" s="178">
        <v>0</v>
      </c>
      <c r="CF52" s="178">
        <v>0</v>
      </c>
      <c r="CG52" s="178">
        <v>0</v>
      </c>
      <c r="CH52" s="178">
        <v>0</v>
      </c>
      <c r="CI52" s="178">
        <v>0</v>
      </c>
      <c r="CJ52" s="178">
        <v>0</v>
      </c>
      <c r="CK52" s="178">
        <v>0</v>
      </c>
      <c r="CL52" s="178">
        <v>0</v>
      </c>
      <c r="CM52" s="178">
        <v>0</v>
      </c>
      <c r="CN52" s="178">
        <v>0</v>
      </c>
      <c r="CO52" s="178">
        <v>0</v>
      </c>
      <c r="CP52" s="178">
        <v>0</v>
      </c>
      <c r="CQ52" s="178">
        <v>0</v>
      </c>
      <c r="CR52" s="178">
        <v>0</v>
      </c>
      <c r="CS52" s="178">
        <v>0</v>
      </c>
      <c r="CT52" s="178">
        <v>0</v>
      </c>
      <c r="CU52" s="178">
        <v>0</v>
      </c>
      <c r="CV52" s="178">
        <v>0</v>
      </c>
      <c r="CW52" s="178">
        <v>0</v>
      </c>
      <c r="CX52" s="178">
        <v>0</v>
      </c>
      <c r="CY52" s="178">
        <v>0</v>
      </c>
      <c r="CZ52" s="178">
        <v>0</v>
      </c>
      <c r="DA52" s="178">
        <v>0</v>
      </c>
      <c r="DB52" s="178">
        <v>0</v>
      </c>
      <c r="DC52" s="178">
        <v>0</v>
      </c>
      <c r="DD52" s="178">
        <v>0</v>
      </c>
      <c r="DE52" s="178">
        <v>0</v>
      </c>
      <c r="DF52" s="178">
        <v>0</v>
      </c>
      <c r="DG52" s="178">
        <v>0</v>
      </c>
      <c r="DH52" s="178">
        <v>0</v>
      </c>
      <c r="DI52" s="178">
        <v>0</v>
      </c>
      <c r="DJ52" s="178">
        <v>2620</v>
      </c>
      <c r="DK52" s="178">
        <v>2390</v>
      </c>
      <c r="DL52" s="178">
        <v>2423</v>
      </c>
      <c r="DM52" s="178">
        <v>2414</v>
      </c>
      <c r="DN52" s="178">
        <v>2280</v>
      </c>
      <c r="DO52" s="178">
        <v>2025</v>
      </c>
      <c r="DP52" s="178">
        <v>1993</v>
      </c>
      <c r="DQ52" s="178">
        <v>1975</v>
      </c>
      <c r="DR52" s="178">
        <v>1961</v>
      </c>
      <c r="DS52" s="178">
        <v>2039</v>
      </c>
      <c r="DT52" s="178">
        <v>1960</v>
      </c>
      <c r="DU52" s="178">
        <v>1940</v>
      </c>
      <c r="DV52" s="178">
        <v>1961</v>
      </c>
      <c r="DW52" s="178">
        <v>2025</v>
      </c>
      <c r="DX52" s="178">
        <v>2131</v>
      </c>
      <c r="DY52" s="178">
        <v>2065</v>
      </c>
      <c r="DZ52" s="178">
        <v>2056</v>
      </c>
      <c r="EA52" s="178">
        <v>2092</v>
      </c>
      <c r="EB52" s="178">
        <v>2094</v>
      </c>
      <c r="EC52" s="178">
        <v>2078</v>
      </c>
      <c r="ED52" s="178">
        <v>2127</v>
      </c>
      <c r="EE52" s="178">
        <v>2104</v>
      </c>
      <c r="EF52" s="178">
        <v>2089</v>
      </c>
      <c r="EG52" s="178">
        <v>2040</v>
      </c>
      <c r="EH52" s="178">
        <v>1992</v>
      </c>
    </row>
    <row r="53" spans="1:138" x14ac:dyDescent="0.25">
      <c r="A53" s="49" t="str">
        <f>IPO監視一覧!H50</f>
        <v>A</v>
      </c>
      <c r="B53" s="49" t="str">
        <f>IPO監視一覧!B50</f>
        <v>チームスピリット</v>
      </c>
      <c r="C53" s="177">
        <f>株価一覧!E52</f>
        <v>1594</v>
      </c>
      <c r="D53" s="105">
        <f t="shared" ca="1" si="8"/>
        <v>1540.8</v>
      </c>
      <c r="E53" s="177">
        <f t="shared" ca="1" si="9"/>
        <v>1571.8666666666666</v>
      </c>
      <c r="F53" s="110">
        <f t="shared" ca="1" si="10"/>
        <v>1451</v>
      </c>
      <c r="G53" s="178">
        <v>0</v>
      </c>
      <c r="H53" s="178">
        <v>0</v>
      </c>
      <c r="I53" s="178">
        <v>0</v>
      </c>
      <c r="J53" s="178">
        <v>0</v>
      </c>
      <c r="K53" s="178">
        <v>0</v>
      </c>
      <c r="L53" s="178">
        <v>0</v>
      </c>
      <c r="M53" s="178">
        <v>0</v>
      </c>
      <c r="N53" s="178">
        <v>0</v>
      </c>
      <c r="O53" s="178">
        <v>0</v>
      </c>
      <c r="P53" s="178">
        <v>0</v>
      </c>
      <c r="Q53" s="178">
        <v>0</v>
      </c>
      <c r="R53" s="178">
        <v>0</v>
      </c>
      <c r="S53" s="178">
        <v>0</v>
      </c>
      <c r="T53" s="178">
        <v>0</v>
      </c>
      <c r="U53" s="178">
        <v>0</v>
      </c>
      <c r="V53" s="178">
        <v>0</v>
      </c>
      <c r="W53" s="178">
        <v>0</v>
      </c>
      <c r="X53" s="178">
        <v>0</v>
      </c>
      <c r="Y53" s="178">
        <v>0</v>
      </c>
      <c r="Z53" s="178">
        <v>0</v>
      </c>
      <c r="AA53" s="178">
        <v>0</v>
      </c>
      <c r="AB53" s="178">
        <v>0</v>
      </c>
      <c r="AC53" s="178">
        <v>0</v>
      </c>
      <c r="AD53" s="178">
        <v>0</v>
      </c>
      <c r="AE53" s="178">
        <v>0</v>
      </c>
      <c r="AF53" s="178">
        <v>0</v>
      </c>
      <c r="AG53" s="178">
        <v>0</v>
      </c>
      <c r="AH53" s="178">
        <v>0</v>
      </c>
      <c r="AI53" s="178">
        <v>0</v>
      </c>
      <c r="AJ53" s="178">
        <v>0</v>
      </c>
      <c r="AK53" s="178">
        <v>0</v>
      </c>
      <c r="AL53" s="178">
        <v>0</v>
      </c>
      <c r="AM53" s="178">
        <v>0</v>
      </c>
      <c r="AN53" s="178">
        <v>0</v>
      </c>
      <c r="AO53" s="178">
        <v>0</v>
      </c>
      <c r="AP53" s="178">
        <v>0</v>
      </c>
      <c r="AQ53" s="178">
        <v>0</v>
      </c>
      <c r="AR53" s="178">
        <v>0</v>
      </c>
      <c r="AS53" s="178">
        <v>0</v>
      </c>
      <c r="AT53" s="178">
        <v>0</v>
      </c>
      <c r="AU53" s="178">
        <v>0</v>
      </c>
      <c r="AV53" s="178">
        <v>0</v>
      </c>
      <c r="AW53" s="178">
        <v>0</v>
      </c>
      <c r="AX53" s="178">
        <v>0</v>
      </c>
      <c r="AY53" s="178">
        <v>0</v>
      </c>
      <c r="AZ53" s="178">
        <v>0</v>
      </c>
      <c r="BA53" s="178">
        <v>0</v>
      </c>
      <c r="BB53" s="178">
        <v>0</v>
      </c>
      <c r="BC53" s="178">
        <v>0</v>
      </c>
      <c r="BD53" s="178">
        <v>0</v>
      </c>
      <c r="BE53" s="178">
        <v>0</v>
      </c>
      <c r="BF53" s="178">
        <v>0</v>
      </c>
      <c r="BG53" s="178">
        <v>0</v>
      </c>
      <c r="BH53" s="178">
        <v>0</v>
      </c>
      <c r="BI53" s="178">
        <v>0</v>
      </c>
      <c r="BJ53" s="178">
        <v>0</v>
      </c>
      <c r="BK53" s="178">
        <v>0</v>
      </c>
      <c r="BL53" s="178">
        <v>0</v>
      </c>
      <c r="BM53" s="178">
        <v>0</v>
      </c>
      <c r="BN53" s="178">
        <v>0</v>
      </c>
      <c r="BO53" s="178">
        <v>0</v>
      </c>
      <c r="BP53" s="178">
        <v>0</v>
      </c>
      <c r="BQ53" s="178">
        <v>0</v>
      </c>
      <c r="BR53" s="178">
        <v>0</v>
      </c>
      <c r="BS53" s="178">
        <v>0</v>
      </c>
      <c r="BT53" s="178">
        <v>0</v>
      </c>
      <c r="BU53" s="178">
        <v>0</v>
      </c>
      <c r="BV53" s="178">
        <v>0</v>
      </c>
      <c r="BW53" s="178">
        <v>0</v>
      </c>
      <c r="BX53" s="178">
        <v>0</v>
      </c>
      <c r="BY53" s="178">
        <v>0</v>
      </c>
      <c r="BZ53" s="178">
        <v>0</v>
      </c>
      <c r="CA53" s="178">
        <v>0</v>
      </c>
      <c r="CB53" s="178">
        <v>0</v>
      </c>
      <c r="CC53" s="178">
        <v>0</v>
      </c>
      <c r="CD53" s="178">
        <v>0</v>
      </c>
      <c r="CE53" s="178">
        <v>0</v>
      </c>
      <c r="CF53" s="178">
        <v>0</v>
      </c>
      <c r="CG53" s="178">
        <v>0</v>
      </c>
      <c r="CH53" s="178">
        <v>0</v>
      </c>
      <c r="CI53" s="178">
        <v>0</v>
      </c>
      <c r="CJ53" s="178">
        <v>0</v>
      </c>
      <c r="CK53" s="178">
        <v>0</v>
      </c>
      <c r="CL53" s="178">
        <v>0</v>
      </c>
      <c r="CM53" s="178">
        <v>0</v>
      </c>
      <c r="CN53" s="178">
        <v>0</v>
      </c>
      <c r="CO53" s="178">
        <v>0</v>
      </c>
      <c r="CP53" s="178">
        <v>0</v>
      </c>
      <c r="CQ53" s="178">
        <v>0</v>
      </c>
      <c r="CR53" s="178">
        <v>0</v>
      </c>
      <c r="CS53" s="178">
        <v>0</v>
      </c>
      <c r="CT53" s="178">
        <v>0</v>
      </c>
      <c r="CU53" s="178">
        <v>0</v>
      </c>
      <c r="CV53" s="178">
        <v>0</v>
      </c>
      <c r="CW53" s="178">
        <v>0</v>
      </c>
      <c r="CX53" s="178">
        <v>0</v>
      </c>
      <c r="CY53" s="178">
        <v>0</v>
      </c>
      <c r="CZ53" s="178">
        <v>0</v>
      </c>
      <c r="DA53" s="178">
        <v>0</v>
      </c>
      <c r="DB53" s="178">
        <v>0</v>
      </c>
      <c r="DC53" s="178">
        <v>0</v>
      </c>
      <c r="DD53" s="178">
        <v>0</v>
      </c>
      <c r="DE53" s="178">
        <v>0</v>
      </c>
      <c r="DF53" s="178">
        <v>0</v>
      </c>
      <c r="DG53" s="178">
        <v>0</v>
      </c>
      <c r="DH53" s="178">
        <v>0</v>
      </c>
      <c r="DI53" s="178">
        <v>0</v>
      </c>
      <c r="DJ53" s="178">
        <v>0</v>
      </c>
      <c r="DK53" s="178">
        <v>0</v>
      </c>
      <c r="DL53" s="178">
        <v>0</v>
      </c>
      <c r="DM53" s="178">
        <v>0</v>
      </c>
      <c r="DN53" s="178">
        <v>0</v>
      </c>
      <c r="DO53" s="178">
        <v>0</v>
      </c>
      <c r="DP53" s="178">
        <v>0</v>
      </c>
      <c r="DQ53" s="178">
        <v>0</v>
      </c>
      <c r="DR53" s="178">
        <v>0</v>
      </c>
      <c r="DS53" s="178">
        <v>0</v>
      </c>
      <c r="DT53" s="178">
        <v>0</v>
      </c>
      <c r="DU53" s="178">
        <v>1917</v>
      </c>
      <c r="DV53" s="178">
        <v>1800</v>
      </c>
      <c r="DW53" s="178">
        <v>1799</v>
      </c>
      <c r="DX53" s="178">
        <v>1837</v>
      </c>
      <c r="DY53" s="178">
        <v>1650</v>
      </c>
      <c r="DZ53" s="178">
        <v>1708</v>
      </c>
      <c r="EA53" s="178">
        <v>1765</v>
      </c>
      <c r="EB53" s="178">
        <v>1750</v>
      </c>
      <c r="EC53" s="178">
        <v>1648</v>
      </c>
      <c r="ED53" s="178">
        <v>1652</v>
      </c>
      <c r="EE53" s="178">
        <v>1549</v>
      </c>
      <c r="EF53" s="178">
        <v>1458</v>
      </c>
      <c r="EG53" s="178">
        <v>1451</v>
      </c>
      <c r="EH53" s="178">
        <v>1594</v>
      </c>
    </row>
    <row r="54" spans="1:138" x14ac:dyDescent="0.25">
      <c r="A54" s="49" t="str">
        <f>IPO監視一覧!H51</f>
        <v>A</v>
      </c>
      <c r="B54" s="49" t="str">
        <f>IPO監視一覧!B51</f>
        <v>and factory</v>
      </c>
      <c r="C54" s="177">
        <f>株価一覧!E53</f>
        <v>4850</v>
      </c>
      <c r="D54" s="105">
        <f t="shared" ca="1" si="8"/>
        <v>1800</v>
      </c>
      <c r="E54" s="177">
        <f t="shared" ca="1" si="9"/>
        <v>0</v>
      </c>
      <c r="F54" s="110">
        <f t="shared" ca="1" si="10"/>
        <v>0</v>
      </c>
      <c r="G54" s="178">
        <v>0</v>
      </c>
      <c r="H54" s="178">
        <v>0</v>
      </c>
      <c r="I54" s="178">
        <v>0</v>
      </c>
      <c r="J54" s="178">
        <v>0</v>
      </c>
      <c r="K54" s="178">
        <v>0</v>
      </c>
      <c r="L54" s="178">
        <v>0</v>
      </c>
      <c r="M54" s="178">
        <v>0</v>
      </c>
      <c r="N54" s="178">
        <v>0</v>
      </c>
      <c r="O54" s="178">
        <v>0</v>
      </c>
      <c r="P54" s="178">
        <v>0</v>
      </c>
      <c r="Q54" s="178">
        <v>0</v>
      </c>
      <c r="R54" s="178">
        <v>0</v>
      </c>
      <c r="S54" s="178">
        <v>0</v>
      </c>
      <c r="T54" s="178">
        <v>0</v>
      </c>
      <c r="U54" s="178">
        <v>0</v>
      </c>
      <c r="V54" s="178">
        <v>0</v>
      </c>
      <c r="W54" s="178">
        <v>0</v>
      </c>
      <c r="X54" s="178">
        <v>0</v>
      </c>
      <c r="Y54" s="178">
        <v>0</v>
      </c>
      <c r="Z54" s="178">
        <v>0</v>
      </c>
      <c r="AA54" s="178">
        <v>0</v>
      </c>
      <c r="AB54" s="178">
        <v>0</v>
      </c>
      <c r="AC54" s="178">
        <v>0</v>
      </c>
      <c r="AD54" s="178">
        <v>0</v>
      </c>
      <c r="AE54" s="178">
        <v>0</v>
      </c>
      <c r="AF54" s="178">
        <v>0</v>
      </c>
      <c r="AG54" s="178">
        <v>0</v>
      </c>
      <c r="AH54" s="178">
        <v>0</v>
      </c>
      <c r="AI54" s="178">
        <v>0</v>
      </c>
      <c r="AJ54" s="178">
        <v>0</v>
      </c>
      <c r="AK54" s="178">
        <v>0</v>
      </c>
      <c r="AL54" s="178">
        <v>0</v>
      </c>
      <c r="AM54" s="178">
        <v>0</v>
      </c>
      <c r="AN54" s="178">
        <v>0</v>
      </c>
      <c r="AO54" s="178">
        <v>0</v>
      </c>
      <c r="AP54" s="178">
        <v>0</v>
      </c>
      <c r="AQ54" s="178">
        <v>0</v>
      </c>
      <c r="AR54" s="178">
        <v>0</v>
      </c>
      <c r="AS54" s="178">
        <v>0</v>
      </c>
      <c r="AT54" s="178">
        <v>0</v>
      </c>
      <c r="AU54" s="178">
        <v>0</v>
      </c>
      <c r="AV54" s="178">
        <v>0</v>
      </c>
      <c r="AW54" s="178">
        <v>0</v>
      </c>
      <c r="AX54" s="178">
        <v>0</v>
      </c>
      <c r="AY54" s="178">
        <v>0</v>
      </c>
      <c r="AZ54" s="178">
        <v>0</v>
      </c>
      <c r="BA54" s="178">
        <v>0</v>
      </c>
      <c r="BB54" s="178">
        <v>0</v>
      </c>
      <c r="BC54" s="178">
        <v>0</v>
      </c>
      <c r="BD54" s="178">
        <v>0</v>
      </c>
      <c r="BE54" s="178">
        <v>0</v>
      </c>
      <c r="BF54" s="178">
        <v>0</v>
      </c>
      <c r="BG54" s="178">
        <v>0</v>
      </c>
      <c r="BH54" s="178">
        <v>0</v>
      </c>
      <c r="BI54" s="178">
        <v>0</v>
      </c>
      <c r="BJ54" s="178">
        <v>0</v>
      </c>
      <c r="BK54" s="178">
        <v>0</v>
      </c>
      <c r="BL54" s="178">
        <v>0</v>
      </c>
      <c r="BM54" s="178">
        <v>0</v>
      </c>
      <c r="BN54" s="178">
        <v>0</v>
      </c>
      <c r="BO54" s="178">
        <v>0</v>
      </c>
      <c r="BP54" s="178">
        <v>0</v>
      </c>
      <c r="BQ54" s="178">
        <v>0</v>
      </c>
      <c r="BR54" s="178">
        <v>0</v>
      </c>
      <c r="BS54" s="178">
        <v>0</v>
      </c>
      <c r="BT54" s="178">
        <v>0</v>
      </c>
      <c r="BU54" s="178">
        <v>0</v>
      </c>
      <c r="BV54" s="178">
        <v>0</v>
      </c>
      <c r="BW54" s="178">
        <v>0</v>
      </c>
      <c r="BX54" s="178">
        <v>0</v>
      </c>
      <c r="BY54" s="178">
        <v>0</v>
      </c>
      <c r="BZ54" s="178">
        <v>0</v>
      </c>
      <c r="CA54" s="178">
        <v>0</v>
      </c>
      <c r="CB54" s="178">
        <v>0</v>
      </c>
      <c r="CC54" s="178">
        <v>0</v>
      </c>
      <c r="CD54" s="178">
        <v>0</v>
      </c>
      <c r="CE54" s="178">
        <v>0</v>
      </c>
      <c r="CF54" s="178">
        <v>0</v>
      </c>
      <c r="CG54" s="178">
        <v>0</v>
      </c>
      <c r="CH54" s="178">
        <v>0</v>
      </c>
      <c r="CI54" s="178">
        <v>0</v>
      </c>
      <c r="CJ54" s="178">
        <v>0</v>
      </c>
      <c r="CK54" s="178">
        <v>0</v>
      </c>
      <c r="CL54" s="178">
        <v>0</v>
      </c>
      <c r="CM54" s="178">
        <v>0</v>
      </c>
      <c r="CN54" s="178">
        <v>0</v>
      </c>
      <c r="CO54" s="178">
        <v>0</v>
      </c>
      <c r="CP54" s="178">
        <v>0</v>
      </c>
      <c r="CQ54" s="178">
        <v>0</v>
      </c>
      <c r="CR54" s="178">
        <v>0</v>
      </c>
      <c r="CS54" s="178">
        <v>0</v>
      </c>
      <c r="CT54" s="178">
        <v>0</v>
      </c>
      <c r="CU54" s="178">
        <v>0</v>
      </c>
      <c r="CV54" s="178">
        <v>0</v>
      </c>
      <c r="CW54" s="178">
        <v>0</v>
      </c>
      <c r="CX54" s="178">
        <v>0</v>
      </c>
      <c r="CY54" s="178">
        <v>0</v>
      </c>
      <c r="CZ54" s="178">
        <v>0</v>
      </c>
      <c r="DA54" s="178">
        <v>0</v>
      </c>
      <c r="DB54" s="178">
        <v>0</v>
      </c>
      <c r="DC54" s="178">
        <v>0</v>
      </c>
      <c r="DD54" s="178">
        <v>0</v>
      </c>
      <c r="DE54" s="178">
        <v>0</v>
      </c>
      <c r="DF54" s="178">
        <v>0</v>
      </c>
      <c r="DG54" s="178">
        <v>0</v>
      </c>
      <c r="DH54" s="178">
        <v>0</v>
      </c>
      <c r="DI54" s="178">
        <v>0</v>
      </c>
      <c r="DJ54" s="178">
        <v>0</v>
      </c>
      <c r="DK54" s="178">
        <v>0</v>
      </c>
      <c r="DL54" s="178">
        <v>0</v>
      </c>
      <c r="DM54" s="178">
        <v>0</v>
      </c>
      <c r="DN54" s="178">
        <v>0</v>
      </c>
      <c r="DO54" s="178">
        <v>0</v>
      </c>
      <c r="DP54" s="178">
        <v>0</v>
      </c>
      <c r="DQ54" s="178">
        <v>0</v>
      </c>
      <c r="DR54" s="178">
        <v>0</v>
      </c>
      <c r="DS54" s="178">
        <v>0</v>
      </c>
      <c r="DT54" s="178">
        <v>0</v>
      </c>
      <c r="DU54" s="178">
        <v>0</v>
      </c>
      <c r="DV54" s="178">
        <v>0</v>
      </c>
      <c r="DW54" s="178">
        <v>0</v>
      </c>
      <c r="DX54" s="178">
        <v>0</v>
      </c>
      <c r="DY54" s="178">
        <v>0</v>
      </c>
      <c r="DZ54" s="178">
        <v>0</v>
      </c>
      <c r="EA54" s="178">
        <v>0</v>
      </c>
      <c r="EB54" s="178">
        <v>0</v>
      </c>
      <c r="EC54" s="178">
        <v>0</v>
      </c>
      <c r="ED54" s="178">
        <v>0</v>
      </c>
      <c r="EE54" s="178">
        <v>0</v>
      </c>
      <c r="EF54" s="178">
        <v>0</v>
      </c>
      <c r="EG54" s="178">
        <v>4150</v>
      </c>
      <c r="EH54" s="178">
        <v>4850</v>
      </c>
    </row>
    <row r="55" spans="1:138" x14ac:dyDescent="0.25">
      <c r="A55" s="49" t="str">
        <f>IPO監視一覧!H52</f>
        <v>D</v>
      </c>
      <c r="B55" s="49" t="str">
        <f>IPO監視一覧!B52</f>
        <v>ナルミヤ・インターナショナル</v>
      </c>
      <c r="C55" s="177">
        <f>株価一覧!E54</f>
        <v>1459</v>
      </c>
      <c r="D55" s="105">
        <f t="shared" ref="D55:D59" ca="1" si="11">AVERAGE(OFFSET(A55,0,COUNTA(G55:XFD55)+5,1,-5))</f>
        <v>573.20000000000005</v>
      </c>
      <c r="E55" s="177">
        <f t="shared" ref="E55:E59" ca="1" si="12">IF(F55=0,0,AVERAGE(OFFSET(A55,0,COUNTA(G55:XFD55)+5,1,-15)))</f>
        <v>0</v>
      </c>
      <c r="F55" s="110">
        <f t="shared" ref="F55:F59" ca="1" si="13">MIN(OFFSET(B55,0,COUNTA(G55:XFD55)+5,1,-15))</f>
        <v>0</v>
      </c>
      <c r="G55" s="178">
        <v>0</v>
      </c>
      <c r="H55" s="178">
        <v>0</v>
      </c>
      <c r="I55" s="178">
        <v>0</v>
      </c>
      <c r="J55" s="178">
        <v>0</v>
      </c>
      <c r="K55" s="178">
        <v>0</v>
      </c>
      <c r="L55" s="178">
        <v>0</v>
      </c>
      <c r="M55" s="178">
        <v>0</v>
      </c>
      <c r="N55" s="178">
        <v>0</v>
      </c>
      <c r="O55" s="178">
        <v>0</v>
      </c>
      <c r="P55" s="178">
        <v>0</v>
      </c>
      <c r="Q55" s="178">
        <v>0</v>
      </c>
      <c r="R55" s="178">
        <v>0</v>
      </c>
      <c r="S55" s="178">
        <v>0</v>
      </c>
      <c r="T55" s="178">
        <v>0</v>
      </c>
      <c r="U55" s="178">
        <v>0</v>
      </c>
      <c r="V55" s="178">
        <v>0</v>
      </c>
      <c r="W55" s="178">
        <v>0</v>
      </c>
      <c r="X55" s="178">
        <v>0</v>
      </c>
      <c r="Y55" s="178">
        <v>0</v>
      </c>
      <c r="Z55" s="178">
        <v>0</v>
      </c>
      <c r="AA55" s="178">
        <v>0</v>
      </c>
      <c r="AB55" s="178">
        <v>0</v>
      </c>
      <c r="AC55" s="178">
        <v>0</v>
      </c>
      <c r="AD55" s="178">
        <v>0</v>
      </c>
      <c r="AE55" s="178">
        <v>0</v>
      </c>
      <c r="AF55" s="178">
        <v>0</v>
      </c>
      <c r="AG55" s="178">
        <v>0</v>
      </c>
      <c r="AH55" s="178">
        <v>0</v>
      </c>
      <c r="AI55" s="178">
        <v>0</v>
      </c>
      <c r="AJ55" s="178">
        <v>0</v>
      </c>
      <c r="AK55" s="178">
        <v>0</v>
      </c>
      <c r="AL55" s="178">
        <v>0</v>
      </c>
      <c r="AM55" s="178">
        <v>0</v>
      </c>
      <c r="AN55" s="178">
        <v>0</v>
      </c>
      <c r="AO55" s="178">
        <v>0</v>
      </c>
      <c r="AP55" s="178">
        <v>0</v>
      </c>
      <c r="AQ55" s="178">
        <v>0</v>
      </c>
      <c r="AR55" s="178">
        <v>0</v>
      </c>
      <c r="AS55" s="178">
        <v>0</v>
      </c>
      <c r="AT55" s="178">
        <v>0</v>
      </c>
      <c r="AU55" s="178">
        <v>0</v>
      </c>
      <c r="AV55" s="178">
        <v>0</v>
      </c>
      <c r="AW55" s="178">
        <v>0</v>
      </c>
      <c r="AX55" s="178">
        <v>0</v>
      </c>
      <c r="AY55" s="178">
        <v>0</v>
      </c>
      <c r="AZ55" s="178">
        <v>0</v>
      </c>
      <c r="BA55" s="178">
        <v>0</v>
      </c>
      <c r="BB55" s="178">
        <v>0</v>
      </c>
      <c r="BC55" s="178">
        <v>0</v>
      </c>
      <c r="BD55" s="178">
        <v>0</v>
      </c>
      <c r="BE55" s="178">
        <v>0</v>
      </c>
      <c r="BF55" s="178">
        <v>0</v>
      </c>
      <c r="BG55" s="178">
        <v>0</v>
      </c>
      <c r="BH55" s="178">
        <v>0</v>
      </c>
      <c r="BI55" s="178">
        <v>0</v>
      </c>
      <c r="BJ55" s="178">
        <v>0</v>
      </c>
      <c r="BK55" s="178">
        <v>0</v>
      </c>
      <c r="BL55" s="178">
        <v>0</v>
      </c>
      <c r="BM55" s="178">
        <v>0</v>
      </c>
      <c r="BN55" s="178">
        <v>0</v>
      </c>
      <c r="BO55" s="178">
        <v>0</v>
      </c>
      <c r="BP55" s="178">
        <v>0</v>
      </c>
      <c r="BQ55" s="178">
        <v>0</v>
      </c>
      <c r="BR55" s="178">
        <v>0</v>
      </c>
      <c r="BS55" s="178">
        <v>0</v>
      </c>
      <c r="BT55" s="178">
        <v>0</v>
      </c>
      <c r="BU55" s="178">
        <v>0</v>
      </c>
      <c r="BV55" s="178">
        <v>0</v>
      </c>
      <c r="BW55" s="178">
        <v>0</v>
      </c>
      <c r="BX55" s="178">
        <v>0</v>
      </c>
      <c r="BY55" s="178">
        <v>0</v>
      </c>
      <c r="BZ55" s="178">
        <v>0</v>
      </c>
      <c r="CA55" s="178">
        <v>0</v>
      </c>
      <c r="CB55" s="178">
        <v>0</v>
      </c>
      <c r="CC55" s="178">
        <v>0</v>
      </c>
      <c r="CD55" s="178">
        <v>0</v>
      </c>
      <c r="CE55" s="178">
        <v>0</v>
      </c>
      <c r="CF55" s="178">
        <v>0</v>
      </c>
      <c r="CG55" s="178">
        <v>0</v>
      </c>
      <c r="CH55" s="178">
        <v>0</v>
      </c>
      <c r="CI55" s="178">
        <v>0</v>
      </c>
      <c r="CJ55" s="178">
        <v>0</v>
      </c>
      <c r="CK55" s="178">
        <v>0</v>
      </c>
      <c r="CL55" s="178">
        <v>0</v>
      </c>
      <c r="CM55" s="178">
        <v>0</v>
      </c>
      <c r="CN55" s="178">
        <v>0</v>
      </c>
      <c r="CO55" s="178">
        <v>0</v>
      </c>
      <c r="CP55" s="178">
        <v>0</v>
      </c>
      <c r="CQ55" s="178">
        <v>0</v>
      </c>
      <c r="CR55" s="178">
        <v>0</v>
      </c>
      <c r="CS55" s="178">
        <v>0</v>
      </c>
      <c r="CT55" s="178">
        <v>0</v>
      </c>
      <c r="CU55" s="178">
        <v>0</v>
      </c>
      <c r="CV55" s="178">
        <v>0</v>
      </c>
      <c r="CW55" s="178">
        <v>0</v>
      </c>
      <c r="CX55" s="178">
        <v>0</v>
      </c>
      <c r="CY55" s="178">
        <v>0</v>
      </c>
      <c r="CZ55" s="178">
        <v>0</v>
      </c>
      <c r="DA55" s="178">
        <v>0</v>
      </c>
      <c r="DB55" s="178">
        <v>0</v>
      </c>
      <c r="DC55" s="178">
        <v>0</v>
      </c>
      <c r="DD55" s="178">
        <v>0</v>
      </c>
      <c r="DE55" s="178">
        <v>0</v>
      </c>
      <c r="DF55" s="178">
        <v>0</v>
      </c>
      <c r="DG55" s="178">
        <v>0</v>
      </c>
      <c r="DH55" s="178">
        <v>0</v>
      </c>
      <c r="DI55" s="178">
        <v>0</v>
      </c>
      <c r="DJ55" s="178">
        <v>0</v>
      </c>
      <c r="DK55" s="178">
        <v>0</v>
      </c>
      <c r="DL55" s="178">
        <v>0</v>
      </c>
      <c r="DM55" s="178">
        <v>0</v>
      </c>
      <c r="DN55" s="178">
        <v>0</v>
      </c>
      <c r="DO55" s="178">
        <v>0</v>
      </c>
      <c r="DP55" s="178">
        <v>0</v>
      </c>
      <c r="DQ55" s="178">
        <v>0</v>
      </c>
      <c r="DR55" s="178">
        <v>0</v>
      </c>
      <c r="DS55" s="178">
        <v>0</v>
      </c>
      <c r="DT55" s="178">
        <v>0</v>
      </c>
      <c r="DU55" s="178">
        <v>0</v>
      </c>
      <c r="DV55" s="178">
        <v>0</v>
      </c>
      <c r="DW55" s="178">
        <v>0</v>
      </c>
      <c r="DX55" s="178">
        <v>0</v>
      </c>
      <c r="DY55" s="178">
        <v>0</v>
      </c>
      <c r="DZ55" s="178">
        <v>0</v>
      </c>
      <c r="EA55" s="178">
        <v>0</v>
      </c>
      <c r="EB55" s="178">
        <v>0</v>
      </c>
      <c r="EC55" s="178">
        <v>0</v>
      </c>
      <c r="ED55" s="178">
        <v>0</v>
      </c>
      <c r="EE55" s="178">
        <v>0</v>
      </c>
      <c r="EF55" s="178">
        <v>0</v>
      </c>
      <c r="EG55" s="178">
        <v>1407</v>
      </c>
      <c r="EH55" s="178">
        <v>1459</v>
      </c>
    </row>
    <row r="56" spans="1:138" x14ac:dyDescent="0.25">
      <c r="A56" s="49" t="str">
        <f>IPO監視一覧!H53</f>
        <v>A</v>
      </c>
      <c r="B56" s="49" t="str">
        <f>IPO監視一覧!B53</f>
        <v>マリオン</v>
      </c>
      <c r="C56" s="177">
        <f>株価一覧!E55</f>
        <v>0</v>
      </c>
      <c r="D56" s="105">
        <f t="shared" ca="1" si="11"/>
        <v>0</v>
      </c>
      <c r="E56" s="177">
        <f t="shared" ca="1" si="12"/>
        <v>0</v>
      </c>
      <c r="F56" s="110">
        <f t="shared" ca="1" si="13"/>
        <v>0</v>
      </c>
      <c r="G56" s="178">
        <v>0</v>
      </c>
      <c r="H56" s="178">
        <v>0</v>
      </c>
      <c r="I56" s="178">
        <v>0</v>
      </c>
      <c r="J56" s="178">
        <v>0</v>
      </c>
      <c r="K56" s="178">
        <v>0</v>
      </c>
      <c r="L56" s="178">
        <v>0</v>
      </c>
      <c r="M56" s="178">
        <v>0</v>
      </c>
      <c r="N56" s="178">
        <v>0</v>
      </c>
      <c r="O56" s="178">
        <v>0</v>
      </c>
      <c r="P56" s="178">
        <v>0</v>
      </c>
      <c r="Q56" s="178">
        <v>0</v>
      </c>
      <c r="R56" s="178">
        <v>0</v>
      </c>
      <c r="S56" s="178">
        <v>0</v>
      </c>
      <c r="T56" s="178">
        <v>0</v>
      </c>
      <c r="U56" s="178">
        <v>0</v>
      </c>
      <c r="V56" s="178">
        <v>0</v>
      </c>
      <c r="W56" s="178">
        <v>0</v>
      </c>
      <c r="X56" s="178">
        <v>0</v>
      </c>
      <c r="Y56" s="178">
        <v>0</v>
      </c>
      <c r="Z56" s="178">
        <v>0</v>
      </c>
      <c r="AA56" s="178">
        <v>0</v>
      </c>
      <c r="AB56" s="178">
        <v>0</v>
      </c>
      <c r="AC56" s="178">
        <v>0</v>
      </c>
      <c r="AD56" s="178">
        <v>0</v>
      </c>
      <c r="AE56" s="178">
        <v>0</v>
      </c>
      <c r="AF56" s="178">
        <v>0</v>
      </c>
      <c r="AG56" s="178">
        <v>0</v>
      </c>
      <c r="AH56" s="178">
        <v>0</v>
      </c>
      <c r="AI56" s="178">
        <v>0</v>
      </c>
      <c r="AJ56" s="178">
        <v>0</v>
      </c>
      <c r="AK56" s="178">
        <v>0</v>
      </c>
      <c r="AL56" s="178">
        <v>0</v>
      </c>
      <c r="AM56" s="178">
        <v>0</v>
      </c>
      <c r="AN56" s="178">
        <v>0</v>
      </c>
      <c r="AO56" s="178">
        <v>0</v>
      </c>
      <c r="AP56" s="178">
        <v>0</v>
      </c>
      <c r="AQ56" s="178">
        <v>0</v>
      </c>
      <c r="AR56" s="178">
        <v>0</v>
      </c>
      <c r="AS56" s="178">
        <v>0</v>
      </c>
      <c r="AT56" s="178">
        <v>0</v>
      </c>
      <c r="AU56" s="178">
        <v>0</v>
      </c>
      <c r="AV56" s="178">
        <v>0</v>
      </c>
      <c r="AW56" s="178">
        <v>0</v>
      </c>
      <c r="AX56" s="178">
        <v>0</v>
      </c>
      <c r="AY56" s="178">
        <v>0</v>
      </c>
      <c r="AZ56" s="178">
        <v>0</v>
      </c>
      <c r="BA56" s="178">
        <v>0</v>
      </c>
      <c r="BB56" s="178">
        <v>0</v>
      </c>
      <c r="BC56" s="178">
        <v>0</v>
      </c>
      <c r="BD56" s="178">
        <v>0</v>
      </c>
      <c r="BE56" s="178">
        <v>0</v>
      </c>
      <c r="BF56" s="178">
        <v>0</v>
      </c>
      <c r="BG56" s="178">
        <v>0</v>
      </c>
      <c r="BH56" s="178">
        <v>0</v>
      </c>
      <c r="BI56" s="178">
        <v>0</v>
      </c>
      <c r="BJ56" s="178">
        <v>0</v>
      </c>
      <c r="BK56" s="178">
        <v>0</v>
      </c>
      <c r="BL56" s="178">
        <v>0</v>
      </c>
      <c r="BM56" s="178">
        <v>0</v>
      </c>
      <c r="BN56" s="178">
        <v>0</v>
      </c>
      <c r="BO56" s="178">
        <v>0</v>
      </c>
      <c r="BP56" s="178">
        <v>0</v>
      </c>
      <c r="BQ56" s="178">
        <v>0</v>
      </c>
      <c r="BR56" s="178">
        <v>0</v>
      </c>
      <c r="BS56" s="178">
        <v>0</v>
      </c>
      <c r="BT56" s="178">
        <v>0</v>
      </c>
      <c r="BU56" s="178">
        <v>0</v>
      </c>
      <c r="BV56" s="178">
        <v>0</v>
      </c>
      <c r="BW56" s="178">
        <v>0</v>
      </c>
      <c r="BX56" s="178">
        <v>0</v>
      </c>
      <c r="BY56" s="178">
        <v>0</v>
      </c>
      <c r="BZ56" s="178">
        <v>0</v>
      </c>
      <c r="CA56" s="178">
        <v>0</v>
      </c>
      <c r="CB56" s="178">
        <v>0</v>
      </c>
      <c r="CC56" s="178">
        <v>0</v>
      </c>
      <c r="CD56" s="178">
        <v>0</v>
      </c>
      <c r="CE56" s="178">
        <v>0</v>
      </c>
      <c r="CF56" s="178">
        <v>0</v>
      </c>
      <c r="CG56" s="178">
        <v>0</v>
      </c>
      <c r="CH56" s="178">
        <v>0</v>
      </c>
      <c r="CI56" s="178">
        <v>0</v>
      </c>
      <c r="CJ56" s="178">
        <v>0</v>
      </c>
      <c r="CK56" s="178">
        <v>0</v>
      </c>
      <c r="CL56" s="178">
        <v>0</v>
      </c>
      <c r="CM56" s="178">
        <v>0</v>
      </c>
      <c r="CN56" s="178">
        <v>0</v>
      </c>
      <c r="CO56" s="178">
        <v>0</v>
      </c>
      <c r="CP56" s="178">
        <v>0</v>
      </c>
      <c r="CQ56" s="178">
        <v>0</v>
      </c>
      <c r="CR56" s="178">
        <v>0</v>
      </c>
      <c r="CS56" s="178">
        <v>0</v>
      </c>
      <c r="CT56" s="178">
        <v>0</v>
      </c>
      <c r="CU56" s="178">
        <v>0</v>
      </c>
      <c r="CV56" s="178">
        <v>0</v>
      </c>
      <c r="CW56" s="178">
        <v>0</v>
      </c>
      <c r="CX56" s="178">
        <v>0</v>
      </c>
      <c r="CY56" s="178">
        <v>0</v>
      </c>
      <c r="CZ56" s="178">
        <v>0</v>
      </c>
      <c r="DA56" s="178">
        <v>0</v>
      </c>
      <c r="DB56" s="178">
        <v>0</v>
      </c>
      <c r="DC56" s="178">
        <v>0</v>
      </c>
      <c r="DD56" s="178">
        <v>0</v>
      </c>
      <c r="DE56" s="178">
        <v>0</v>
      </c>
      <c r="DF56" s="178">
        <v>0</v>
      </c>
      <c r="DG56" s="178">
        <v>0</v>
      </c>
      <c r="DH56" s="178">
        <v>0</v>
      </c>
      <c r="DI56" s="178">
        <v>0</v>
      </c>
      <c r="DJ56" s="178">
        <v>0</v>
      </c>
      <c r="DK56" s="178">
        <v>0</v>
      </c>
      <c r="DL56" s="178">
        <v>0</v>
      </c>
      <c r="DM56" s="178">
        <v>0</v>
      </c>
      <c r="DN56" s="178">
        <v>0</v>
      </c>
      <c r="DO56" s="178">
        <v>0</v>
      </c>
      <c r="DP56" s="178">
        <v>0</v>
      </c>
      <c r="DQ56" s="178">
        <v>0</v>
      </c>
      <c r="DR56" s="178">
        <v>0</v>
      </c>
      <c r="DS56" s="178">
        <v>0</v>
      </c>
      <c r="DT56" s="178">
        <v>0</v>
      </c>
      <c r="DU56" s="178">
        <v>0</v>
      </c>
      <c r="DV56" s="178">
        <v>0</v>
      </c>
      <c r="DW56" s="178">
        <v>0</v>
      </c>
      <c r="DX56" s="178">
        <v>0</v>
      </c>
      <c r="DY56" s="178">
        <v>0</v>
      </c>
      <c r="DZ56" s="178">
        <v>0</v>
      </c>
      <c r="EA56" s="178">
        <v>0</v>
      </c>
      <c r="EB56" s="178">
        <v>0</v>
      </c>
      <c r="EC56" s="178">
        <v>0</v>
      </c>
      <c r="ED56" s="178">
        <v>0</v>
      </c>
      <c r="EE56" s="178">
        <v>0</v>
      </c>
      <c r="EF56" s="178">
        <v>0</v>
      </c>
      <c r="EG56" s="178">
        <v>0</v>
      </c>
      <c r="EH56" s="178">
        <v>0</v>
      </c>
    </row>
    <row r="57" spans="1:138" x14ac:dyDescent="0.25">
      <c r="A57" s="49" t="str">
        <f>IPO監視一覧!H54</f>
        <v>C</v>
      </c>
      <c r="B57" s="49" t="str">
        <f>IPO監視一覧!B54</f>
        <v>香陵住販</v>
      </c>
      <c r="C57" s="177">
        <f>株価一覧!E56</f>
        <v>0</v>
      </c>
      <c r="D57" s="105">
        <f t="shared" ca="1" si="11"/>
        <v>0</v>
      </c>
      <c r="E57" s="177">
        <f t="shared" ca="1" si="12"/>
        <v>0</v>
      </c>
      <c r="F57" s="110">
        <f t="shared" ca="1" si="13"/>
        <v>0</v>
      </c>
      <c r="G57" s="178">
        <v>0</v>
      </c>
      <c r="H57" s="178">
        <v>0</v>
      </c>
      <c r="I57" s="178">
        <v>0</v>
      </c>
      <c r="J57" s="178">
        <v>0</v>
      </c>
      <c r="K57" s="178">
        <v>0</v>
      </c>
      <c r="L57" s="178">
        <v>0</v>
      </c>
      <c r="M57" s="178">
        <v>0</v>
      </c>
      <c r="N57" s="178">
        <v>0</v>
      </c>
      <c r="O57" s="178">
        <v>0</v>
      </c>
      <c r="P57" s="178">
        <v>0</v>
      </c>
      <c r="Q57" s="178">
        <v>0</v>
      </c>
      <c r="R57" s="178">
        <v>0</v>
      </c>
      <c r="S57" s="178">
        <v>0</v>
      </c>
      <c r="T57" s="178">
        <v>0</v>
      </c>
      <c r="U57" s="178">
        <v>0</v>
      </c>
      <c r="V57" s="178">
        <v>0</v>
      </c>
      <c r="W57" s="178">
        <v>0</v>
      </c>
      <c r="X57" s="178">
        <v>0</v>
      </c>
      <c r="Y57" s="178">
        <v>0</v>
      </c>
      <c r="Z57" s="178">
        <v>0</v>
      </c>
      <c r="AA57" s="178">
        <v>0</v>
      </c>
      <c r="AB57" s="178">
        <v>0</v>
      </c>
      <c r="AC57" s="178">
        <v>0</v>
      </c>
      <c r="AD57" s="178">
        <v>0</v>
      </c>
      <c r="AE57" s="178">
        <v>0</v>
      </c>
      <c r="AF57" s="178">
        <v>0</v>
      </c>
      <c r="AG57" s="178">
        <v>0</v>
      </c>
      <c r="AH57" s="178">
        <v>0</v>
      </c>
      <c r="AI57" s="178">
        <v>0</v>
      </c>
      <c r="AJ57" s="178">
        <v>0</v>
      </c>
      <c r="AK57" s="178">
        <v>0</v>
      </c>
      <c r="AL57" s="178">
        <v>0</v>
      </c>
      <c r="AM57" s="178">
        <v>0</v>
      </c>
      <c r="AN57" s="178">
        <v>0</v>
      </c>
      <c r="AO57" s="178">
        <v>0</v>
      </c>
      <c r="AP57" s="178">
        <v>0</v>
      </c>
      <c r="AQ57" s="178">
        <v>0</v>
      </c>
      <c r="AR57" s="178">
        <v>0</v>
      </c>
      <c r="AS57" s="178">
        <v>0</v>
      </c>
      <c r="AT57" s="178">
        <v>0</v>
      </c>
      <c r="AU57" s="178">
        <v>0</v>
      </c>
      <c r="AV57" s="178">
        <v>0</v>
      </c>
      <c r="AW57" s="178">
        <v>0</v>
      </c>
      <c r="AX57" s="178">
        <v>0</v>
      </c>
      <c r="AY57" s="178">
        <v>0</v>
      </c>
      <c r="AZ57" s="178">
        <v>0</v>
      </c>
      <c r="BA57" s="178">
        <v>0</v>
      </c>
      <c r="BB57" s="178">
        <v>0</v>
      </c>
      <c r="BC57" s="178">
        <v>0</v>
      </c>
      <c r="BD57" s="178">
        <v>0</v>
      </c>
      <c r="BE57" s="178">
        <v>0</v>
      </c>
      <c r="BF57" s="178">
        <v>0</v>
      </c>
      <c r="BG57" s="178">
        <v>0</v>
      </c>
      <c r="BH57" s="178">
        <v>0</v>
      </c>
      <c r="BI57" s="178">
        <v>0</v>
      </c>
      <c r="BJ57" s="178">
        <v>0</v>
      </c>
      <c r="BK57" s="178">
        <v>0</v>
      </c>
      <c r="BL57" s="178">
        <v>0</v>
      </c>
      <c r="BM57" s="178">
        <v>0</v>
      </c>
      <c r="BN57" s="178">
        <v>0</v>
      </c>
      <c r="BO57" s="178">
        <v>0</v>
      </c>
      <c r="BP57" s="178">
        <v>0</v>
      </c>
      <c r="BQ57" s="178">
        <v>0</v>
      </c>
      <c r="BR57" s="178">
        <v>0</v>
      </c>
      <c r="BS57" s="178">
        <v>0</v>
      </c>
      <c r="BT57" s="178">
        <v>0</v>
      </c>
      <c r="BU57" s="178">
        <v>0</v>
      </c>
      <c r="BV57" s="178">
        <v>0</v>
      </c>
      <c r="BW57" s="178">
        <v>0</v>
      </c>
      <c r="BX57" s="178">
        <v>0</v>
      </c>
      <c r="BY57" s="178">
        <v>0</v>
      </c>
      <c r="BZ57" s="178">
        <v>0</v>
      </c>
      <c r="CA57" s="178">
        <v>0</v>
      </c>
      <c r="CB57" s="178">
        <v>0</v>
      </c>
      <c r="CC57" s="178">
        <v>0</v>
      </c>
      <c r="CD57" s="178">
        <v>0</v>
      </c>
      <c r="CE57" s="178">
        <v>0</v>
      </c>
      <c r="CF57" s="178">
        <v>0</v>
      </c>
      <c r="CG57" s="178">
        <v>0</v>
      </c>
      <c r="CH57" s="178">
        <v>0</v>
      </c>
      <c r="CI57" s="178">
        <v>0</v>
      </c>
      <c r="CJ57" s="178">
        <v>0</v>
      </c>
      <c r="CK57" s="178">
        <v>0</v>
      </c>
      <c r="CL57" s="178">
        <v>0</v>
      </c>
      <c r="CM57" s="178">
        <v>0</v>
      </c>
      <c r="CN57" s="178">
        <v>0</v>
      </c>
      <c r="CO57" s="178">
        <v>0</v>
      </c>
      <c r="CP57" s="178">
        <v>0</v>
      </c>
      <c r="CQ57" s="178">
        <v>0</v>
      </c>
      <c r="CR57" s="178">
        <v>0</v>
      </c>
      <c r="CS57" s="178">
        <v>0</v>
      </c>
      <c r="CT57" s="178">
        <v>0</v>
      </c>
      <c r="CU57" s="178">
        <v>0</v>
      </c>
      <c r="CV57" s="178">
        <v>0</v>
      </c>
      <c r="CW57" s="178">
        <v>0</v>
      </c>
      <c r="CX57" s="178">
        <v>0</v>
      </c>
      <c r="CY57" s="178">
        <v>0</v>
      </c>
      <c r="CZ57" s="178">
        <v>0</v>
      </c>
      <c r="DA57" s="178">
        <v>0</v>
      </c>
      <c r="DB57" s="178">
        <v>0</v>
      </c>
      <c r="DC57" s="178">
        <v>0</v>
      </c>
      <c r="DD57" s="178">
        <v>0</v>
      </c>
      <c r="DE57" s="178">
        <v>0</v>
      </c>
      <c r="DF57" s="178">
        <v>0</v>
      </c>
      <c r="DG57" s="178">
        <v>0</v>
      </c>
      <c r="DH57" s="178">
        <v>0</v>
      </c>
      <c r="DI57" s="178">
        <v>0</v>
      </c>
      <c r="DJ57" s="178">
        <v>0</v>
      </c>
      <c r="DK57" s="178">
        <v>0</v>
      </c>
      <c r="DL57" s="178">
        <v>0</v>
      </c>
      <c r="DM57" s="178">
        <v>0</v>
      </c>
      <c r="DN57" s="178">
        <v>0</v>
      </c>
      <c r="DO57" s="178">
        <v>0</v>
      </c>
      <c r="DP57" s="178">
        <v>0</v>
      </c>
      <c r="DQ57" s="178">
        <v>0</v>
      </c>
      <c r="DR57" s="178">
        <v>0</v>
      </c>
      <c r="DS57" s="178">
        <v>0</v>
      </c>
      <c r="DT57" s="178">
        <v>0</v>
      </c>
      <c r="DU57" s="178">
        <v>0</v>
      </c>
      <c r="DV57" s="178">
        <v>0</v>
      </c>
      <c r="DW57" s="178">
        <v>0</v>
      </c>
      <c r="DX57" s="178">
        <v>0</v>
      </c>
      <c r="DY57" s="178">
        <v>0</v>
      </c>
      <c r="DZ57" s="178">
        <v>0</v>
      </c>
      <c r="EA57" s="178">
        <v>0</v>
      </c>
      <c r="EB57" s="178">
        <v>0</v>
      </c>
      <c r="EC57" s="178">
        <v>0</v>
      </c>
      <c r="ED57" s="178">
        <v>0</v>
      </c>
      <c r="EE57" s="178">
        <v>0</v>
      </c>
      <c r="EF57" s="178">
        <v>0</v>
      </c>
      <c r="EG57" s="178">
        <v>0</v>
      </c>
      <c r="EH57" s="178">
        <v>0</v>
      </c>
    </row>
    <row r="58" spans="1:138" x14ac:dyDescent="0.25">
      <c r="A58" s="49" t="str">
        <f>IPO監視一覧!H55</f>
        <v>A</v>
      </c>
      <c r="B58" s="49" t="str">
        <f>IPO監視一覧!B55</f>
        <v>アズーム</v>
      </c>
      <c r="C58" s="177">
        <f>株価一覧!E57</f>
        <v>0</v>
      </c>
      <c r="D58" s="105">
        <f t="shared" ca="1" si="11"/>
        <v>0</v>
      </c>
      <c r="E58" s="177">
        <f t="shared" ca="1" si="12"/>
        <v>0</v>
      </c>
      <c r="F58" s="110">
        <f t="shared" ca="1" si="13"/>
        <v>0</v>
      </c>
      <c r="G58" s="178">
        <v>0</v>
      </c>
      <c r="H58" s="178">
        <v>0</v>
      </c>
      <c r="I58" s="178">
        <v>0</v>
      </c>
      <c r="J58" s="178">
        <v>0</v>
      </c>
      <c r="K58" s="178">
        <v>0</v>
      </c>
      <c r="L58" s="178">
        <v>0</v>
      </c>
      <c r="M58" s="178">
        <v>0</v>
      </c>
      <c r="N58" s="178">
        <v>0</v>
      </c>
      <c r="O58" s="178">
        <v>0</v>
      </c>
      <c r="P58" s="178">
        <v>0</v>
      </c>
      <c r="Q58" s="178">
        <v>0</v>
      </c>
      <c r="R58" s="178">
        <v>0</v>
      </c>
      <c r="S58" s="178">
        <v>0</v>
      </c>
      <c r="T58" s="178">
        <v>0</v>
      </c>
      <c r="U58" s="178">
        <v>0</v>
      </c>
      <c r="V58" s="178">
        <v>0</v>
      </c>
      <c r="W58" s="178">
        <v>0</v>
      </c>
      <c r="X58" s="178">
        <v>0</v>
      </c>
      <c r="Y58" s="178">
        <v>0</v>
      </c>
      <c r="Z58" s="178">
        <v>0</v>
      </c>
      <c r="AA58" s="178">
        <v>0</v>
      </c>
      <c r="AB58" s="178">
        <v>0</v>
      </c>
      <c r="AC58" s="178">
        <v>0</v>
      </c>
      <c r="AD58" s="178">
        <v>0</v>
      </c>
      <c r="AE58" s="178">
        <v>0</v>
      </c>
      <c r="AF58" s="178">
        <v>0</v>
      </c>
      <c r="AG58" s="178">
        <v>0</v>
      </c>
      <c r="AH58" s="178">
        <v>0</v>
      </c>
      <c r="AI58" s="178">
        <v>0</v>
      </c>
      <c r="AJ58" s="178">
        <v>0</v>
      </c>
      <c r="AK58" s="178">
        <v>0</v>
      </c>
      <c r="AL58" s="178">
        <v>0</v>
      </c>
      <c r="AM58" s="178">
        <v>0</v>
      </c>
      <c r="AN58" s="178">
        <v>0</v>
      </c>
      <c r="AO58" s="178">
        <v>0</v>
      </c>
      <c r="AP58" s="178">
        <v>0</v>
      </c>
      <c r="AQ58" s="178">
        <v>0</v>
      </c>
      <c r="AR58" s="178">
        <v>0</v>
      </c>
      <c r="AS58" s="178">
        <v>0</v>
      </c>
      <c r="AT58" s="178">
        <v>0</v>
      </c>
      <c r="AU58" s="178">
        <v>0</v>
      </c>
      <c r="AV58" s="178">
        <v>0</v>
      </c>
      <c r="AW58" s="178">
        <v>0</v>
      </c>
      <c r="AX58" s="178">
        <v>0</v>
      </c>
      <c r="AY58" s="178">
        <v>0</v>
      </c>
      <c r="AZ58" s="178">
        <v>0</v>
      </c>
      <c r="BA58" s="178">
        <v>0</v>
      </c>
      <c r="BB58" s="178">
        <v>0</v>
      </c>
      <c r="BC58" s="178">
        <v>0</v>
      </c>
      <c r="BD58" s="178">
        <v>0</v>
      </c>
      <c r="BE58" s="178">
        <v>0</v>
      </c>
      <c r="BF58" s="178">
        <v>0</v>
      </c>
      <c r="BG58" s="178">
        <v>0</v>
      </c>
      <c r="BH58" s="178">
        <v>0</v>
      </c>
      <c r="BI58" s="178">
        <v>0</v>
      </c>
      <c r="BJ58" s="178">
        <v>0</v>
      </c>
      <c r="BK58" s="178">
        <v>0</v>
      </c>
      <c r="BL58" s="178">
        <v>0</v>
      </c>
      <c r="BM58" s="178">
        <v>0</v>
      </c>
      <c r="BN58" s="178">
        <v>0</v>
      </c>
      <c r="BO58" s="178">
        <v>0</v>
      </c>
      <c r="BP58" s="178">
        <v>0</v>
      </c>
      <c r="BQ58" s="178">
        <v>0</v>
      </c>
      <c r="BR58" s="178">
        <v>0</v>
      </c>
      <c r="BS58" s="178">
        <v>0</v>
      </c>
      <c r="BT58" s="178">
        <v>0</v>
      </c>
      <c r="BU58" s="178">
        <v>0</v>
      </c>
      <c r="BV58" s="178">
        <v>0</v>
      </c>
      <c r="BW58" s="178">
        <v>0</v>
      </c>
      <c r="BX58" s="178">
        <v>0</v>
      </c>
      <c r="BY58" s="178">
        <v>0</v>
      </c>
      <c r="BZ58" s="178">
        <v>0</v>
      </c>
      <c r="CA58" s="178">
        <v>0</v>
      </c>
      <c r="CB58" s="178">
        <v>0</v>
      </c>
      <c r="CC58" s="178">
        <v>0</v>
      </c>
      <c r="CD58" s="178">
        <v>0</v>
      </c>
      <c r="CE58" s="178">
        <v>0</v>
      </c>
      <c r="CF58" s="178">
        <v>0</v>
      </c>
      <c r="CG58" s="178">
        <v>0</v>
      </c>
      <c r="CH58" s="178">
        <v>0</v>
      </c>
      <c r="CI58" s="178">
        <v>0</v>
      </c>
      <c r="CJ58" s="178">
        <v>0</v>
      </c>
      <c r="CK58" s="178">
        <v>0</v>
      </c>
      <c r="CL58" s="178">
        <v>0</v>
      </c>
      <c r="CM58" s="178">
        <v>0</v>
      </c>
      <c r="CN58" s="178">
        <v>0</v>
      </c>
      <c r="CO58" s="178">
        <v>0</v>
      </c>
      <c r="CP58" s="178">
        <v>0</v>
      </c>
      <c r="CQ58" s="178">
        <v>0</v>
      </c>
      <c r="CR58" s="178">
        <v>0</v>
      </c>
      <c r="CS58" s="178">
        <v>0</v>
      </c>
      <c r="CT58" s="178">
        <v>0</v>
      </c>
      <c r="CU58" s="178">
        <v>0</v>
      </c>
      <c r="CV58" s="178">
        <v>0</v>
      </c>
      <c r="CW58" s="178">
        <v>0</v>
      </c>
      <c r="CX58" s="178">
        <v>0</v>
      </c>
      <c r="CY58" s="178">
        <v>0</v>
      </c>
      <c r="CZ58" s="178">
        <v>0</v>
      </c>
      <c r="DA58" s="178">
        <v>0</v>
      </c>
      <c r="DB58" s="178">
        <v>0</v>
      </c>
      <c r="DC58" s="178">
        <v>0</v>
      </c>
      <c r="DD58" s="178">
        <v>0</v>
      </c>
      <c r="DE58" s="178">
        <v>0</v>
      </c>
      <c r="DF58" s="178">
        <v>0</v>
      </c>
      <c r="DG58" s="178">
        <v>0</v>
      </c>
      <c r="DH58" s="178">
        <v>0</v>
      </c>
      <c r="DI58" s="178">
        <v>0</v>
      </c>
      <c r="DJ58" s="178">
        <v>0</v>
      </c>
      <c r="DK58" s="178">
        <v>0</v>
      </c>
      <c r="DL58" s="178">
        <v>0</v>
      </c>
      <c r="DM58" s="178">
        <v>0</v>
      </c>
      <c r="DN58" s="178">
        <v>0</v>
      </c>
      <c r="DO58" s="178">
        <v>0</v>
      </c>
      <c r="DP58" s="178">
        <v>0</v>
      </c>
      <c r="DQ58" s="178">
        <v>0</v>
      </c>
      <c r="DR58" s="178">
        <v>0</v>
      </c>
      <c r="DS58" s="178">
        <v>0</v>
      </c>
      <c r="DT58" s="178">
        <v>0</v>
      </c>
      <c r="DU58" s="178">
        <v>0</v>
      </c>
      <c r="DV58" s="178">
        <v>0</v>
      </c>
      <c r="DW58" s="178">
        <v>0</v>
      </c>
      <c r="DX58" s="178">
        <v>0</v>
      </c>
      <c r="DY58" s="178">
        <v>0</v>
      </c>
      <c r="DZ58" s="178">
        <v>0</v>
      </c>
      <c r="EA58" s="178">
        <v>0</v>
      </c>
      <c r="EB58" s="178">
        <v>0</v>
      </c>
      <c r="EC58" s="178">
        <v>0</v>
      </c>
      <c r="ED58" s="178">
        <v>0</v>
      </c>
      <c r="EE58" s="178">
        <v>0</v>
      </c>
      <c r="EF58" s="178">
        <v>0</v>
      </c>
      <c r="EG58" s="178">
        <v>0</v>
      </c>
      <c r="EH58" s="178">
        <v>0</v>
      </c>
    </row>
    <row r="59" spans="1:138" x14ac:dyDescent="0.25">
      <c r="A59" s="49" t="str">
        <f>IPO監視一覧!H56</f>
        <v>C</v>
      </c>
      <c r="B59" s="49" t="str">
        <f>IPO監視一覧!B56</f>
        <v>テノ．HD</v>
      </c>
      <c r="C59" s="177">
        <f>株価一覧!E58</f>
        <v>0</v>
      </c>
      <c r="D59" s="105">
        <f t="shared" ca="1" si="11"/>
        <v>0</v>
      </c>
      <c r="E59" s="177">
        <f t="shared" ca="1" si="12"/>
        <v>0</v>
      </c>
      <c r="F59" s="110">
        <f t="shared" ca="1" si="13"/>
        <v>0</v>
      </c>
      <c r="G59" s="178">
        <v>0</v>
      </c>
      <c r="H59" s="178">
        <v>0</v>
      </c>
      <c r="I59" s="178">
        <v>0</v>
      </c>
      <c r="J59" s="178">
        <v>0</v>
      </c>
      <c r="K59" s="178">
        <v>0</v>
      </c>
      <c r="L59" s="178">
        <v>0</v>
      </c>
      <c r="M59" s="178">
        <v>0</v>
      </c>
      <c r="N59" s="178">
        <v>0</v>
      </c>
      <c r="O59" s="178">
        <v>0</v>
      </c>
      <c r="P59" s="178">
        <v>0</v>
      </c>
      <c r="Q59" s="178">
        <v>0</v>
      </c>
      <c r="R59" s="178">
        <v>0</v>
      </c>
      <c r="S59" s="178">
        <v>0</v>
      </c>
      <c r="T59" s="178">
        <v>0</v>
      </c>
      <c r="U59" s="178">
        <v>0</v>
      </c>
      <c r="V59" s="178">
        <v>0</v>
      </c>
      <c r="W59" s="178">
        <v>0</v>
      </c>
      <c r="X59" s="178">
        <v>0</v>
      </c>
      <c r="Y59" s="178">
        <v>0</v>
      </c>
      <c r="Z59" s="178">
        <v>0</v>
      </c>
      <c r="AA59" s="178">
        <v>0</v>
      </c>
      <c r="AB59" s="178">
        <v>0</v>
      </c>
      <c r="AC59" s="178">
        <v>0</v>
      </c>
      <c r="AD59" s="178">
        <v>0</v>
      </c>
      <c r="AE59" s="178">
        <v>0</v>
      </c>
      <c r="AF59" s="178">
        <v>0</v>
      </c>
      <c r="AG59" s="178">
        <v>0</v>
      </c>
      <c r="AH59" s="178">
        <v>0</v>
      </c>
      <c r="AI59" s="178">
        <v>0</v>
      </c>
      <c r="AJ59" s="178">
        <v>0</v>
      </c>
      <c r="AK59" s="178">
        <v>0</v>
      </c>
      <c r="AL59" s="178">
        <v>0</v>
      </c>
      <c r="AM59" s="178">
        <v>0</v>
      </c>
      <c r="AN59" s="178">
        <v>0</v>
      </c>
      <c r="AO59" s="178">
        <v>0</v>
      </c>
      <c r="AP59" s="178">
        <v>0</v>
      </c>
      <c r="AQ59" s="178">
        <v>0</v>
      </c>
      <c r="AR59" s="178">
        <v>0</v>
      </c>
      <c r="AS59" s="178">
        <v>0</v>
      </c>
      <c r="AT59" s="178">
        <v>0</v>
      </c>
      <c r="AU59" s="178">
        <v>0</v>
      </c>
      <c r="AV59" s="178">
        <v>0</v>
      </c>
      <c r="AW59" s="178">
        <v>0</v>
      </c>
      <c r="AX59" s="178">
        <v>0</v>
      </c>
      <c r="AY59" s="178">
        <v>0</v>
      </c>
      <c r="AZ59" s="178">
        <v>0</v>
      </c>
      <c r="BA59" s="178">
        <v>0</v>
      </c>
      <c r="BB59" s="178">
        <v>0</v>
      </c>
      <c r="BC59" s="178">
        <v>0</v>
      </c>
      <c r="BD59" s="178">
        <v>0</v>
      </c>
      <c r="BE59" s="178">
        <v>0</v>
      </c>
      <c r="BF59" s="178">
        <v>0</v>
      </c>
      <c r="BG59" s="178">
        <v>0</v>
      </c>
      <c r="BH59" s="178">
        <v>0</v>
      </c>
      <c r="BI59" s="178">
        <v>0</v>
      </c>
      <c r="BJ59" s="178">
        <v>0</v>
      </c>
      <c r="BK59" s="178">
        <v>0</v>
      </c>
      <c r="BL59" s="178">
        <v>0</v>
      </c>
      <c r="BM59" s="178">
        <v>0</v>
      </c>
      <c r="BN59" s="178">
        <v>0</v>
      </c>
      <c r="BO59" s="178">
        <v>0</v>
      </c>
      <c r="BP59" s="178">
        <v>0</v>
      </c>
      <c r="BQ59" s="178">
        <v>0</v>
      </c>
      <c r="BR59" s="178">
        <v>0</v>
      </c>
      <c r="BS59" s="178">
        <v>0</v>
      </c>
      <c r="BT59" s="178">
        <v>0</v>
      </c>
      <c r="BU59" s="178">
        <v>0</v>
      </c>
      <c r="BV59" s="178">
        <v>0</v>
      </c>
      <c r="BW59" s="178">
        <v>0</v>
      </c>
      <c r="BX59" s="178">
        <v>0</v>
      </c>
      <c r="BY59" s="178">
        <v>0</v>
      </c>
      <c r="BZ59" s="178">
        <v>0</v>
      </c>
      <c r="CA59" s="178">
        <v>0</v>
      </c>
      <c r="CB59" s="178">
        <v>0</v>
      </c>
      <c r="CC59" s="178">
        <v>0</v>
      </c>
      <c r="CD59" s="178">
        <v>0</v>
      </c>
      <c r="CE59" s="178">
        <v>0</v>
      </c>
      <c r="CF59" s="178">
        <v>0</v>
      </c>
      <c r="CG59" s="178">
        <v>0</v>
      </c>
      <c r="CH59" s="178">
        <v>0</v>
      </c>
      <c r="CI59" s="178">
        <v>0</v>
      </c>
      <c r="CJ59" s="178">
        <v>0</v>
      </c>
      <c r="CK59" s="178">
        <v>0</v>
      </c>
      <c r="CL59" s="178">
        <v>0</v>
      </c>
      <c r="CM59" s="178">
        <v>0</v>
      </c>
      <c r="CN59" s="178">
        <v>0</v>
      </c>
      <c r="CO59" s="178">
        <v>0</v>
      </c>
      <c r="CP59" s="178">
        <v>0</v>
      </c>
      <c r="CQ59" s="178">
        <v>0</v>
      </c>
      <c r="CR59" s="178">
        <v>0</v>
      </c>
      <c r="CS59" s="178">
        <v>0</v>
      </c>
      <c r="CT59" s="178">
        <v>0</v>
      </c>
      <c r="CU59" s="178">
        <v>0</v>
      </c>
      <c r="CV59" s="178">
        <v>0</v>
      </c>
      <c r="CW59" s="178">
        <v>0</v>
      </c>
      <c r="CX59" s="178">
        <v>0</v>
      </c>
      <c r="CY59" s="178">
        <v>0</v>
      </c>
      <c r="CZ59" s="178">
        <v>0</v>
      </c>
      <c r="DA59" s="178">
        <v>0</v>
      </c>
      <c r="DB59" s="178">
        <v>0</v>
      </c>
      <c r="DC59" s="178">
        <v>0</v>
      </c>
      <c r="DD59" s="178">
        <v>0</v>
      </c>
      <c r="DE59" s="178">
        <v>0</v>
      </c>
      <c r="DF59" s="178">
        <v>0</v>
      </c>
      <c r="DG59" s="178">
        <v>0</v>
      </c>
      <c r="DH59" s="178">
        <v>0</v>
      </c>
      <c r="DI59" s="178">
        <v>0</v>
      </c>
      <c r="DJ59" s="178">
        <v>0</v>
      </c>
      <c r="DK59" s="178">
        <v>0</v>
      </c>
      <c r="DL59" s="178">
        <v>0</v>
      </c>
      <c r="DM59" s="178">
        <v>0</v>
      </c>
      <c r="DN59" s="178">
        <v>0</v>
      </c>
      <c r="DO59" s="178">
        <v>0</v>
      </c>
      <c r="DP59" s="178">
        <v>0</v>
      </c>
      <c r="DQ59" s="178">
        <v>0</v>
      </c>
      <c r="DR59" s="178">
        <v>0</v>
      </c>
      <c r="DS59" s="178">
        <v>0</v>
      </c>
      <c r="DT59" s="178">
        <v>0</v>
      </c>
      <c r="DU59" s="178">
        <v>0</v>
      </c>
      <c r="DV59" s="178">
        <v>0</v>
      </c>
      <c r="DW59" s="178">
        <v>0</v>
      </c>
      <c r="DX59" s="178">
        <v>0</v>
      </c>
      <c r="DY59" s="178">
        <v>0</v>
      </c>
      <c r="DZ59" s="178">
        <v>0</v>
      </c>
      <c r="EA59" s="178">
        <v>0</v>
      </c>
      <c r="EB59" s="178">
        <v>0</v>
      </c>
      <c r="EC59" s="178">
        <v>0</v>
      </c>
      <c r="ED59" s="178">
        <v>0</v>
      </c>
      <c r="EE59" s="178">
        <v>0</v>
      </c>
      <c r="EF59" s="178">
        <v>0</v>
      </c>
      <c r="EG59" s="178">
        <v>0</v>
      </c>
      <c r="EH59" s="178">
        <v>0</v>
      </c>
    </row>
    <row r="60" spans="1:138" x14ac:dyDescent="0.25">
      <c r="A60" s="49" t="str">
        <f>IPO監視一覧!H57</f>
        <v>B</v>
      </c>
      <c r="B60" s="49" t="str">
        <f>IPO監視一覧!B57</f>
        <v>イーエムネットジャパン</v>
      </c>
      <c r="C60" s="177">
        <f>株価一覧!E59</f>
        <v>0</v>
      </c>
      <c r="D60" s="105">
        <f t="shared" ref="D60:D61" ca="1" si="14">AVERAGE(OFFSET(A60,0,COUNTA(G60:XFD60)+5,1,-5))</f>
        <v>0</v>
      </c>
      <c r="E60" s="177">
        <f t="shared" ref="E60:E61" ca="1" si="15">IF(F60=0,0,AVERAGE(OFFSET(A60,0,COUNTA(G60:XFD60)+5,1,-15)))</f>
        <v>0</v>
      </c>
      <c r="F60" s="110">
        <f t="shared" ref="F60:F61" ca="1" si="16">MIN(OFFSET(B60,0,COUNTA(G60:XFD60)+5,1,-15))</f>
        <v>0</v>
      </c>
      <c r="G60" s="178">
        <v>0</v>
      </c>
      <c r="H60" s="178">
        <v>0</v>
      </c>
      <c r="I60" s="178">
        <v>0</v>
      </c>
      <c r="J60" s="178">
        <v>0</v>
      </c>
      <c r="K60" s="178">
        <v>0</v>
      </c>
      <c r="L60" s="178">
        <v>0</v>
      </c>
      <c r="M60" s="178">
        <v>0</v>
      </c>
      <c r="N60" s="178">
        <v>0</v>
      </c>
      <c r="O60" s="178">
        <v>0</v>
      </c>
      <c r="P60" s="178">
        <v>0</v>
      </c>
      <c r="Q60" s="178">
        <v>0</v>
      </c>
      <c r="R60" s="178">
        <v>0</v>
      </c>
      <c r="S60" s="178">
        <v>0</v>
      </c>
      <c r="T60" s="178">
        <v>0</v>
      </c>
      <c r="U60" s="178">
        <v>0</v>
      </c>
      <c r="V60" s="178">
        <v>0</v>
      </c>
      <c r="W60" s="178">
        <v>0</v>
      </c>
      <c r="X60" s="178">
        <v>0</v>
      </c>
      <c r="Y60" s="178">
        <v>0</v>
      </c>
      <c r="Z60" s="178">
        <v>0</v>
      </c>
      <c r="AA60" s="178">
        <v>0</v>
      </c>
      <c r="AB60" s="178">
        <v>0</v>
      </c>
      <c r="AC60" s="178">
        <v>0</v>
      </c>
      <c r="AD60" s="178">
        <v>0</v>
      </c>
      <c r="AE60" s="178">
        <v>0</v>
      </c>
      <c r="AF60" s="178">
        <v>0</v>
      </c>
      <c r="AG60" s="178">
        <v>0</v>
      </c>
      <c r="AH60" s="178">
        <v>0</v>
      </c>
      <c r="AI60" s="178">
        <v>0</v>
      </c>
      <c r="AJ60" s="178">
        <v>0</v>
      </c>
      <c r="AK60" s="178">
        <v>0</v>
      </c>
      <c r="AL60" s="178">
        <v>0</v>
      </c>
      <c r="AM60" s="178">
        <v>0</v>
      </c>
      <c r="AN60" s="178">
        <v>0</v>
      </c>
      <c r="AO60" s="178">
        <v>0</v>
      </c>
      <c r="AP60" s="178">
        <v>0</v>
      </c>
      <c r="AQ60" s="178">
        <v>0</v>
      </c>
      <c r="AR60" s="178">
        <v>0</v>
      </c>
      <c r="AS60" s="178">
        <v>0</v>
      </c>
      <c r="AT60" s="178">
        <v>0</v>
      </c>
      <c r="AU60" s="178">
        <v>0</v>
      </c>
      <c r="AV60" s="178">
        <v>0</v>
      </c>
      <c r="AW60" s="178">
        <v>0</v>
      </c>
      <c r="AX60" s="178">
        <v>0</v>
      </c>
      <c r="AY60" s="178">
        <v>0</v>
      </c>
      <c r="AZ60" s="178">
        <v>0</v>
      </c>
      <c r="BA60" s="178">
        <v>0</v>
      </c>
      <c r="BB60" s="178">
        <v>0</v>
      </c>
      <c r="BC60" s="178">
        <v>0</v>
      </c>
      <c r="BD60" s="178">
        <v>0</v>
      </c>
      <c r="BE60" s="178">
        <v>0</v>
      </c>
      <c r="BF60" s="178">
        <v>0</v>
      </c>
      <c r="BG60" s="178">
        <v>0</v>
      </c>
      <c r="BH60" s="178">
        <v>0</v>
      </c>
      <c r="BI60" s="178">
        <v>0</v>
      </c>
      <c r="BJ60" s="178">
        <v>0</v>
      </c>
      <c r="BK60" s="178">
        <v>0</v>
      </c>
      <c r="BL60" s="178">
        <v>0</v>
      </c>
      <c r="BM60" s="178">
        <v>0</v>
      </c>
      <c r="BN60" s="178">
        <v>0</v>
      </c>
      <c r="BO60" s="178">
        <v>0</v>
      </c>
      <c r="BP60" s="178">
        <v>0</v>
      </c>
      <c r="BQ60" s="178">
        <v>0</v>
      </c>
      <c r="BR60" s="178">
        <v>0</v>
      </c>
      <c r="BS60" s="178">
        <v>0</v>
      </c>
      <c r="BT60" s="178">
        <v>0</v>
      </c>
      <c r="BU60" s="178">
        <v>0</v>
      </c>
      <c r="BV60" s="178">
        <v>0</v>
      </c>
      <c r="BW60" s="178">
        <v>0</v>
      </c>
      <c r="BX60" s="178">
        <v>0</v>
      </c>
      <c r="BY60" s="178">
        <v>0</v>
      </c>
      <c r="BZ60" s="178">
        <v>0</v>
      </c>
      <c r="CA60" s="178">
        <v>0</v>
      </c>
      <c r="CB60" s="178">
        <v>0</v>
      </c>
      <c r="CC60" s="178">
        <v>0</v>
      </c>
      <c r="CD60" s="178">
        <v>0</v>
      </c>
      <c r="CE60" s="178">
        <v>0</v>
      </c>
      <c r="CF60" s="178">
        <v>0</v>
      </c>
      <c r="CG60" s="178">
        <v>0</v>
      </c>
      <c r="CH60" s="178">
        <v>0</v>
      </c>
      <c r="CI60" s="178">
        <v>0</v>
      </c>
      <c r="CJ60" s="178">
        <v>0</v>
      </c>
      <c r="CK60" s="178">
        <v>0</v>
      </c>
      <c r="CL60" s="178">
        <v>0</v>
      </c>
      <c r="CM60" s="178">
        <v>0</v>
      </c>
      <c r="CN60" s="178">
        <v>0</v>
      </c>
      <c r="CO60" s="178">
        <v>0</v>
      </c>
      <c r="CP60" s="178">
        <v>0</v>
      </c>
      <c r="CQ60" s="178">
        <v>0</v>
      </c>
      <c r="CR60" s="178">
        <v>0</v>
      </c>
      <c r="CS60" s="178">
        <v>0</v>
      </c>
      <c r="CT60" s="178">
        <v>0</v>
      </c>
      <c r="CU60" s="178">
        <v>0</v>
      </c>
      <c r="CV60" s="178">
        <v>0</v>
      </c>
      <c r="CW60" s="178">
        <v>0</v>
      </c>
      <c r="CX60" s="178">
        <v>0</v>
      </c>
      <c r="CY60" s="178">
        <v>0</v>
      </c>
      <c r="CZ60" s="178">
        <v>0</v>
      </c>
      <c r="DA60" s="178">
        <v>0</v>
      </c>
      <c r="DB60" s="178">
        <v>0</v>
      </c>
      <c r="DC60" s="178">
        <v>0</v>
      </c>
      <c r="DD60" s="178">
        <v>0</v>
      </c>
      <c r="DE60" s="178">
        <v>0</v>
      </c>
      <c r="DF60" s="178">
        <v>0</v>
      </c>
      <c r="DG60" s="178">
        <v>0</v>
      </c>
      <c r="DH60" s="178">
        <v>0</v>
      </c>
      <c r="DI60" s="178">
        <v>0</v>
      </c>
      <c r="DJ60" s="178">
        <v>0</v>
      </c>
      <c r="DK60" s="178">
        <v>0</v>
      </c>
      <c r="DL60" s="178">
        <v>0</v>
      </c>
      <c r="DM60" s="178">
        <v>0</v>
      </c>
      <c r="DN60" s="178">
        <v>0</v>
      </c>
      <c r="DO60" s="178">
        <v>0</v>
      </c>
      <c r="DP60" s="178">
        <v>0</v>
      </c>
      <c r="DQ60" s="178">
        <v>0</v>
      </c>
      <c r="DR60" s="178">
        <v>0</v>
      </c>
      <c r="DS60" s="178">
        <v>0</v>
      </c>
      <c r="DT60" s="178">
        <v>0</v>
      </c>
      <c r="DU60" s="178">
        <v>0</v>
      </c>
      <c r="DV60" s="178">
        <v>0</v>
      </c>
      <c r="DW60" s="178">
        <v>0</v>
      </c>
      <c r="DX60" s="178">
        <v>0</v>
      </c>
      <c r="DY60" s="178">
        <v>0</v>
      </c>
      <c r="DZ60" s="178">
        <v>0</v>
      </c>
      <c r="EA60" s="178">
        <v>0</v>
      </c>
      <c r="EB60" s="178">
        <v>0</v>
      </c>
      <c r="EC60" s="178">
        <v>0</v>
      </c>
      <c r="ED60" s="178">
        <v>0</v>
      </c>
      <c r="EE60" s="178">
        <v>0</v>
      </c>
      <c r="EF60" s="178">
        <v>0</v>
      </c>
      <c r="EG60" s="178">
        <v>0</v>
      </c>
      <c r="EH60" s="178">
        <v>0</v>
      </c>
    </row>
    <row r="61" spans="1:138" x14ac:dyDescent="0.25">
      <c r="A61" s="49" t="str">
        <f>IPO監視一覧!H58</f>
        <v>B</v>
      </c>
      <c r="B61" s="49" t="str">
        <f>IPO監視一覧!B58</f>
        <v>アイリックコーポレーション</v>
      </c>
      <c r="C61" s="177">
        <f>株価一覧!E60</f>
        <v>0</v>
      </c>
      <c r="D61" s="105">
        <f t="shared" ca="1" si="14"/>
        <v>0</v>
      </c>
      <c r="E61" s="177">
        <f t="shared" ca="1" si="15"/>
        <v>0</v>
      </c>
      <c r="F61" s="110">
        <f t="shared" ca="1" si="16"/>
        <v>0</v>
      </c>
      <c r="G61" s="178">
        <v>0</v>
      </c>
      <c r="H61" s="178">
        <v>0</v>
      </c>
      <c r="I61" s="178">
        <v>0</v>
      </c>
      <c r="J61" s="178">
        <v>0</v>
      </c>
      <c r="K61" s="178">
        <v>0</v>
      </c>
      <c r="L61" s="178">
        <v>0</v>
      </c>
      <c r="M61" s="178">
        <v>0</v>
      </c>
      <c r="N61" s="178">
        <v>0</v>
      </c>
      <c r="O61" s="178">
        <v>0</v>
      </c>
      <c r="P61" s="178">
        <v>0</v>
      </c>
      <c r="Q61" s="178">
        <v>0</v>
      </c>
      <c r="R61" s="178">
        <v>0</v>
      </c>
      <c r="S61" s="178">
        <v>0</v>
      </c>
      <c r="T61" s="178">
        <v>0</v>
      </c>
      <c r="U61" s="178">
        <v>0</v>
      </c>
      <c r="V61" s="178">
        <v>0</v>
      </c>
      <c r="W61" s="178">
        <v>0</v>
      </c>
      <c r="X61" s="178">
        <v>0</v>
      </c>
      <c r="Y61" s="178">
        <v>0</v>
      </c>
      <c r="Z61" s="178">
        <v>0</v>
      </c>
      <c r="AA61" s="178">
        <v>0</v>
      </c>
      <c r="AB61" s="178">
        <v>0</v>
      </c>
      <c r="AC61" s="178">
        <v>0</v>
      </c>
      <c r="AD61" s="178">
        <v>0</v>
      </c>
      <c r="AE61" s="178">
        <v>0</v>
      </c>
      <c r="AF61" s="178">
        <v>0</v>
      </c>
      <c r="AG61" s="178">
        <v>0</v>
      </c>
      <c r="AH61" s="178">
        <v>0</v>
      </c>
      <c r="AI61" s="178">
        <v>0</v>
      </c>
      <c r="AJ61" s="178">
        <v>0</v>
      </c>
      <c r="AK61" s="178">
        <v>0</v>
      </c>
      <c r="AL61" s="178">
        <v>0</v>
      </c>
      <c r="AM61" s="178">
        <v>0</v>
      </c>
      <c r="AN61" s="178">
        <v>0</v>
      </c>
      <c r="AO61" s="178">
        <v>0</v>
      </c>
      <c r="AP61" s="178">
        <v>0</v>
      </c>
      <c r="AQ61" s="178">
        <v>0</v>
      </c>
      <c r="AR61" s="178">
        <v>0</v>
      </c>
      <c r="AS61" s="178">
        <v>0</v>
      </c>
      <c r="AT61" s="178">
        <v>0</v>
      </c>
      <c r="AU61" s="178">
        <v>0</v>
      </c>
      <c r="AV61" s="178">
        <v>0</v>
      </c>
      <c r="AW61" s="178">
        <v>0</v>
      </c>
      <c r="AX61" s="178">
        <v>0</v>
      </c>
      <c r="AY61" s="178">
        <v>0</v>
      </c>
      <c r="AZ61" s="178">
        <v>0</v>
      </c>
      <c r="BA61" s="178">
        <v>0</v>
      </c>
      <c r="BB61" s="178">
        <v>0</v>
      </c>
      <c r="BC61" s="178">
        <v>0</v>
      </c>
      <c r="BD61" s="178">
        <v>0</v>
      </c>
      <c r="BE61" s="178">
        <v>0</v>
      </c>
      <c r="BF61" s="178">
        <v>0</v>
      </c>
      <c r="BG61" s="178">
        <v>0</v>
      </c>
      <c r="BH61" s="178">
        <v>0</v>
      </c>
      <c r="BI61" s="178">
        <v>0</v>
      </c>
      <c r="BJ61" s="178">
        <v>0</v>
      </c>
      <c r="BK61" s="178">
        <v>0</v>
      </c>
      <c r="BL61" s="178">
        <v>0</v>
      </c>
      <c r="BM61" s="178">
        <v>0</v>
      </c>
      <c r="BN61" s="178">
        <v>0</v>
      </c>
      <c r="BO61" s="178">
        <v>0</v>
      </c>
      <c r="BP61" s="178">
        <v>0</v>
      </c>
      <c r="BQ61" s="178">
        <v>0</v>
      </c>
      <c r="BR61" s="178">
        <v>0</v>
      </c>
      <c r="BS61" s="178">
        <v>0</v>
      </c>
      <c r="BT61" s="178">
        <v>0</v>
      </c>
      <c r="BU61" s="178">
        <v>0</v>
      </c>
      <c r="BV61" s="178">
        <v>0</v>
      </c>
      <c r="BW61" s="178">
        <v>0</v>
      </c>
      <c r="BX61" s="178">
        <v>0</v>
      </c>
      <c r="BY61" s="178">
        <v>0</v>
      </c>
      <c r="BZ61" s="178">
        <v>0</v>
      </c>
      <c r="CA61" s="178">
        <v>0</v>
      </c>
      <c r="CB61" s="178">
        <v>0</v>
      </c>
      <c r="CC61" s="178">
        <v>0</v>
      </c>
      <c r="CD61" s="178">
        <v>0</v>
      </c>
      <c r="CE61" s="178">
        <v>0</v>
      </c>
      <c r="CF61" s="178">
        <v>0</v>
      </c>
      <c r="CG61" s="178">
        <v>0</v>
      </c>
      <c r="CH61" s="178">
        <v>0</v>
      </c>
      <c r="CI61" s="178">
        <v>0</v>
      </c>
      <c r="CJ61" s="178">
        <v>0</v>
      </c>
      <c r="CK61" s="178">
        <v>0</v>
      </c>
      <c r="CL61" s="178">
        <v>0</v>
      </c>
      <c r="CM61" s="178">
        <v>0</v>
      </c>
      <c r="CN61" s="178">
        <v>0</v>
      </c>
      <c r="CO61" s="178">
        <v>0</v>
      </c>
      <c r="CP61" s="178">
        <v>0</v>
      </c>
      <c r="CQ61" s="178">
        <v>0</v>
      </c>
      <c r="CR61" s="178">
        <v>0</v>
      </c>
      <c r="CS61" s="178">
        <v>0</v>
      </c>
      <c r="CT61" s="178">
        <v>0</v>
      </c>
      <c r="CU61" s="178">
        <v>0</v>
      </c>
      <c r="CV61" s="178">
        <v>0</v>
      </c>
      <c r="CW61" s="178">
        <v>0</v>
      </c>
      <c r="CX61" s="178">
        <v>0</v>
      </c>
      <c r="CY61" s="178">
        <v>0</v>
      </c>
      <c r="CZ61" s="178">
        <v>0</v>
      </c>
      <c r="DA61" s="178">
        <v>0</v>
      </c>
      <c r="DB61" s="178">
        <v>0</v>
      </c>
      <c r="DC61" s="178">
        <v>0</v>
      </c>
      <c r="DD61" s="178">
        <v>0</v>
      </c>
      <c r="DE61" s="178">
        <v>0</v>
      </c>
      <c r="DF61" s="178">
        <v>0</v>
      </c>
      <c r="DG61" s="178">
        <v>0</v>
      </c>
      <c r="DH61" s="178">
        <v>0</v>
      </c>
      <c r="DI61" s="178">
        <v>0</v>
      </c>
      <c r="DJ61" s="178">
        <v>0</v>
      </c>
      <c r="DK61" s="178">
        <v>0</v>
      </c>
      <c r="DL61" s="178">
        <v>0</v>
      </c>
      <c r="DM61" s="178">
        <v>0</v>
      </c>
      <c r="DN61" s="178">
        <v>0</v>
      </c>
      <c r="DO61" s="178">
        <v>0</v>
      </c>
      <c r="DP61" s="178">
        <v>0</v>
      </c>
      <c r="DQ61" s="178">
        <v>0</v>
      </c>
      <c r="DR61" s="178">
        <v>0</v>
      </c>
      <c r="DS61" s="178">
        <v>0</v>
      </c>
      <c r="DT61" s="178">
        <v>0</v>
      </c>
      <c r="DU61" s="178">
        <v>0</v>
      </c>
      <c r="DV61" s="178">
        <v>0</v>
      </c>
      <c r="DW61" s="178">
        <v>0</v>
      </c>
      <c r="DX61" s="178">
        <v>0</v>
      </c>
      <c r="DY61" s="178">
        <v>0</v>
      </c>
      <c r="DZ61" s="178">
        <v>0</v>
      </c>
      <c r="EA61" s="178">
        <v>0</v>
      </c>
      <c r="EB61" s="178">
        <v>0</v>
      </c>
      <c r="EC61" s="178">
        <v>0</v>
      </c>
      <c r="ED61" s="178">
        <v>0</v>
      </c>
      <c r="EE61" s="178">
        <v>0</v>
      </c>
      <c r="EF61" s="178">
        <v>0</v>
      </c>
      <c r="EG61" s="178">
        <v>0</v>
      </c>
      <c r="EH61" s="178">
        <v>0</v>
      </c>
    </row>
    <row r="62" spans="1:138" x14ac:dyDescent="0.25">
      <c r="A62" s="49" t="str">
        <f>IPO監視一覧!H59</f>
        <v>A</v>
      </c>
      <c r="B62" s="49" t="str">
        <f>IPO監視一覧!B59</f>
        <v>ブロードバンドセキュリティ</v>
      </c>
      <c r="C62" s="177">
        <f>株価一覧!E61</f>
        <v>0</v>
      </c>
      <c r="D62" s="105">
        <f t="shared" ref="D62:D71" ca="1" si="17">AVERAGE(OFFSET(A62,0,COUNTA(G62:XFD62)+5,1,-5))</f>
        <v>0</v>
      </c>
      <c r="E62" s="177">
        <f t="shared" ref="E62:E71" ca="1" si="18">IF(F62=0,0,AVERAGE(OFFSET(A62,0,COUNTA(G62:XFD62)+5,1,-15)))</f>
        <v>0</v>
      </c>
      <c r="F62" s="110">
        <f t="shared" ref="F62:F71" ca="1" si="19">MIN(OFFSET(B62,0,COUNTA(G62:XFD62)+5,1,-15))</f>
        <v>0</v>
      </c>
      <c r="G62" s="178">
        <v>0</v>
      </c>
      <c r="H62" s="178">
        <v>0</v>
      </c>
      <c r="I62" s="178">
        <v>0</v>
      </c>
      <c r="J62" s="178">
        <v>0</v>
      </c>
      <c r="K62" s="178">
        <v>0</v>
      </c>
      <c r="L62" s="178">
        <v>0</v>
      </c>
      <c r="M62" s="178">
        <v>0</v>
      </c>
      <c r="N62" s="178">
        <v>0</v>
      </c>
      <c r="O62" s="178">
        <v>0</v>
      </c>
      <c r="P62" s="178">
        <v>0</v>
      </c>
      <c r="Q62" s="178">
        <v>0</v>
      </c>
      <c r="R62" s="178">
        <v>0</v>
      </c>
      <c r="S62" s="178">
        <v>0</v>
      </c>
      <c r="T62" s="178">
        <v>0</v>
      </c>
      <c r="U62" s="178">
        <v>0</v>
      </c>
      <c r="V62" s="178">
        <v>0</v>
      </c>
      <c r="W62" s="178">
        <v>0</v>
      </c>
      <c r="X62" s="178">
        <v>0</v>
      </c>
      <c r="Y62" s="178">
        <v>0</v>
      </c>
      <c r="Z62" s="178">
        <v>0</v>
      </c>
      <c r="AA62" s="178">
        <v>0</v>
      </c>
      <c r="AB62" s="178">
        <v>0</v>
      </c>
      <c r="AC62" s="178">
        <v>0</v>
      </c>
      <c r="AD62" s="178">
        <v>0</v>
      </c>
      <c r="AE62" s="178">
        <v>0</v>
      </c>
      <c r="AF62" s="178">
        <v>0</v>
      </c>
      <c r="AG62" s="178">
        <v>0</v>
      </c>
      <c r="AH62" s="178">
        <v>0</v>
      </c>
      <c r="AI62" s="178">
        <v>0</v>
      </c>
      <c r="AJ62" s="178">
        <v>0</v>
      </c>
      <c r="AK62" s="178">
        <v>0</v>
      </c>
      <c r="AL62" s="178">
        <v>0</v>
      </c>
      <c r="AM62" s="178">
        <v>0</v>
      </c>
      <c r="AN62" s="178">
        <v>0</v>
      </c>
      <c r="AO62" s="178">
        <v>0</v>
      </c>
      <c r="AP62" s="178">
        <v>0</v>
      </c>
      <c r="AQ62" s="178">
        <v>0</v>
      </c>
      <c r="AR62" s="178">
        <v>0</v>
      </c>
      <c r="AS62" s="178">
        <v>0</v>
      </c>
      <c r="AT62" s="178">
        <v>0</v>
      </c>
      <c r="AU62" s="178">
        <v>0</v>
      </c>
      <c r="AV62" s="178">
        <v>0</v>
      </c>
      <c r="AW62" s="178">
        <v>0</v>
      </c>
      <c r="AX62" s="178">
        <v>0</v>
      </c>
      <c r="AY62" s="178">
        <v>0</v>
      </c>
      <c r="AZ62" s="178">
        <v>0</v>
      </c>
      <c r="BA62" s="178">
        <v>0</v>
      </c>
      <c r="BB62" s="178">
        <v>0</v>
      </c>
      <c r="BC62" s="178">
        <v>0</v>
      </c>
      <c r="BD62" s="178">
        <v>0</v>
      </c>
      <c r="BE62" s="178">
        <v>0</v>
      </c>
      <c r="BF62" s="178">
        <v>0</v>
      </c>
      <c r="BG62" s="178">
        <v>0</v>
      </c>
      <c r="BH62" s="178">
        <v>0</v>
      </c>
      <c r="BI62" s="178">
        <v>0</v>
      </c>
      <c r="BJ62" s="178">
        <v>0</v>
      </c>
      <c r="BK62" s="178">
        <v>0</v>
      </c>
      <c r="BL62" s="178">
        <v>0</v>
      </c>
      <c r="BM62" s="178">
        <v>0</v>
      </c>
      <c r="BN62" s="178">
        <v>0</v>
      </c>
      <c r="BO62" s="178">
        <v>0</v>
      </c>
      <c r="BP62" s="178">
        <v>0</v>
      </c>
      <c r="BQ62" s="178">
        <v>0</v>
      </c>
      <c r="BR62" s="178">
        <v>0</v>
      </c>
      <c r="BS62" s="178">
        <v>0</v>
      </c>
      <c r="BT62" s="178">
        <v>0</v>
      </c>
      <c r="BU62" s="178">
        <v>0</v>
      </c>
      <c r="BV62" s="178">
        <v>0</v>
      </c>
      <c r="BW62" s="178">
        <v>0</v>
      </c>
      <c r="BX62" s="178">
        <v>0</v>
      </c>
      <c r="BY62" s="178">
        <v>0</v>
      </c>
      <c r="BZ62" s="178">
        <v>0</v>
      </c>
      <c r="CA62" s="178">
        <v>0</v>
      </c>
      <c r="CB62" s="178">
        <v>0</v>
      </c>
      <c r="CC62" s="178">
        <v>0</v>
      </c>
      <c r="CD62" s="178">
        <v>0</v>
      </c>
      <c r="CE62" s="178">
        <v>0</v>
      </c>
      <c r="CF62" s="178">
        <v>0</v>
      </c>
      <c r="CG62" s="178">
        <v>0</v>
      </c>
      <c r="CH62" s="178">
        <v>0</v>
      </c>
      <c r="CI62" s="178">
        <v>0</v>
      </c>
      <c r="CJ62" s="178">
        <v>0</v>
      </c>
      <c r="CK62" s="178">
        <v>0</v>
      </c>
      <c r="CL62" s="178">
        <v>0</v>
      </c>
      <c r="CM62" s="178">
        <v>0</v>
      </c>
      <c r="CN62" s="178">
        <v>0</v>
      </c>
      <c r="CO62" s="178">
        <v>0</v>
      </c>
      <c r="CP62" s="178">
        <v>0</v>
      </c>
      <c r="CQ62" s="178">
        <v>0</v>
      </c>
      <c r="CR62" s="178">
        <v>0</v>
      </c>
      <c r="CS62" s="178">
        <v>0</v>
      </c>
      <c r="CT62" s="178">
        <v>0</v>
      </c>
      <c r="CU62" s="178">
        <v>0</v>
      </c>
      <c r="CV62" s="178">
        <v>0</v>
      </c>
      <c r="CW62" s="178">
        <v>0</v>
      </c>
      <c r="CX62" s="178">
        <v>0</v>
      </c>
      <c r="CY62" s="178">
        <v>0</v>
      </c>
      <c r="CZ62" s="178">
        <v>0</v>
      </c>
      <c r="DA62" s="178">
        <v>0</v>
      </c>
      <c r="DB62" s="178">
        <v>0</v>
      </c>
      <c r="DC62" s="178">
        <v>0</v>
      </c>
      <c r="DD62" s="178">
        <v>0</v>
      </c>
      <c r="DE62" s="178">
        <v>0</v>
      </c>
      <c r="DF62" s="178">
        <v>0</v>
      </c>
      <c r="DG62" s="178">
        <v>0</v>
      </c>
      <c r="DH62" s="178">
        <v>0</v>
      </c>
      <c r="DI62" s="178">
        <v>0</v>
      </c>
      <c r="DJ62" s="178">
        <v>0</v>
      </c>
      <c r="DK62" s="178">
        <v>0</v>
      </c>
      <c r="DL62" s="178">
        <v>0</v>
      </c>
      <c r="DM62" s="178">
        <v>0</v>
      </c>
      <c r="DN62" s="178">
        <v>0</v>
      </c>
      <c r="DO62" s="178">
        <v>0</v>
      </c>
      <c r="DP62" s="178">
        <v>0</v>
      </c>
      <c r="DQ62" s="178">
        <v>0</v>
      </c>
      <c r="DR62" s="178">
        <v>0</v>
      </c>
      <c r="DS62" s="178">
        <v>0</v>
      </c>
      <c r="DT62" s="178">
        <v>0</v>
      </c>
      <c r="DU62" s="178">
        <v>0</v>
      </c>
      <c r="DV62" s="178">
        <v>0</v>
      </c>
      <c r="DW62" s="178">
        <v>0</v>
      </c>
      <c r="DX62" s="178">
        <v>0</v>
      </c>
      <c r="DY62" s="178">
        <v>0</v>
      </c>
      <c r="DZ62" s="178">
        <v>0</v>
      </c>
      <c r="EA62" s="178">
        <v>0</v>
      </c>
      <c r="EB62" s="178">
        <v>0</v>
      </c>
      <c r="EC62" s="178">
        <v>0</v>
      </c>
      <c r="ED62" s="178">
        <v>0</v>
      </c>
      <c r="EE62" s="178">
        <v>0</v>
      </c>
      <c r="EF62" s="178">
        <v>0</v>
      </c>
      <c r="EG62" s="178">
        <v>0</v>
      </c>
      <c r="EH62" s="178">
        <v>0</v>
      </c>
    </row>
    <row r="63" spans="1:138" x14ac:dyDescent="0.25">
      <c r="A63" s="49" t="str">
        <f>IPO監視一覧!H60</f>
        <v>C</v>
      </c>
      <c r="B63" s="49" t="str">
        <f>IPO監視一覧!B60</f>
        <v>極東産機</v>
      </c>
      <c r="C63" s="177">
        <f>株価一覧!E62</f>
        <v>0</v>
      </c>
      <c r="D63" s="105">
        <f t="shared" ca="1" si="17"/>
        <v>0</v>
      </c>
      <c r="E63" s="177">
        <f t="shared" ca="1" si="18"/>
        <v>0</v>
      </c>
      <c r="F63" s="110">
        <f t="shared" ca="1" si="19"/>
        <v>0</v>
      </c>
      <c r="G63" s="178">
        <v>0</v>
      </c>
      <c r="H63" s="178">
        <v>0</v>
      </c>
      <c r="I63" s="178">
        <v>0</v>
      </c>
      <c r="J63" s="178">
        <v>0</v>
      </c>
      <c r="K63" s="178">
        <v>0</v>
      </c>
      <c r="L63" s="178">
        <v>0</v>
      </c>
      <c r="M63" s="178">
        <v>0</v>
      </c>
      <c r="N63" s="178">
        <v>0</v>
      </c>
      <c r="O63" s="178">
        <v>0</v>
      </c>
      <c r="P63" s="178">
        <v>0</v>
      </c>
      <c r="Q63" s="178">
        <v>0</v>
      </c>
      <c r="R63" s="178">
        <v>0</v>
      </c>
      <c r="S63" s="178">
        <v>0</v>
      </c>
      <c r="T63" s="178">
        <v>0</v>
      </c>
      <c r="U63" s="178">
        <v>0</v>
      </c>
      <c r="V63" s="178">
        <v>0</v>
      </c>
      <c r="W63" s="178">
        <v>0</v>
      </c>
      <c r="X63" s="178">
        <v>0</v>
      </c>
      <c r="Y63" s="178">
        <v>0</v>
      </c>
      <c r="Z63" s="178">
        <v>0</v>
      </c>
      <c r="AA63" s="178">
        <v>0</v>
      </c>
      <c r="AB63" s="178">
        <v>0</v>
      </c>
      <c r="AC63" s="178">
        <v>0</v>
      </c>
      <c r="AD63" s="178">
        <v>0</v>
      </c>
      <c r="AE63" s="178">
        <v>0</v>
      </c>
      <c r="AF63" s="178">
        <v>0</v>
      </c>
      <c r="AG63" s="178">
        <v>0</v>
      </c>
      <c r="AH63" s="178">
        <v>0</v>
      </c>
      <c r="AI63" s="178">
        <v>0</v>
      </c>
      <c r="AJ63" s="178">
        <v>0</v>
      </c>
      <c r="AK63" s="178">
        <v>0</v>
      </c>
      <c r="AL63" s="178">
        <v>0</v>
      </c>
      <c r="AM63" s="178">
        <v>0</v>
      </c>
      <c r="AN63" s="178">
        <v>0</v>
      </c>
      <c r="AO63" s="178">
        <v>0</v>
      </c>
      <c r="AP63" s="178">
        <v>0</v>
      </c>
      <c r="AQ63" s="178">
        <v>0</v>
      </c>
      <c r="AR63" s="178">
        <v>0</v>
      </c>
      <c r="AS63" s="178">
        <v>0</v>
      </c>
      <c r="AT63" s="178">
        <v>0</v>
      </c>
      <c r="AU63" s="178">
        <v>0</v>
      </c>
      <c r="AV63" s="178">
        <v>0</v>
      </c>
      <c r="AW63" s="178">
        <v>0</v>
      </c>
      <c r="AX63" s="178">
        <v>0</v>
      </c>
      <c r="AY63" s="178">
        <v>0</v>
      </c>
      <c r="AZ63" s="178">
        <v>0</v>
      </c>
      <c r="BA63" s="178">
        <v>0</v>
      </c>
      <c r="BB63" s="178">
        <v>0</v>
      </c>
      <c r="BC63" s="178">
        <v>0</v>
      </c>
      <c r="BD63" s="178">
        <v>0</v>
      </c>
      <c r="BE63" s="178">
        <v>0</v>
      </c>
      <c r="BF63" s="178">
        <v>0</v>
      </c>
      <c r="BG63" s="178">
        <v>0</v>
      </c>
      <c r="BH63" s="178">
        <v>0</v>
      </c>
      <c r="BI63" s="178">
        <v>0</v>
      </c>
      <c r="BJ63" s="178">
        <v>0</v>
      </c>
      <c r="BK63" s="178">
        <v>0</v>
      </c>
      <c r="BL63" s="178">
        <v>0</v>
      </c>
      <c r="BM63" s="178">
        <v>0</v>
      </c>
      <c r="BN63" s="178">
        <v>0</v>
      </c>
      <c r="BO63" s="178">
        <v>0</v>
      </c>
      <c r="BP63" s="178">
        <v>0</v>
      </c>
      <c r="BQ63" s="178">
        <v>0</v>
      </c>
      <c r="BR63" s="178">
        <v>0</v>
      </c>
      <c r="BS63" s="178">
        <v>0</v>
      </c>
      <c r="BT63" s="178">
        <v>0</v>
      </c>
      <c r="BU63" s="178">
        <v>0</v>
      </c>
      <c r="BV63" s="178">
        <v>0</v>
      </c>
      <c r="BW63" s="178">
        <v>0</v>
      </c>
      <c r="BX63" s="178">
        <v>0</v>
      </c>
      <c r="BY63" s="178">
        <v>0</v>
      </c>
      <c r="BZ63" s="178">
        <v>0</v>
      </c>
      <c r="CA63" s="178">
        <v>0</v>
      </c>
      <c r="CB63" s="178">
        <v>0</v>
      </c>
      <c r="CC63" s="178">
        <v>0</v>
      </c>
      <c r="CD63" s="178">
        <v>0</v>
      </c>
      <c r="CE63" s="178">
        <v>0</v>
      </c>
      <c r="CF63" s="178">
        <v>0</v>
      </c>
      <c r="CG63" s="178">
        <v>0</v>
      </c>
      <c r="CH63" s="178">
        <v>0</v>
      </c>
      <c r="CI63" s="178">
        <v>0</v>
      </c>
      <c r="CJ63" s="178">
        <v>0</v>
      </c>
      <c r="CK63" s="178">
        <v>0</v>
      </c>
      <c r="CL63" s="178">
        <v>0</v>
      </c>
      <c r="CM63" s="178">
        <v>0</v>
      </c>
      <c r="CN63" s="178">
        <v>0</v>
      </c>
      <c r="CO63" s="178">
        <v>0</v>
      </c>
      <c r="CP63" s="178">
        <v>0</v>
      </c>
      <c r="CQ63" s="178">
        <v>0</v>
      </c>
      <c r="CR63" s="178">
        <v>0</v>
      </c>
      <c r="CS63" s="178">
        <v>0</v>
      </c>
      <c r="CT63" s="178">
        <v>0</v>
      </c>
      <c r="CU63" s="178">
        <v>0</v>
      </c>
      <c r="CV63" s="178">
        <v>0</v>
      </c>
      <c r="CW63" s="178">
        <v>0</v>
      </c>
      <c r="CX63" s="178">
        <v>0</v>
      </c>
      <c r="CY63" s="178">
        <v>0</v>
      </c>
      <c r="CZ63" s="178">
        <v>0</v>
      </c>
      <c r="DA63" s="178">
        <v>0</v>
      </c>
      <c r="DB63" s="178">
        <v>0</v>
      </c>
      <c r="DC63" s="178">
        <v>0</v>
      </c>
      <c r="DD63" s="178">
        <v>0</v>
      </c>
      <c r="DE63" s="178">
        <v>0</v>
      </c>
      <c r="DF63" s="178">
        <v>0</v>
      </c>
      <c r="DG63" s="178">
        <v>0</v>
      </c>
      <c r="DH63" s="178">
        <v>0</v>
      </c>
      <c r="DI63" s="178">
        <v>0</v>
      </c>
      <c r="DJ63" s="178">
        <v>0</v>
      </c>
      <c r="DK63" s="178">
        <v>0</v>
      </c>
      <c r="DL63" s="178">
        <v>0</v>
      </c>
      <c r="DM63" s="178">
        <v>0</v>
      </c>
      <c r="DN63" s="178">
        <v>0</v>
      </c>
      <c r="DO63" s="178">
        <v>0</v>
      </c>
      <c r="DP63" s="178">
        <v>0</v>
      </c>
      <c r="DQ63" s="178">
        <v>0</v>
      </c>
      <c r="DR63" s="178">
        <v>0</v>
      </c>
      <c r="DS63" s="178">
        <v>0</v>
      </c>
      <c r="DT63" s="178">
        <v>0</v>
      </c>
      <c r="DU63" s="178">
        <v>0</v>
      </c>
      <c r="DV63" s="178">
        <v>0</v>
      </c>
      <c r="DW63" s="178">
        <v>0</v>
      </c>
      <c r="DX63" s="178">
        <v>0</v>
      </c>
      <c r="DY63" s="178">
        <v>0</v>
      </c>
      <c r="DZ63" s="178">
        <v>0</v>
      </c>
      <c r="EA63" s="178">
        <v>0</v>
      </c>
      <c r="EB63" s="178">
        <v>0</v>
      </c>
      <c r="EC63" s="178">
        <v>0</v>
      </c>
      <c r="ED63" s="178">
        <v>0</v>
      </c>
      <c r="EE63" s="178">
        <v>0</v>
      </c>
      <c r="EF63" s="178">
        <v>0</v>
      </c>
      <c r="EG63" s="178">
        <v>0</v>
      </c>
      <c r="EH63" s="178">
        <v>0</v>
      </c>
    </row>
    <row r="64" spans="1:138" x14ac:dyDescent="0.25">
      <c r="A64" s="49" t="str">
        <f>IPO監視一覧!H61</f>
        <v>D</v>
      </c>
      <c r="B64" s="49" t="str">
        <f>IPO監視一覧!B61</f>
        <v>ＳＢＩインシュアランスグループ</v>
      </c>
      <c r="C64" s="177">
        <f>株価一覧!E63</f>
        <v>0</v>
      </c>
      <c r="D64" s="105">
        <f t="shared" ca="1" si="17"/>
        <v>0</v>
      </c>
      <c r="E64" s="177">
        <f t="shared" ca="1" si="18"/>
        <v>0</v>
      </c>
      <c r="F64" s="110">
        <f t="shared" ca="1" si="19"/>
        <v>0</v>
      </c>
      <c r="G64" s="178">
        <v>0</v>
      </c>
      <c r="H64" s="178">
        <v>0</v>
      </c>
      <c r="I64" s="178">
        <v>0</v>
      </c>
      <c r="J64" s="178">
        <v>0</v>
      </c>
      <c r="K64" s="178">
        <v>0</v>
      </c>
      <c r="L64" s="178">
        <v>0</v>
      </c>
      <c r="M64" s="178">
        <v>0</v>
      </c>
      <c r="N64" s="178">
        <v>0</v>
      </c>
      <c r="O64" s="178">
        <v>0</v>
      </c>
      <c r="P64" s="178">
        <v>0</v>
      </c>
      <c r="Q64" s="178">
        <v>0</v>
      </c>
      <c r="R64" s="178">
        <v>0</v>
      </c>
      <c r="S64" s="178">
        <v>0</v>
      </c>
      <c r="T64" s="178">
        <v>0</v>
      </c>
      <c r="U64" s="178">
        <v>0</v>
      </c>
      <c r="V64" s="178">
        <v>0</v>
      </c>
      <c r="W64" s="178">
        <v>0</v>
      </c>
      <c r="X64" s="178">
        <v>0</v>
      </c>
      <c r="Y64" s="178">
        <v>0</v>
      </c>
      <c r="Z64" s="178">
        <v>0</v>
      </c>
      <c r="AA64" s="178">
        <v>0</v>
      </c>
      <c r="AB64" s="178">
        <v>0</v>
      </c>
      <c r="AC64" s="178">
        <v>0</v>
      </c>
      <c r="AD64" s="178">
        <v>0</v>
      </c>
      <c r="AE64" s="178">
        <v>0</v>
      </c>
      <c r="AF64" s="178">
        <v>0</v>
      </c>
      <c r="AG64" s="178">
        <v>0</v>
      </c>
      <c r="AH64" s="178">
        <v>0</v>
      </c>
      <c r="AI64" s="178">
        <v>0</v>
      </c>
      <c r="AJ64" s="178">
        <v>0</v>
      </c>
      <c r="AK64" s="178">
        <v>0</v>
      </c>
      <c r="AL64" s="178">
        <v>0</v>
      </c>
      <c r="AM64" s="178">
        <v>0</v>
      </c>
      <c r="AN64" s="178">
        <v>0</v>
      </c>
      <c r="AO64" s="178">
        <v>0</v>
      </c>
      <c r="AP64" s="178">
        <v>0</v>
      </c>
      <c r="AQ64" s="178">
        <v>0</v>
      </c>
      <c r="AR64" s="178">
        <v>0</v>
      </c>
      <c r="AS64" s="178">
        <v>0</v>
      </c>
      <c r="AT64" s="178">
        <v>0</v>
      </c>
      <c r="AU64" s="178">
        <v>0</v>
      </c>
      <c r="AV64" s="178">
        <v>0</v>
      </c>
      <c r="AW64" s="178">
        <v>0</v>
      </c>
      <c r="AX64" s="178">
        <v>0</v>
      </c>
      <c r="AY64" s="178">
        <v>0</v>
      </c>
      <c r="AZ64" s="178">
        <v>0</v>
      </c>
      <c r="BA64" s="178">
        <v>0</v>
      </c>
      <c r="BB64" s="178">
        <v>0</v>
      </c>
      <c r="BC64" s="178">
        <v>0</v>
      </c>
      <c r="BD64" s="178">
        <v>0</v>
      </c>
      <c r="BE64" s="178">
        <v>0</v>
      </c>
      <c r="BF64" s="178">
        <v>0</v>
      </c>
      <c r="BG64" s="178">
        <v>0</v>
      </c>
      <c r="BH64" s="178">
        <v>0</v>
      </c>
      <c r="BI64" s="178">
        <v>0</v>
      </c>
      <c r="BJ64" s="178">
        <v>0</v>
      </c>
      <c r="BK64" s="178">
        <v>0</v>
      </c>
      <c r="BL64" s="178">
        <v>0</v>
      </c>
      <c r="BM64" s="178">
        <v>0</v>
      </c>
      <c r="BN64" s="178">
        <v>0</v>
      </c>
      <c r="BO64" s="178">
        <v>0</v>
      </c>
      <c r="BP64" s="178">
        <v>0</v>
      </c>
      <c r="BQ64" s="178">
        <v>0</v>
      </c>
      <c r="BR64" s="178">
        <v>0</v>
      </c>
      <c r="BS64" s="178">
        <v>0</v>
      </c>
      <c r="BT64" s="178">
        <v>0</v>
      </c>
      <c r="BU64" s="178">
        <v>0</v>
      </c>
      <c r="BV64" s="178">
        <v>0</v>
      </c>
      <c r="BW64" s="178">
        <v>0</v>
      </c>
      <c r="BX64" s="178">
        <v>0</v>
      </c>
      <c r="BY64" s="178">
        <v>0</v>
      </c>
      <c r="BZ64" s="178">
        <v>0</v>
      </c>
      <c r="CA64" s="178">
        <v>0</v>
      </c>
      <c r="CB64" s="178">
        <v>0</v>
      </c>
      <c r="CC64" s="178">
        <v>0</v>
      </c>
      <c r="CD64" s="178">
        <v>0</v>
      </c>
      <c r="CE64" s="178">
        <v>0</v>
      </c>
      <c r="CF64" s="178">
        <v>0</v>
      </c>
      <c r="CG64" s="178">
        <v>0</v>
      </c>
      <c r="CH64" s="178">
        <v>0</v>
      </c>
      <c r="CI64" s="178">
        <v>0</v>
      </c>
      <c r="CJ64" s="178">
        <v>0</v>
      </c>
      <c r="CK64" s="178">
        <v>0</v>
      </c>
      <c r="CL64" s="178">
        <v>0</v>
      </c>
      <c r="CM64" s="178">
        <v>0</v>
      </c>
      <c r="CN64" s="178">
        <v>0</v>
      </c>
      <c r="CO64" s="178">
        <v>0</v>
      </c>
      <c r="CP64" s="178">
        <v>0</v>
      </c>
      <c r="CQ64" s="178">
        <v>0</v>
      </c>
      <c r="CR64" s="178">
        <v>0</v>
      </c>
      <c r="CS64" s="178">
        <v>0</v>
      </c>
      <c r="CT64" s="178">
        <v>0</v>
      </c>
      <c r="CU64" s="178">
        <v>0</v>
      </c>
      <c r="CV64" s="178">
        <v>0</v>
      </c>
      <c r="CW64" s="178">
        <v>0</v>
      </c>
      <c r="CX64" s="178">
        <v>0</v>
      </c>
      <c r="CY64" s="178">
        <v>0</v>
      </c>
      <c r="CZ64" s="178">
        <v>0</v>
      </c>
      <c r="DA64" s="178">
        <v>0</v>
      </c>
      <c r="DB64" s="178">
        <v>0</v>
      </c>
      <c r="DC64" s="178">
        <v>0</v>
      </c>
      <c r="DD64" s="178">
        <v>0</v>
      </c>
      <c r="DE64" s="178">
        <v>0</v>
      </c>
      <c r="DF64" s="178">
        <v>0</v>
      </c>
      <c r="DG64" s="178">
        <v>0</v>
      </c>
      <c r="DH64" s="178">
        <v>0</v>
      </c>
      <c r="DI64" s="178">
        <v>0</v>
      </c>
      <c r="DJ64" s="178">
        <v>0</v>
      </c>
      <c r="DK64" s="178">
        <v>0</v>
      </c>
      <c r="DL64" s="178">
        <v>0</v>
      </c>
      <c r="DM64" s="178">
        <v>0</v>
      </c>
      <c r="DN64" s="178">
        <v>0</v>
      </c>
      <c r="DO64" s="178">
        <v>0</v>
      </c>
      <c r="DP64" s="178">
        <v>0</v>
      </c>
      <c r="DQ64" s="178">
        <v>0</v>
      </c>
      <c r="DR64" s="178">
        <v>0</v>
      </c>
      <c r="DS64" s="178">
        <v>0</v>
      </c>
      <c r="DT64" s="178">
        <v>0</v>
      </c>
      <c r="DU64" s="178">
        <v>0</v>
      </c>
      <c r="DV64" s="178">
        <v>0</v>
      </c>
      <c r="DW64" s="178">
        <v>0</v>
      </c>
      <c r="DX64" s="178">
        <v>0</v>
      </c>
      <c r="DY64" s="178">
        <v>0</v>
      </c>
      <c r="DZ64" s="178">
        <v>0</v>
      </c>
      <c r="EA64" s="178">
        <v>0</v>
      </c>
      <c r="EB64" s="178">
        <v>0</v>
      </c>
      <c r="EC64" s="178">
        <v>0</v>
      </c>
      <c r="ED64" s="178">
        <v>0</v>
      </c>
      <c r="EE64" s="178">
        <v>0</v>
      </c>
      <c r="EF64" s="178">
        <v>0</v>
      </c>
      <c r="EG64" s="178">
        <v>0</v>
      </c>
      <c r="EH64" s="178">
        <v>0</v>
      </c>
    </row>
    <row r="65" spans="1:138" x14ac:dyDescent="0.25">
      <c r="A65" s="49" t="str">
        <f>IPO監視一覧!H62</f>
        <v>D</v>
      </c>
      <c r="B65" s="49" t="str">
        <f>IPO監視一覧!B62</f>
        <v>ワールド</v>
      </c>
      <c r="C65" s="177">
        <f>株価一覧!E64</f>
        <v>0</v>
      </c>
      <c r="D65" s="105">
        <f t="shared" ca="1" si="17"/>
        <v>0</v>
      </c>
      <c r="E65" s="177">
        <f t="shared" ca="1" si="18"/>
        <v>0</v>
      </c>
      <c r="F65" s="110">
        <f t="shared" ca="1" si="19"/>
        <v>0</v>
      </c>
      <c r="G65" s="178">
        <v>0</v>
      </c>
      <c r="H65" s="178">
        <v>0</v>
      </c>
      <c r="I65" s="178">
        <v>0</v>
      </c>
      <c r="J65" s="178">
        <v>0</v>
      </c>
      <c r="K65" s="178">
        <v>0</v>
      </c>
      <c r="L65" s="178">
        <v>0</v>
      </c>
      <c r="M65" s="178">
        <v>0</v>
      </c>
      <c r="N65" s="178">
        <v>0</v>
      </c>
      <c r="O65" s="178">
        <v>0</v>
      </c>
      <c r="P65" s="178">
        <v>0</v>
      </c>
      <c r="Q65" s="178">
        <v>0</v>
      </c>
      <c r="R65" s="178">
        <v>0</v>
      </c>
      <c r="S65" s="178">
        <v>0</v>
      </c>
      <c r="T65" s="178">
        <v>0</v>
      </c>
      <c r="U65" s="178">
        <v>0</v>
      </c>
      <c r="V65" s="178">
        <v>0</v>
      </c>
      <c r="W65" s="178">
        <v>0</v>
      </c>
      <c r="X65" s="178">
        <v>0</v>
      </c>
      <c r="Y65" s="178">
        <v>0</v>
      </c>
      <c r="Z65" s="178">
        <v>0</v>
      </c>
      <c r="AA65" s="178">
        <v>0</v>
      </c>
      <c r="AB65" s="178">
        <v>0</v>
      </c>
      <c r="AC65" s="178">
        <v>0</v>
      </c>
      <c r="AD65" s="178">
        <v>0</v>
      </c>
      <c r="AE65" s="178">
        <v>0</v>
      </c>
      <c r="AF65" s="178">
        <v>0</v>
      </c>
      <c r="AG65" s="178">
        <v>0</v>
      </c>
      <c r="AH65" s="178">
        <v>0</v>
      </c>
      <c r="AI65" s="178">
        <v>0</v>
      </c>
      <c r="AJ65" s="178">
        <v>0</v>
      </c>
      <c r="AK65" s="178">
        <v>0</v>
      </c>
      <c r="AL65" s="178">
        <v>0</v>
      </c>
      <c r="AM65" s="178">
        <v>0</v>
      </c>
      <c r="AN65" s="178">
        <v>0</v>
      </c>
      <c r="AO65" s="178">
        <v>0</v>
      </c>
      <c r="AP65" s="178">
        <v>0</v>
      </c>
      <c r="AQ65" s="178">
        <v>0</v>
      </c>
      <c r="AR65" s="178">
        <v>0</v>
      </c>
      <c r="AS65" s="178">
        <v>0</v>
      </c>
      <c r="AT65" s="178">
        <v>0</v>
      </c>
      <c r="AU65" s="178">
        <v>0</v>
      </c>
      <c r="AV65" s="178">
        <v>0</v>
      </c>
      <c r="AW65" s="178">
        <v>0</v>
      </c>
      <c r="AX65" s="178">
        <v>0</v>
      </c>
      <c r="AY65" s="178">
        <v>0</v>
      </c>
      <c r="AZ65" s="178">
        <v>0</v>
      </c>
      <c r="BA65" s="178">
        <v>0</v>
      </c>
      <c r="BB65" s="178">
        <v>0</v>
      </c>
      <c r="BC65" s="178">
        <v>0</v>
      </c>
      <c r="BD65" s="178">
        <v>0</v>
      </c>
      <c r="BE65" s="178">
        <v>0</v>
      </c>
      <c r="BF65" s="178">
        <v>0</v>
      </c>
      <c r="BG65" s="178">
        <v>0</v>
      </c>
      <c r="BH65" s="178">
        <v>0</v>
      </c>
      <c r="BI65" s="178">
        <v>0</v>
      </c>
      <c r="BJ65" s="178">
        <v>0</v>
      </c>
      <c r="BK65" s="178">
        <v>0</v>
      </c>
      <c r="BL65" s="178">
        <v>0</v>
      </c>
      <c r="BM65" s="178">
        <v>0</v>
      </c>
      <c r="BN65" s="178">
        <v>0</v>
      </c>
      <c r="BO65" s="178">
        <v>0</v>
      </c>
      <c r="BP65" s="178">
        <v>0</v>
      </c>
      <c r="BQ65" s="178">
        <v>0</v>
      </c>
      <c r="BR65" s="178">
        <v>0</v>
      </c>
      <c r="BS65" s="178">
        <v>0</v>
      </c>
      <c r="BT65" s="178">
        <v>0</v>
      </c>
      <c r="BU65" s="178">
        <v>0</v>
      </c>
      <c r="BV65" s="178">
        <v>0</v>
      </c>
      <c r="BW65" s="178">
        <v>0</v>
      </c>
      <c r="BX65" s="178">
        <v>0</v>
      </c>
      <c r="BY65" s="178">
        <v>0</v>
      </c>
      <c r="BZ65" s="178">
        <v>0</v>
      </c>
      <c r="CA65" s="178">
        <v>0</v>
      </c>
      <c r="CB65" s="178">
        <v>0</v>
      </c>
      <c r="CC65" s="178">
        <v>0</v>
      </c>
      <c r="CD65" s="178">
        <v>0</v>
      </c>
      <c r="CE65" s="178">
        <v>0</v>
      </c>
      <c r="CF65" s="178">
        <v>0</v>
      </c>
      <c r="CG65" s="178">
        <v>0</v>
      </c>
      <c r="CH65" s="178">
        <v>0</v>
      </c>
      <c r="CI65" s="178">
        <v>0</v>
      </c>
      <c r="CJ65" s="178">
        <v>0</v>
      </c>
      <c r="CK65" s="178">
        <v>0</v>
      </c>
      <c r="CL65" s="178">
        <v>0</v>
      </c>
      <c r="CM65" s="178">
        <v>0</v>
      </c>
      <c r="CN65" s="178">
        <v>0</v>
      </c>
      <c r="CO65" s="178">
        <v>0</v>
      </c>
      <c r="CP65" s="178">
        <v>0</v>
      </c>
      <c r="CQ65" s="178">
        <v>0</v>
      </c>
      <c r="CR65" s="178">
        <v>0</v>
      </c>
      <c r="CS65" s="178">
        <v>0</v>
      </c>
      <c r="CT65" s="178">
        <v>0</v>
      </c>
      <c r="CU65" s="178">
        <v>0</v>
      </c>
      <c r="CV65" s="178">
        <v>0</v>
      </c>
      <c r="CW65" s="178">
        <v>0</v>
      </c>
      <c r="CX65" s="178">
        <v>0</v>
      </c>
      <c r="CY65" s="178">
        <v>0</v>
      </c>
      <c r="CZ65" s="178">
        <v>0</v>
      </c>
      <c r="DA65" s="178">
        <v>0</v>
      </c>
      <c r="DB65" s="178">
        <v>0</v>
      </c>
      <c r="DC65" s="178">
        <v>0</v>
      </c>
      <c r="DD65" s="178">
        <v>0</v>
      </c>
      <c r="DE65" s="178">
        <v>0</v>
      </c>
      <c r="DF65" s="178">
        <v>0</v>
      </c>
      <c r="DG65" s="178">
        <v>0</v>
      </c>
      <c r="DH65" s="178">
        <v>0</v>
      </c>
      <c r="DI65" s="178">
        <v>0</v>
      </c>
      <c r="DJ65" s="178">
        <v>0</v>
      </c>
      <c r="DK65" s="178">
        <v>0</v>
      </c>
      <c r="DL65" s="178">
        <v>0</v>
      </c>
      <c r="DM65" s="178">
        <v>0</v>
      </c>
      <c r="DN65" s="178">
        <v>0</v>
      </c>
      <c r="DO65" s="178">
        <v>0</v>
      </c>
      <c r="DP65" s="178">
        <v>0</v>
      </c>
      <c r="DQ65" s="178">
        <v>0</v>
      </c>
      <c r="DR65" s="178">
        <v>0</v>
      </c>
      <c r="DS65" s="178">
        <v>0</v>
      </c>
      <c r="DT65" s="178">
        <v>0</v>
      </c>
      <c r="DU65" s="178">
        <v>0</v>
      </c>
      <c r="DV65" s="178">
        <v>0</v>
      </c>
      <c r="DW65" s="178">
        <v>0</v>
      </c>
      <c r="DX65" s="178">
        <v>0</v>
      </c>
      <c r="DY65" s="178">
        <v>0</v>
      </c>
      <c r="DZ65" s="178">
        <v>0</v>
      </c>
      <c r="EA65" s="178">
        <v>0</v>
      </c>
      <c r="EB65" s="178">
        <v>0</v>
      </c>
      <c r="EC65" s="178">
        <v>0</v>
      </c>
      <c r="ED65" s="178">
        <v>0</v>
      </c>
      <c r="EE65" s="178">
        <v>0</v>
      </c>
      <c r="EF65" s="178">
        <v>0</v>
      </c>
      <c r="EG65" s="178">
        <v>0</v>
      </c>
      <c r="EH65" s="178">
        <v>0</v>
      </c>
    </row>
    <row r="66" spans="1:138" x14ac:dyDescent="0.25">
      <c r="A66" s="49" t="str">
        <f>IPO監視一覧!H63</f>
        <v>B</v>
      </c>
      <c r="B66" s="49" t="str">
        <f>IPO監視一覧!B63</f>
        <v>フロンティア・マネジメント</v>
      </c>
      <c r="C66" s="177">
        <f>株価一覧!E65</f>
        <v>0</v>
      </c>
      <c r="D66" s="105">
        <f t="shared" ca="1" si="17"/>
        <v>0</v>
      </c>
      <c r="E66" s="177">
        <f t="shared" ca="1" si="18"/>
        <v>0</v>
      </c>
      <c r="F66" s="110">
        <f t="shared" ca="1" si="19"/>
        <v>0</v>
      </c>
      <c r="G66" s="178">
        <v>0</v>
      </c>
      <c r="H66" s="178">
        <v>0</v>
      </c>
      <c r="I66" s="178">
        <v>0</v>
      </c>
      <c r="J66" s="178">
        <v>0</v>
      </c>
      <c r="K66" s="178">
        <v>0</v>
      </c>
      <c r="L66" s="178">
        <v>0</v>
      </c>
      <c r="M66" s="178">
        <v>0</v>
      </c>
      <c r="N66" s="178">
        <v>0</v>
      </c>
      <c r="O66" s="178">
        <v>0</v>
      </c>
      <c r="P66" s="178">
        <v>0</v>
      </c>
      <c r="Q66" s="178">
        <v>0</v>
      </c>
      <c r="R66" s="178">
        <v>0</v>
      </c>
      <c r="S66" s="178">
        <v>0</v>
      </c>
      <c r="T66" s="178">
        <v>0</v>
      </c>
      <c r="U66" s="178">
        <v>0</v>
      </c>
      <c r="V66" s="178">
        <v>0</v>
      </c>
      <c r="W66" s="178">
        <v>0</v>
      </c>
      <c r="X66" s="178">
        <v>0</v>
      </c>
      <c r="Y66" s="178">
        <v>0</v>
      </c>
      <c r="Z66" s="178">
        <v>0</v>
      </c>
      <c r="AA66" s="178">
        <v>0</v>
      </c>
      <c r="AB66" s="178">
        <v>0</v>
      </c>
      <c r="AC66" s="178">
        <v>0</v>
      </c>
      <c r="AD66" s="178">
        <v>0</v>
      </c>
      <c r="AE66" s="178">
        <v>0</v>
      </c>
      <c r="AF66" s="178">
        <v>0</v>
      </c>
      <c r="AG66" s="178">
        <v>0</v>
      </c>
      <c r="AH66" s="178">
        <v>0</v>
      </c>
      <c r="AI66" s="178">
        <v>0</v>
      </c>
      <c r="AJ66" s="178">
        <v>0</v>
      </c>
      <c r="AK66" s="178">
        <v>0</v>
      </c>
      <c r="AL66" s="178">
        <v>0</v>
      </c>
      <c r="AM66" s="178">
        <v>0</v>
      </c>
      <c r="AN66" s="178">
        <v>0</v>
      </c>
      <c r="AO66" s="178">
        <v>0</v>
      </c>
      <c r="AP66" s="178">
        <v>0</v>
      </c>
      <c r="AQ66" s="178">
        <v>0</v>
      </c>
      <c r="AR66" s="178">
        <v>0</v>
      </c>
      <c r="AS66" s="178">
        <v>0</v>
      </c>
      <c r="AT66" s="178">
        <v>0</v>
      </c>
      <c r="AU66" s="178">
        <v>0</v>
      </c>
      <c r="AV66" s="178">
        <v>0</v>
      </c>
      <c r="AW66" s="178">
        <v>0</v>
      </c>
      <c r="AX66" s="178">
        <v>0</v>
      </c>
      <c r="AY66" s="178">
        <v>0</v>
      </c>
      <c r="AZ66" s="178">
        <v>0</v>
      </c>
      <c r="BA66" s="178">
        <v>0</v>
      </c>
      <c r="BB66" s="178">
        <v>0</v>
      </c>
      <c r="BC66" s="178">
        <v>0</v>
      </c>
      <c r="BD66" s="178">
        <v>0</v>
      </c>
      <c r="BE66" s="178">
        <v>0</v>
      </c>
      <c r="BF66" s="178">
        <v>0</v>
      </c>
      <c r="BG66" s="178">
        <v>0</v>
      </c>
      <c r="BH66" s="178">
        <v>0</v>
      </c>
      <c r="BI66" s="178">
        <v>0</v>
      </c>
      <c r="BJ66" s="178">
        <v>0</v>
      </c>
      <c r="BK66" s="178">
        <v>0</v>
      </c>
      <c r="BL66" s="178">
        <v>0</v>
      </c>
      <c r="BM66" s="178">
        <v>0</v>
      </c>
      <c r="BN66" s="178">
        <v>0</v>
      </c>
      <c r="BO66" s="178">
        <v>0</v>
      </c>
      <c r="BP66" s="178">
        <v>0</v>
      </c>
      <c r="BQ66" s="178">
        <v>0</v>
      </c>
      <c r="BR66" s="178">
        <v>0</v>
      </c>
      <c r="BS66" s="178">
        <v>0</v>
      </c>
      <c r="BT66" s="178">
        <v>0</v>
      </c>
      <c r="BU66" s="178">
        <v>0</v>
      </c>
      <c r="BV66" s="178">
        <v>0</v>
      </c>
      <c r="BW66" s="178">
        <v>0</v>
      </c>
      <c r="BX66" s="178">
        <v>0</v>
      </c>
      <c r="BY66" s="178">
        <v>0</v>
      </c>
      <c r="BZ66" s="178">
        <v>0</v>
      </c>
      <c r="CA66" s="178">
        <v>0</v>
      </c>
      <c r="CB66" s="178">
        <v>0</v>
      </c>
      <c r="CC66" s="178">
        <v>0</v>
      </c>
      <c r="CD66" s="178">
        <v>0</v>
      </c>
      <c r="CE66" s="178">
        <v>0</v>
      </c>
      <c r="CF66" s="178">
        <v>0</v>
      </c>
      <c r="CG66" s="178">
        <v>0</v>
      </c>
      <c r="CH66" s="178">
        <v>0</v>
      </c>
      <c r="CI66" s="178">
        <v>0</v>
      </c>
      <c r="CJ66" s="178">
        <v>0</v>
      </c>
      <c r="CK66" s="178">
        <v>0</v>
      </c>
      <c r="CL66" s="178">
        <v>0</v>
      </c>
      <c r="CM66" s="178">
        <v>0</v>
      </c>
      <c r="CN66" s="178">
        <v>0</v>
      </c>
      <c r="CO66" s="178">
        <v>0</v>
      </c>
      <c r="CP66" s="178">
        <v>0</v>
      </c>
      <c r="CQ66" s="178">
        <v>0</v>
      </c>
      <c r="CR66" s="178">
        <v>0</v>
      </c>
      <c r="CS66" s="178">
        <v>0</v>
      </c>
      <c r="CT66" s="178">
        <v>0</v>
      </c>
      <c r="CU66" s="178">
        <v>0</v>
      </c>
      <c r="CV66" s="178">
        <v>0</v>
      </c>
      <c r="CW66" s="178">
        <v>0</v>
      </c>
      <c r="CX66" s="178">
        <v>0</v>
      </c>
      <c r="CY66" s="178">
        <v>0</v>
      </c>
      <c r="CZ66" s="178">
        <v>0</v>
      </c>
      <c r="DA66" s="178">
        <v>0</v>
      </c>
      <c r="DB66" s="178">
        <v>0</v>
      </c>
      <c r="DC66" s="178">
        <v>0</v>
      </c>
      <c r="DD66" s="178">
        <v>0</v>
      </c>
      <c r="DE66" s="178">
        <v>0</v>
      </c>
      <c r="DF66" s="178">
        <v>0</v>
      </c>
      <c r="DG66" s="178">
        <v>0</v>
      </c>
      <c r="DH66" s="178">
        <v>0</v>
      </c>
      <c r="DI66" s="178">
        <v>0</v>
      </c>
      <c r="DJ66" s="178">
        <v>0</v>
      </c>
      <c r="DK66" s="178">
        <v>0</v>
      </c>
      <c r="DL66" s="178">
        <v>0</v>
      </c>
      <c r="DM66" s="178">
        <v>0</v>
      </c>
      <c r="DN66" s="178">
        <v>0</v>
      </c>
      <c r="DO66" s="178">
        <v>0</v>
      </c>
      <c r="DP66" s="178">
        <v>0</v>
      </c>
      <c r="DQ66" s="178">
        <v>0</v>
      </c>
      <c r="DR66" s="178">
        <v>0</v>
      </c>
      <c r="DS66" s="178">
        <v>0</v>
      </c>
      <c r="DT66" s="178">
        <v>0</v>
      </c>
      <c r="DU66" s="178">
        <v>0</v>
      </c>
      <c r="DV66" s="178">
        <v>0</v>
      </c>
      <c r="DW66" s="178">
        <v>0</v>
      </c>
      <c r="DX66" s="178">
        <v>0</v>
      </c>
      <c r="DY66" s="178">
        <v>0</v>
      </c>
      <c r="DZ66" s="178">
        <v>0</v>
      </c>
      <c r="EA66" s="178">
        <v>0</v>
      </c>
      <c r="EB66" s="178">
        <v>0</v>
      </c>
      <c r="EC66" s="178">
        <v>0</v>
      </c>
      <c r="ED66" s="178">
        <v>0</v>
      </c>
      <c r="EE66" s="178">
        <v>0</v>
      </c>
      <c r="EF66" s="178">
        <v>0</v>
      </c>
      <c r="EG66" s="178">
        <v>0</v>
      </c>
      <c r="EH66" s="178">
        <v>0</v>
      </c>
    </row>
    <row r="67" spans="1:138" x14ac:dyDescent="0.25">
      <c r="A67" s="49" t="str">
        <f>IPO監視一覧!H64</f>
        <v>A</v>
      </c>
      <c r="B67" s="49" t="str">
        <f>IPO監視一覧!B64</f>
        <v>ブリッジインターナショナル</v>
      </c>
      <c r="C67" s="177">
        <f>株価一覧!E66</f>
        <v>0</v>
      </c>
      <c r="D67" s="105">
        <f t="shared" ca="1" si="17"/>
        <v>0</v>
      </c>
      <c r="E67" s="177">
        <f t="shared" ca="1" si="18"/>
        <v>0</v>
      </c>
      <c r="F67" s="110">
        <f t="shared" ca="1" si="19"/>
        <v>0</v>
      </c>
      <c r="G67" s="178">
        <v>0</v>
      </c>
      <c r="H67" s="178">
        <v>0</v>
      </c>
      <c r="I67" s="178">
        <v>0</v>
      </c>
      <c r="J67" s="178">
        <v>0</v>
      </c>
      <c r="K67" s="178">
        <v>0</v>
      </c>
      <c r="L67" s="178">
        <v>0</v>
      </c>
      <c r="M67" s="178">
        <v>0</v>
      </c>
      <c r="N67" s="178">
        <v>0</v>
      </c>
      <c r="O67" s="178">
        <v>0</v>
      </c>
      <c r="P67" s="178">
        <v>0</v>
      </c>
      <c r="Q67" s="178">
        <v>0</v>
      </c>
      <c r="R67" s="178">
        <v>0</v>
      </c>
      <c r="S67" s="178">
        <v>0</v>
      </c>
      <c r="T67" s="178">
        <v>0</v>
      </c>
      <c r="U67" s="178">
        <v>0</v>
      </c>
      <c r="V67" s="178">
        <v>0</v>
      </c>
      <c r="W67" s="178">
        <v>0</v>
      </c>
      <c r="X67" s="178">
        <v>0</v>
      </c>
      <c r="Y67" s="178">
        <v>0</v>
      </c>
      <c r="Z67" s="178">
        <v>0</v>
      </c>
      <c r="AA67" s="178">
        <v>0</v>
      </c>
      <c r="AB67" s="178">
        <v>0</v>
      </c>
      <c r="AC67" s="178">
        <v>0</v>
      </c>
      <c r="AD67" s="178">
        <v>0</v>
      </c>
      <c r="AE67" s="178">
        <v>0</v>
      </c>
      <c r="AF67" s="178">
        <v>0</v>
      </c>
      <c r="AG67" s="178">
        <v>0</v>
      </c>
      <c r="AH67" s="178">
        <v>0</v>
      </c>
      <c r="AI67" s="178">
        <v>0</v>
      </c>
      <c r="AJ67" s="178">
        <v>0</v>
      </c>
      <c r="AK67" s="178">
        <v>0</v>
      </c>
      <c r="AL67" s="178">
        <v>0</v>
      </c>
      <c r="AM67" s="178">
        <v>0</v>
      </c>
      <c r="AN67" s="178">
        <v>0</v>
      </c>
      <c r="AO67" s="178">
        <v>0</v>
      </c>
      <c r="AP67" s="178">
        <v>0</v>
      </c>
      <c r="AQ67" s="178">
        <v>0</v>
      </c>
      <c r="AR67" s="178">
        <v>0</v>
      </c>
      <c r="AS67" s="178">
        <v>0</v>
      </c>
      <c r="AT67" s="178">
        <v>0</v>
      </c>
      <c r="AU67" s="178">
        <v>0</v>
      </c>
      <c r="AV67" s="178">
        <v>0</v>
      </c>
      <c r="AW67" s="178">
        <v>0</v>
      </c>
      <c r="AX67" s="178">
        <v>0</v>
      </c>
      <c r="AY67" s="178">
        <v>0</v>
      </c>
      <c r="AZ67" s="178">
        <v>0</v>
      </c>
      <c r="BA67" s="178">
        <v>0</v>
      </c>
      <c r="BB67" s="178">
        <v>0</v>
      </c>
      <c r="BC67" s="178">
        <v>0</v>
      </c>
      <c r="BD67" s="178">
        <v>0</v>
      </c>
      <c r="BE67" s="178">
        <v>0</v>
      </c>
      <c r="BF67" s="178">
        <v>0</v>
      </c>
      <c r="BG67" s="178">
        <v>0</v>
      </c>
      <c r="BH67" s="178">
        <v>0</v>
      </c>
      <c r="BI67" s="178">
        <v>0</v>
      </c>
      <c r="BJ67" s="178">
        <v>0</v>
      </c>
      <c r="BK67" s="178">
        <v>0</v>
      </c>
      <c r="BL67" s="178">
        <v>0</v>
      </c>
      <c r="BM67" s="178">
        <v>0</v>
      </c>
      <c r="BN67" s="178">
        <v>0</v>
      </c>
      <c r="BO67" s="178">
        <v>0</v>
      </c>
      <c r="BP67" s="178">
        <v>0</v>
      </c>
      <c r="BQ67" s="178">
        <v>0</v>
      </c>
      <c r="BR67" s="178">
        <v>0</v>
      </c>
      <c r="BS67" s="178">
        <v>0</v>
      </c>
      <c r="BT67" s="178">
        <v>0</v>
      </c>
      <c r="BU67" s="178">
        <v>0</v>
      </c>
      <c r="BV67" s="178">
        <v>0</v>
      </c>
      <c r="BW67" s="178">
        <v>0</v>
      </c>
      <c r="BX67" s="178">
        <v>0</v>
      </c>
      <c r="BY67" s="178">
        <v>0</v>
      </c>
      <c r="BZ67" s="178">
        <v>0</v>
      </c>
      <c r="CA67" s="178">
        <v>0</v>
      </c>
      <c r="CB67" s="178">
        <v>0</v>
      </c>
      <c r="CC67" s="178">
        <v>0</v>
      </c>
      <c r="CD67" s="178">
        <v>0</v>
      </c>
      <c r="CE67" s="178">
        <v>0</v>
      </c>
      <c r="CF67" s="178">
        <v>0</v>
      </c>
      <c r="CG67" s="178">
        <v>0</v>
      </c>
      <c r="CH67" s="178">
        <v>0</v>
      </c>
      <c r="CI67" s="178">
        <v>0</v>
      </c>
      <c r="CJ67" s="178">
        <v>0</v>
      </c>
      <c r="CK67" s="178">
        <v>0</v>
      </c>
      <c r="CL67" s="178">
        <v>0</v>
      </c>
      <c r="CM67" s="178">
        <v>0</v>
      </c>
      <c r="CN67" s="178">
        <v>0</v>
      </c>
      <c r="CO67" s="178">
        <v>0</v>
      </c>
      <c r="CP67" s="178">
        <v>0</v>
      </c>
      <c r="CQ67" s="178">
        <v>0</v>
      </c>
      <c r="CR67" s="178">
        <v>0</v>
      </c>
      <c r="CS67" s="178">
        <v>0</v>
      </c>
      <c r="CT67" s="178">
        <v>0</v>
      </c>
      <c r="CU67" s="178">
        <v>0</v>
      </c>
      <c r="CV67" s="178">
        <v>0</v>
      </c>
      <c r="CW67" s="178">
        <v>0</v>
      </c>
      <c r="CX67" s="178">
        <v>0</v>
      </c>
      <c r="CY67" s="178">
        <v>0</v>
      </c>
      <c r="CZ67" s="178">
        <v>0</v>
      </c>
      <c r="DA67" s="178">
        <v>0</v>
      </c>
      <c r="DB67" s="178">
        <v>0</v>
      </c>
      <c r="DC67" s="178">
        <v>0</v>
      </c>
      <c r="DD67" s="178">
        <v>0</v>
      </c>
      <c r="DE67" s="178">
        <v>0</v>
      </c>
      <c r="DF67" s="178">
        <v>0</v>
      </c>
      <c r="DG67" s="178">
        <v>0</v>
      </c>
      <c r="DH67" s="178">
        <v>0</v>
      </c>
      <c r="DI67" s="178">
        <v>0</v>
      </c>
      <c r="DJ67" s="178">
        <v>0</v>
      </c>
      <c r="DK67" s="178">
        <v>0</v>
      </c>
      <c r="DL67" s="178">
        <v>0</v>
      </c>
      <c r="DM67" s="178">
        <v>0</v>
      </c>
      <c r="DN67" s="178">
        <v>0</v>
      </c>
      <c r="DO67" s="178">
        <v>0</v>
      </c>
      <c r="DP67" s="178">
        <v>0</v>
      </c>
      <c r="DQ67" s="178">
        <v>0</v>
      </c>
      <c r="DR67" s="178">
        <v>0</v>
      </c>
      <c r="DS67" s="178">
        <v>0</v>
      </c>
      <c r="DT67" s="178">
        <v>0</v>
      </c>
      <c r="DU67" s="178">
        <v>0</v>
      </c>
      <c r="DV67" s="178">
        <v>0</v>
      </c>
      <c r="DW67" s="178">
        <v>0</v>
      </c>
      <c r="DX67" s="178">
        <v>0</v>
      </c>
      <c r="DY67" s="178">
        <v>0</v>
      </c>
      <c r="DZ67" s="178">
        <v>0</v>
      </c>
      <c r="EA67" s="178">
        <v>0</v>
      </c>
      <c r="EB67" s="178">
        <v>0</v>
      </c>
      <c r="EC67" s="178">
        <v>0</v>
      </c>
      <c r="ED67" s="178">
        <v>0</v>
      </c>
      <c r="EE67" s="178">
        <v>0</v>
      </c>
      <c r="EF67" s="178">
        <v>0</v>
      </c>
      <c r="EG67" s="178">
        <v>0</v>
      </c>
      <c r="EH67" s="178">
        <v>0</v>
      </c>
    </row>
    <row r="68" spans="1:138" x14ac:dyDescent="0.25">
      <c r="A68" s="49" t="str">
        <f>IPO監視一覧!H65</f>
        <v>B</v>
      </c>
      <c r="B68" s="49" t="str">
        <f>IPO監視一覧!B65</f>
        <v>ＣＲＧHD</v>
      </c>
      <c r="C68" s="177">
        <f>株価一覧!E67</f>
        <v>0</v>
      </c>
      <c r="D68" s="105">
        <f t="shared" ca="1" si="17"/>
        <v>0</v>
      </c>
      <c r="E68" s="177">
        <f t="shared" ca="1" si="18"/>
        <v>0</v>
      </c>
      <c r="F68" s="110">
        <f t="shared" ca="1" si="19"/>
        <v>0</v>
      </c>
      <c r="G68" s="178">
        <v>0</v>
      </c>
      <c r="H68" s="178">
        <v>0</v>
      </c>
      <c r="I68" s="178">
        <v>0</v>
      </c>
      <c r="J68" s="178">
        <v>0</v>
      </c>
      <c r="K68" s="178">
        <v>0</v>
      </c>
      <c r="L68" s="178">
        <v>0</v>
      </c>
      <c r="M68" s="178">
        <v>0</v>
      </c>
      <c r="N68" s="178">
        <v>0</v>
      </c>
      <c r="O68" s="178">
        <v>0</v>
      </c>
      <c r="P68" s="178">
        <v>0</v>
      </c>
      <c r="Q68" s="178">
        <v>0</v>
      </c>
      <c r="R68" s="178">
        <v>0</v>
      </c>
      <c r="S68" s="178">
        <v>0</v>
      </c>
      <c r="T68" s="178">
        <v>0</v>
      </c>
      <c r="U68" s="178">
        <v>0</v>
      </c>
      <c r="V68" s="178">
        <v>0</v>
      </c>
      <c r="W68" s="178">
        <v>0</v>
      </c>
      <c r="X68" s="178">
        <v>0</v>
      </c>
      <c r="Y68" s="178">
        <v>0</v>
      </c>
      <c r="Z68" s="178">
        <v>0</v>
      </c>
      <c r="AA68" s="178">
        <v>0</v>
      </c>
      <c r="AB68" s="178">
        <v>0</v>
      </c>
      <c r="AC68" s="178">
        <v>0</v>
      </c>
      <c r="AD68" s="178">
        <v>0</v>
      </c>
      <c r="AE68" s="178">
        <v>0</v>
      </c>
      <c r="AF68" s="178">
        <v>0</v>
      </c>
      <c r="AG68" s="178">
        <v>0</v>
      </c>
      <c r="AH68" s="178">
        <v>0</v>
      </c>
      <c r="AI68" s="178">
        <v>0</v>
      </c>
      <c r="AJ68" s="178">
        <v>0</v>
      </c>
      <c r="AK68" s="178">
        <v>0</v>
      </c>
      <c r="AL68" s="178">
        <v>0</v>
      </c>
      <c r="AM68" s="178">
        <v>0</v>
      </c>
      <c r="AN68" s="178">
        <v>0</v>
      </c>
      <c r="AO68" s="178">
        <v>0</v>
      </c>
      <c r="AP68" s="178">
        <v>0</v>
      </c>
      <c r="AQ68" s="178">
        <v>0</v>
      </c>
      <c r="AR68" s="178">
        <v>0</v>
      </c>
      <c r="AS68" s="178">
        <v>0</v>
      </c>
      <c r="AT68" s="178">
        <v>0</v>
      </c>
      <c r="AU68" s="178">
        <v>0</v>
      </c>
      <c r="AV68" s="178">
        <v>0</v>
      </c>
      <c r="AW68" s="178">
        <v>0</v>
      </c>
      <c r="AX68" s="178">
        <v>0</v>
      </c>
      <c r="AY68" s="178">
        <v>0</v>
      </c>
      <c r="AZ68" s="178">
        <v>0</v>
      </c>
      <c r="BA68" s="178">
        <v>0</v>
      </c>
      <c r="BB68" s="178">
        <v>0</v>
      </c>
      <c r="BC68" s="178">
        <v>0</v>
      </c>
      <c r="BD68" s="178">
        <v>0</v>
      </c>
      <c r="BE68" s="178">
        <v>0</v>
      </c>
      <c r="BF68" s="178">
        <v>0</v>
      </c>
      <c r="BG68" s="178">
        <v>0</v>
      </c>
      <c r="BH68" s="178">
        <v>0</v>
      </c>
      <c r="BI68" s="178">
        <v>0</v>
      </c>
      <c r="BJ68" s="178">
        <v>0</v>
      </c>
      <c r="BK68" s="178">
        <v>0</v>
      </c>
      <c r="BL68" s="178">
        <v>0</v>
      </c>
      <c r="BM68" s="178">
        <v>0</v>
      </c>
      <c r="BN68" s="178">
        <v>0</v>
      </c>
      <c r="BO68" s="178">
        <v>0</v>
      </c>
      <c r="BP68" s="178">
        <v>0</v>
      </c>
      <c r="BQ68" s="178">
        <v>0</v>
      </c>
      <c r="BR68" s="178">
        <v>0</v>
      </c>
      <c r="BS68" s="178">
        <v>0</v>
      </c>
      <c r="BT68" s="178">
        <v>0</v>
      </c>
      <c r="BU68" s="178">
        <v>0</v>
      </c>
      <c r="BV68" s="178">
        <v>0</v>
      </c>
      <c r="BW68" s="178">
        <v>0</v>
      </c>
      <c r="BX68" s="178">
        <v>0</v>
      </c>
      <c r="BY68" s="178">
        <v>0</v>
      </c>
      <c r="BZ68" s="178">
        <v>0</v>
      </c>
      <c r="CA68" s="178">
        <v>0</v>
      </c>
      <c r="CB68" s="178">
        <v>0</v>
      </c>
      <c r="CC68" s="178">
        <v>0</v>
      </c>
      <c r="CD68" s="178">
        <v>0</v>
      </c>
      <c r="CE68" s="178">
        <v>0</v>
      </c>
      <c r="CF68" s="178">
        <v>0</v>
      </c>
      <c r="CG68" s="178">
        <v>0</v>
      </c>
      <c r="CH68" s="178">
        <v>0</v>
      </c>
      <c r="CI68" s="178">
        <v>0</v>
      </c>
      <c r="CJ68" s="178">
        <v>0</v>
      </c>
      <c r="CK68" s="178">
        <v>0</v>
      </c>
      <c r="CL68" s="178">
        <v>0</v>
      </c>
      <c r="CM68" s="178">
        <v>0</v>
      </c>
      <c r="CN68" s="178">
        <v>0</v>
      </c>
      <c r="CO68" s="178">
        <v>0</v>
      </c>
      <c r="CP68" s="178">
        <v>0</v>
      </c>
      <c r="CQ68" s="178">
        <v>0</v>
      </c>
      <c r="CR68" s="178">
        <v>0</v>
      </c>
      <c r="CS68" s="178">
        <v>0</v>
      </c>
      <c r="CT68" s="178">
        <v>0</v>
      </c>
      <c r="CU68" s="178">
        <v>0</v>
      </c>
      <c r="CV68" s="178">
        <v>0</v>
      </c>
      <c r="CW68" s="178">
        <v>0</v>
      </c>
      <c r="CX68" s="178">
        <v>0</v>
      </c>
      <c r="CY68" s="178">
        <v>0</v>
      </c>
      <c r="CZ68" s="178">
        <v>0</v>
      </c>
      <c r="DA68" s="178">
        <v>0</v>
      </c>
      <c r="DB68" s="178">
        <v>0</v>
      </c>
      <c r="DC68" s="178">
        <v>0</v>
      </c>
      <c r="DD68" s="178">
        <v>0</v>
      </c>
      <c r="DE68" s="178">
        <v>0</v>
      </c>
      <c r="DF68" s="178">
        <v>0</v>
      </c>
      <c r="DG68" s="178">
        <v>0</v>
      </c>
      <c r="DH68" s="178">
        <v>0</v>
      </c>
      <c r="DI68" s="178">
        <v>0</v>
      </c>
      <c r="DJ68" s="178">
        <v>0</v>
      </c>
      <c r="DK68" s="178">
        <v>0</v>
      </c>
      <c r="DL68" s="178">
        <v>0</v>
      </c>
      <c r="DM68" s="178">
        <v>0</v>
      </c>
      <c r="DN68" s="178">
        <v>0</v>
      </c>
      <c r="DO68" s="178">
        <v>0</v>
      </c>
      <c r="DP68" s="178">
        <v>0</v>
      </c>
      <c r="DQ68" s="178">
        <v>0</v>
      </c>
      <c r="DR68" s="178">
        <v>0</v>
      </c>
      <c r="DS68" s="178">
        <v>0</v>
      </c>
      <c r="DT68" s="178">
        <v>0</v>
      </c>
      <c r="DU68" s="178">
        <v>0</v>
      </c>
      <c r="DV68" s="178">
        <v>0</v>
      </c>
      <c r="DW68" s="178">
        <v>0</v>
      </c>
      <c r="DX68" s="178">
        <v>0</v>
      </c>
      <c r="DY68" s="178">
        <v>0</v>
      </c>
      <c r="DZ68" s="178">
        <v>0</v>
      </c>
      <c r="EA68" s="178">
        <v>0</v>
      </c>
      <c r="EB68" s="178">
        <v>0</v>
      </c>
      <c r="EC68" s="178">
        <v>0</v>
      </c>
      <c r="ED68" s="178">
        <v>0</v>
      </c>
      <c r="EE68" s="178">
        <v>0</v>
      </c>
      <c r="EF68" s="178">
        <v>0</v>
      </c>
      <c r="EG68" s="178">
        <v>0</v>
      </c>
      <c r="EH68" s="178">
        <v>0</v>
      </c>
    </row>
    <row r="69" spans="1:138" x14ac:dyDescent="0.25">
      <c r="A69" s="49" t="str">
        <f>IPO監視一覧!H66</f>
        <v>D</v>
      </c>
      <c r="B69" s="49" t="str">
        <f>IPO監視一覧!B66</f>
        <v>Delta-Fly Pharma</v>
      </c>
      <c r="C69" s="177">
        <f>株価一覧!E68</f>
        <v>0</v>
      </c>
      <c r="D69" s="105">
        <f t="shared" ca="1" si="17"/>
        <v>0</v>
      </c>
      <c r="E69" s="177">
        <f t="shared" ca="1" si="18"/>
        <v>0</v>
      </c>
      <c r="F69" s="110">
        <f t="shared" ca="1" si="19"/>
        <v>0</v>
      </c>
      <c r="G69" s="178">
        <v>0</v>
      </c>
      <c r="H69" s="178">
        <v>0</v>
      </c>
      <c r="I69" s="178">
        <v>0</v>
      </c>
      <c r="J69" s="178">
        <v>0</v>
      </c>
      <c r="K69" s="178">
        <v>0</v>
      </c>
      <c r="L69" s="178">
        <v>0</v>
      </c>
      <c r="M69" s="178">
        <v>0</v>
      </c>
      <c r="N69" s="178">
        <v>0</v>
      </c>
      <c r="O69" s="178">
        <v>0</v>
      </c>
      <c r="P69" s="178">
        <v>0</v>
      </c>
      <c r="Q69" s="178">
        <v>0</v>
      </c>
      <c r="R69" s="178">
        <v>0</v>
      </c>
      <c r="S69" s="178">
        <v>0</v>
      </c>
      <c r="T69" s="178">
        <v>0</v>
      </c>
      <c r="U69" s="178">
        <v>0</v>
      </c>
      <c r="V69" s="178">
        <v>0</v>
      </c>
      <c r="W69" s="178">
        <v>0</v>
      </c>
      <c r="X69" s="178">
        <v>0</v>
      </c>
      <c r="Y69" s="178">
        <v>0</v>
      </c>
      <c r="Z69" s="178">
        <v>0</v>
      </c>
      <c r="AA69" s="178">
        <v>0</v>
      </c>
      <c r="AB69" s="178">
        <v>0</v>
      </c>
      <c r="AC69" s="178">
        <v>0</v>
      </c>
      <c r="AD69" s="178">
        <v>0</v>
      </c>
      <c r="AE69" s="178">
        <v>0</v>
      </c>
      <c r="AF69" s="178">
        <v>0</v>
      </c>
      <c r="AG69" s="178">
        <v>0</v>
      </c>
      <c r="AH69" s="178">
        <v>0</v>
      </c>
      <c r="AI69" s="178">
        <v>0</v>
      </c>
      <c r="AJ69" s="178">
        <v>0</v>
      </c>
      <c r="AK69" s="178">
        <v>0</v>
      </c>
      <c r="AL69" s="178">
        <v>0</v>
      </c>
      <c r="AM69" s="178">
        <v>0</v>
      </c>
      <c r="AN69" s="178">
        <v>0</v>
      </c>
      <c r="AO69" s="178">
        <v>0</v>
      </c>
      <c r="AP69" s="178">
        <v>0</v>
      </c>
      <c r="AQ69" s="178">
        <v>0</v>
      </c>
      <c r="AR69" s="178">
        <v>0</v>
      </c>
      <c r="AS69" s="178">
        <v>0</v>
      </c>
      <c r="AT69" s="178">
        <v>0</v>
      </c>
      <c r="AU69" s="178">
        <v>0</v>
      </c>
      <c r="AV69" s="178">
        <v>0</v>
      </c>
      <c r="AW69" s="178">
        <v>0</v>
      </c>
      <c r="AX69" s="178">
        <v>0</v>
      </c>
      <c r="AY69" s="178">
        <v>0</v>
      </c>
      <c r="AZ69" s="178">
        <v>0</v>
      </c>
      <c r="BA69" s="178">
        <v>0</v>
      </c>
      <c r="BB69" s="178">
        <v>0</v>
      </c>
      <c r="BC69" s="178">
        <v>0</v>
      </c>
      <c r="BD69" s="178">
        <v>0</v>
      </c>
      <c r="BE69" s="178">
        <v>0</v>
      </c>
      <c r="BF69" s="178">
        <v>0</v>
      </c>
      <c r="BG69" s="178">
        <v>0</v>
      </c>
      <c r="BH69" s="178">
        <v>0</v>
      </c>
      <c r="BI69" s="178">
        <v>0</v>
      </c>
      <c r="BJ69" s="178">
        <v>0</v>
      </c>
      <c r="BK69" s="178">
        <v>0</v>
      </c>
      <c r="BL69" s="178">
        <v>0</v>
      </c>
      <c r="BM69" s="178">
        <v>0</v>
      </c>
      <c r="BN69" s="178">
        <v>0</v>
      </c>
      <c r="BO69" s="178">
        <v>0</v>
      </c>
      <c r="BP69" s="178">
        <v>0</v>
      </c>
      <c r="BQ69" s="178">
        <v>0</v>
      </c>
      <c r="BR69" s="178">
        <v>0</v>
      </c>
      <c r="BS69" s="178">
        <v>0</v>
      </c>
      <c r="BT69" s="178">
        <v>0</v>
      </c>
      <c r="BU69" s="178">
        <v>0</v>
      </c>
      <c r="BV69" s="178">
        <v>0</v>
      </c>
      <c r="BW69" s="178">
        <v>0</v>
      </c>
      <c r="BX69" s="178">
        <v>0</v>
      </c>
      <c r="BY69" s="178">
        <v>0</v>
      </c>
      <c r="BZ69" s="178">
        <v>0</v>
      </c>
      <c r="CA69" s="178">
        <v>0</v>
      </c>
      <c r="CB69" s="178">
        <v>0</v>
      </c>
      <c r="CC69" s="178">
        <v>0</v>
      </c>
      <c r="CD69" s="178">
        <v>0</v>
      </c>
      <c r="CE69" s="178">
        <v>0</v>
      </c>
      <c r="CF69" s="178">
        <v>0</v>
      </c>
      <c r="CG69" s="178">
        <v>0</v>
      </c>
      <c r="CH69" s="178">
        <v>0</v>
      </c>
      <c r="CI69" s="178">
        <v>0</v>
      </c>
      <c r="CJ69" s="178">
        <v>0</v>
      </c>
      <c r="CK69" s="178">
        <v>0</v>
      </c>
      <c r="CL69" s="178">
        <v>0</v>
      </c>
      <c r="CM69" s="178">
        <v>0</v>
      </c>
      <c r="CN69" s="178">
        <v>0</v>
      </c>
      <c r="CO69" s="178">
        <v>0</v>
      </c>
      <c r="CP69" s="178">
        <v>0</v>
      </c>
      <c r="CQ69" s="178">
        <v>0</v>
      </c>
      <c r="CR69" s="178">
        <v>0</v>
      </c>
      <c r="CS69" s="178">
        <v>0</v>
      </c>
      <c r="CT69" s="178">
        <v>0</v>
      </c>
      <c r="CU69" s="178">
        <v>0</v>
      </c>
      <c r="CV69" s="178">
        <v>0</v>
      </c>
      <c r="CW69" s="178">
        <v>0</v>
      </c>
      <c r="CX69" s="178">
        <v>0</v>
      </c>
      <c r="CY69" s="178">
        <v>0</v>
      </c>
      <c r="CZ69" s="178">
        <v>0</v>
      </c>
      <c r="DA69" s="178">
        <v>0</v>
      </c>
      <c r="DB69" s="178">
        <v>0</v>
      </c>
      <c r="DC69" s="178">
        <v>0</v>
      </c>
      <c r="DD69" s="178">
        <v>0</v>
      </c>
      <c r="DE69" s="178">
        <v>0</v>
      </c>
      <c r="DF69" s="178">
        <v>0</v>
      </c>
      <c r="DG69" s="178">
        <v>0</v>
      </c>
      <c r="DH69" s="178">
        <v>0</v>
      </c>
      <c r="DI69" s="178">
        <v>0</v>
      </c>
      <c r="DJ69" s="178">
        <v>0</v>
      </c>
      <c r="DK69" s="178">
        <v>0</v>
      </c>
      <c r="DL69" s="178">
        <v>0</v>
      </c>
      <c r="DM69" s="178">
        <v>0</v>
      </c>
      <c r="DN69" s="178">
        <v>0</v>
      </c>
      <c r="DO69" s="178">
        <v>0</v>
      </c>
      <c r="DP69" s="178">
        <v>0</v>
      </c>
      <c r="DQ69" s="178">
        <v>0</v>
      </c>
      <c r="DR69" s="178">
        <v>0</v>
      </c>
      <c r="DS69" s="178">
        <v>0</v>
      </c>
      <c r="DT69" s="178">
        <v>0</v>
      </c>
      <c r="DU69" s="178">
        <v>0</v>
      </c>
      <c r="DV69" s="178">
        <v>0</v>
      </c>
      <c r="DW69" s="178">
        <v>0</v>
      </c>
      <c r="DX69" s="178">
        <v>0</v>
      </c>
      <c r="DY69" s="178">
        <v>0</v>
      </c>
      <c r="DZ69" s="178">
        <v>0</v>
      </c>
      <c r="EA69" s="178">
        <v>0</v>
      </c>
      <c r="EB69" s="178">
        <v>0</v>
      </c>
      <c r="EC69" s="178">
        <v>0</v>
      </c>
      <c r="ED69" s="178">
        <v>0</v>
      </c>
      <c r="EE69" s="178">
        <v>0</v>
      </c>
      <c r="EF69" s="178">
        <v>0</v>
      </c>
      <c r="EG69" s="178">
        <v>0</v>
      </c>
      <c r="EH69" s="178">
        <v>0</v>
      </c>
    </row>
    <row r="70" spans="1:138" x14ac:dyDescent="0.25">
      <c r="A70" s="49" t="str">
        <f>IPO監視一覧!H67</f>
        <v>B</v>
      </c>
      <c r="B70" s="49" t="str">
        <f>IPO監視一覧!B67</f>
        <v>イーソル</v>
      </c>
      <c r="C70" s="177">
        <f>株価一覧!E69</f>
        <v>0</v>
      </c>
      <c r="D70" s="105">
        <f t="shared" ca="1" si="17"/>
        <v>0</v>
      </c>
      <c r="E70" s="177">
        <f t="shared" ca="1" si="18"/>
        <v>0</v>
      </c>
      <c r="F70" s="110">
        <f t="shared" ca="1" si="19"/>
        <v>0</v>
      </c>
      <c r="G70" s="178">
        <v>0</v>
      </c>
      <c r="H70" s="178">
        <v>0</v>
      </c>
      <c r="I70" s="178">
        <v>0</v>
      </c>
      <c r="J70" s="178">
        <v>0</v>
      </c>
      <c r="K70" s="178">
        <v>0</v>
      </c>
      <c r="L70" s="178">
        <v>0</v>
      </c>
      <c r="M70" s="178">
        <v>0</v>
      </c>
      <c r="N70" s="178">
        <v>0</v>
      </c>
      <c r="O70" s="178">
        <v>0</v>
      </c>
      <c r="P70" s="178">
        <v>0</v>
      </c>
      <c r="Q70" s="178">
        <v>0</v>
      </c>
      <c r="R70" s="178">
        <v>0</v>
      </c>
      <c r="S70" s="178">
        <v>0</v>
      </c>
      <c r="T70" s="178">
        <v>0</v>
      </c>
      <c r="U70" s="178">
        <v>0</v>
      </c>
      <c r="V70" s="178">
        <v>0</v>
      </c>
      <c r="W70" s="178">
        <v>0</v>
      </c>
      <c r="X70" s="178">
        <v>0</v>
      </c>
      <c r="Y70" s="178">
        <v>0</v>
      </c>
      <c r="Z70" s="178">
        <v>0</v>
      </c>
      <c r="AA70" s="178">
        <v>0</v>
      </c>
      <c r="AB70" s="178">
        <v>0</v>
      </c>
      <c r="AC70" s="178">
        <v>0</v>
      </c>
      <c r="AD70" s="178">
        <v>0</v>
      </c>
      <c r="AE70" s="178">
        <v>0</v>
      </c>
      <c r="AF70" s="178">
        <v>0</v>
      </c>
      <c r="AG70" s="178">
        <v>0</v>
      </c>
      <c r="AH70" s="178">
        <v>0</v>
      </c>
      <c r="AI70" s="178">
        <v>0</v>
      </c>
      <c r="AJ70" s="178">
        <v>0</v>
      </c>
      <c r="AK70" s="178">
        <v>0</v>
      </c>
      <c r="AL70" s="178">
        <v>0</v>
      </c>
      <c r="AM70" s="178">
        <v>0</v>
      </c>
      <c r="AN70" s="178">
        <v>0</v>
      </c>
      <c r="AO70" s="178">
        <v>0</v>
      </c>
      <c r="AP70" s="178">
        <v>0</v>
      </c>
      <c r="AQ70" s="178">
        <v>0</v>
      </c>
      <c r="AR70" s="178">
        <v>0</v>
      </c>
      <c r="AS70" s="178">
        <v>0</v>
      </c>
      <c r="AT70" s="178">
        <v>0</v>
      </c>
      <c r="AU70" s="178">
        <v>0</v>
      </c>
      <c r="AV70" s="178">
        <v>0</v>
      </c>
      <c r="AW70" s="178">
        <v>0</v>
      </c>
      <c r="AX70" s="178">
        <v>0</v>
      </c>
      <c r="AY70" s="178">
        <v>0</v>
      </c>
      <c r="AZ70" s="178">
        <v>0</v>
      </c>
      <c r="BA70" s="178">
        <v>0</v>
      </c>
      <c r="BB70" s="178">
        <v>0</v>
      </c>
      <c r="BC70" s="178">
        <v>0</v>
      </c>
      <c r="BD70" s="178">
        <v>0</v>
      </c>
      <c r="BE70" s="178">
        <v>0</v>
      </c>
      <c r="BF70" s="178">
        <v>0</v>
      </c>
      <c r="BG70" s="178">
        <v>0</v>
      </c>
      <c r="BH70" s="178">
        <v>0</v>
      </c>
      <c r="BI70" s="178">
        <v>0</v>
      </c>
      <c r="BJ70" s="178">
        <v>0</v>
      </c>
      <c r="BK70" s="178">
        <v>0</v>
      </c>
      <c r="BL70" s="178">
        <v>0</v>
      </c>
      <c r="BM70" s="178">
        <v>0</v>
      </c>
      <c r="BN70" s="178">
        <v>0</v>
      </c>
      <c r="BO70" s="178">
        <v>0</v>
      </c>
      <c r="BP70" s="178">
        <v>0</v>
      </c>
      <c r="BQ70" s="178">
        <v>0</v>
      </c>
      <c r="BR70" s="178">
        <v>0</v>
      </c>
      <c r="BS70" s="178">
        <v>0</v>
      </c>
      <c r="BT70" s="178">
        <v>0</v>
      </c>
      <c r="BU70" s="178">
        <v>0</v>
      </c>
      <c r="BV70" s="178">
        <v>0</v>
      </c>
      <c r="BW70" s="178">
        <v>0</v>
      </c>
      <c r="BX70" s="178">
        <v>0</v>
      </c>
      <c r="BY70" s="178">
        <v>0</v>
      </c>
      <c r="BZ70" s="178">
        <v>0</v>
      </c>
      <c r="CA70" s="178">
        <v>0</v>
      </c>
      <c r="CB70" s="178">
        <v>0</v>
      </c>
      <c r="CC70" s="178">
        <v>0</v>
      </c>
      <c r="CD70" s="178">
        <v>0</v>
      </c>
      <c r="CE70" s="178">
        <v>0</v>
      </c>
      <c r="CF70" s="178">
        <v>0</v>
      </c>
      <c r="CG70" s="178">
        <v>0</v>
      </c>
      <c r="CH70" s="178">
        <v>0</v>
      </c>
      <c r="CI70" s="178">
        <v>0</v>
      </c>
      <c r="CJ70" s="178">
        <v>0</v>
      </c>
      <c r="CK70" s="178">
        <v>0</v>
      </c>
      <c r="CL70" s="178">
        <v>0</v>
      </c>
      <c r="CM70" s="178">
        <v>0</v>
      </c>
      <c r="CN70" s="178">
        <v>0</v>
      </c>
      <c r="CO70" s="178">
        <v>0</v>
      </c>
      <c r="CP70" s="178">
        <v>0</v>
      </c>
      <c r="CQ70" s="178">
        <v>0</v>
      </c>
      <c r="CR70" s="178">
        <v>0</v>
      </c>
      <c r="CS70" s="178">
        <v>0</v>
      </c>
      <c r="CT70" s="178">
        <v>0</v>
      </c>
      <c r="CU70" s="178">
        <v>0</v>
      </c>
      <c r="CV70" s="178">
        <v>0</v>
      </c>
      <c r="CW70" s="178">
        <v>0</v>
      </c>
      <c r="CX70" s="178">
        <v>0</v>
      </c>
      <c r="CY70" s="178">
        <v>0</v>
      </c>
      <c r="CZ70" s="178">
        <v>0</v>
      </c>
      <c r="DA70" s="178">
        <v>0</v>
      </c>
      <c r="DB70" s="178">
        <v>0</v>
      </c>
      <c r="DC70" s="178">
        <v>0</v>
      </c>
      <c r="DD70" s="178">
        <v>0</v>
      </c>
      <c r="DE70" s="178">
        <v>0</v>
      </c>
      <c r="DF70" s="178">
        <v>0</v>
      </c>
      <c r="DG70" s="178">
        <v>0</v>
      </c>
      <c r="DH70" s="178">
        <v>0</v>
      </c>
      <c r="DI70" s="178">
        <v>0</v>
      </c>
      <c r="DJ70" s="178">
        <v>0</v>
      </c>
      <c r="DK70" s="178">
        <v>0</v>
      </c>
      <c r="DL70" s="178">
        <v>0</v>
      </c>
      <c r="DM70" s="178">
        <v>0</v>
      </c>
      <c r="DN70" s="178">
        <v>0</v>
      </c>
      <c r="DO70" s="178">
        <v>0</v>
      </c>
      <c r="DP70" s="178">
        <v>0</v>
      </c>
      <c r="DQ70" s="178">
        <v>0</v>
      </c>
      <c r="DR70" s="178">
        <v>0</v>
      </c>
      <c r="DS70" s="178">
        <v>0</v>
      </c>
      <c r="DT70" s="178">
        <v>0</v>
      </c>
      <c r="DU70" s="178">
        <v>0</v>
      </c>
      <c r="DV70" s="178">
        <v>0</v>
      </c>
      <c r="DW70" s="178">
        <v>0</v>
      </c>
      <c r="DX70" s="178">
        <v>0</v>
      </c>
      <c r="DY70" s="178">
        <v>0</v>
      </c>
      <c r="DZ70" s="178">
        <v>0</v>
      </c>
      <c r="EA70" s="178">
        <v>0</v>
      </c>
      <c r="EB70" s="178">
        <v>0</v>
      </c>
      <c r="EC70" s="178">
        <v>0</v>
      </c>
      <c r="ED70" s="178">
        <v>0</v>
      </c>
      <c r="EE70" s="178">
        <v>0</v>
      </c>
      <c r="EF70" s="178">
        <v>0</v>
      </c>
      <c r="EG70" s="178">
        <v>0</v>
      </c>
      <c r="EH70" s="178">
        <v>0</v>
      </c>
    </row>
    <row r="71" spans="1:138" x14ac:dyDescent="0.25">
      <c r="A71" s="49">
        <f>IPO監視一覧!H68</f>
        <v>0</v>
      </c>
      <c r="B71" s="49">
        <f>IPO監視一覧!B68</f>
        <v>0</v>
      </c>
      <c r="C71" s="177">
        <f>株価一覧!E70</f>
        <v>0</v>
      </c>
      <c r="D71" s="105">
        <f t="shared" ca="1" si="17"/>
        <v>0</v>
      </c>
      <c r="E71" s="177">
        <f t="shared" ca="1" si="18"/>
        <v>0</v>
      </c>
      <c r="F71" s="110">
        <f t="shared" ca="1" si="19"/>
        <v>0</v>
      </c>
      <c r="G71" s="178">
        <v>0</v>
      </c>
      <c r="H71" s="178">
        <v>0</v>
      </c>
      <c r="I71" s="178">
        <v>0</v>
      </c>
      <c r="J71" s="178">
        <v>0</v>
      </c>
      <c r="K71" s="178">
        <v>0</v>
      </c>
      <c r="L71" s="178">
        <v>0</v>
      </c>
      <c r="M71" s="178">
        <v>0</v>
      </c>
      <c r="N71" s="178">
        <v>0</v>
      </c>
      <c r="O71" s="178">
        <v>0</v>
      </c>
      <c r="P71" s="178">
        <v>0</v>
      </c>
      <c r="Q71" s="178">
        <v>0</v>
      </c>
      <c r="R71" s="178">
        <v>0</v>
      </c>
      <c r="S71" s="178">
        <v>0</v>
      </c>
      <c r="T71" s="178">
        <v>0</v>
      </c>
      <c r="U71" s="178">
        <v>0</v>
      </c>
      <c r="V71" s="178">
        <v>0</v>
      </c>
      <c r="W71" s="178">
        <v>0</v>
      </c>
      <c r="X71" s="178">
        <v>0</v>
      </c>
      <c r="Y71" s="178">
        <v>0</v>
      </c>
      <c r="Z71" s="178">
        <v>0</v>
      </c>
      <c r="AA71" s="178">
        <v>0</v>
      </c>
      <c r="AB71" s="178">
        <v>0</v>
      </c>
      <c r="AC71" s="178">
        <v>0</v>
      </c>
      <c r="AD71" s="178">
        <v>0</v>
      </c>
      <c r="AE71" s="178">
        <v>0</v>
      </c>
      <c r="AF71" s="178">
        <v>0</v>
      </c>
      <c r="AG71" s="178">
        <v>0</v>
      </c>
      <c r="AH71" s="178">
        <v>0</v>
      </c>
      <c r="AI71" s="178">
        <v>0</v>
      </c>
      <c r="AJ71" s="178">
        <v>0</v>
      </c>
      <c r="AK71" s="178">
        <v>0</v>
      </c>
      <c r="AL71" s="178">
        <v>0</v>
      </c>
      <c r="AM71" s="178">
        <v>0</v>
      </c>
      <c r="AN71" s="178">
        <v>0</v>
      </c>
      <c r="AO71" s="178">
        <v>0</v>
      </c>
      <c r="AP71" s="178">
        <v>0</v>
      </c>
      <c r="AQ71" s="178">
        <v>0</v>
      </c>
      <c r="AR71" s="178">
        <v>0</v>
      </c>
      <c r="AS71" s="178">
        <v>0</v>
      </c>
      <c r="AT71" s="178">
        <v>0</v>
      </c>
      <c r="AU71" s="178">
        <v>0</v>
      </c>
      <c r="AV71" s="178">
        <v>0</v>
      </c>
      <c r="AW71" s="178">
        <v>0</v>
      </c>
      <c r="AX71" s="178">
        <v>0</v>
      </c>
      <c r="AY71" s="178">
        <v>0</v>
      </c>
      <c r="AZ71" s="178">
        <v>0</v>
      </c>
      <c r="BA71" s="178">
        <v>0</v>
      </c>
      <c r="BB71" s="178">
        <v>0</v>
      </c>
      <c r="BC71" s="178">
        <v>0</v>
      </c>
      <c r="BD71" s="178">
        <v>0</v>
      </c>
      <c r="BE71" s="178">
        <v>0</v>
      </c>
      <c r="BF71" s="178">
        <v>0</v>
      </c>
      <c r="BG71" s="178">
        <v>0</v>
      </c>
      <c r="BH71" s="178">
        <v>0</v>
      </c>
      <c r="BI71" s="178">
        <v>0</v>
      </c>
      <c r="BJ71" s="178">
        <v>0</v>
      </c>
      <c r="BK71" s="178">
        <v>0</v>
      </c>
      <c r="BL71" s="178">
        <v>0</v>
      </c>
      <c r="BM71" s="178">
        <v>0</v>
      </c>
      <c r="BN71" s="178">
        <v>0</v>
      </c>
      <c r="BO71" s="178">
        <v>0</v>
      </c>
      <c r="BP71" s="178">
        <v>0</v>
      </c>
      <c r="BQ71" s="178">
        <v>0</v>
      </c>
      <c r="BR71" s="178">
        <v>0</v>
      </c>
      <c r="BS71" s="178">
        <v>0</v>
      </c>
      <c r="BT71" s="178">
        <v>0</v>
      </c>
      <c r="BU71" s="178">
        <v>0</v>
      </c>
      <c r="BV71" s="178">
        <v>0</v>
      </c>
      <c r="BW71" s="178">
        <v>0</v>
      </c>
      <c r="BX71" s="178">
        <v>0</v>
      </c>
      <c r="BY71" s="178">
        <v>0</v>
      </c>
      <c r="BZ71" s="178">
        <v>0</v>
      </c>
      <c r="CA71" s="178">
        <v>0</v>
      </c>
      <c r="CB71" s="178">
        <v>0</v>
      </c>
      <c r="CC71" s="178">
        <v>0</v>
      </c>
      <c r="CD71" s="178">
        <v>0</v>
      </c>
      <c r="CE71" s="178">
        <v>0</v>
      </c>
      <c r="CF71" s="178">
        <v>0</v>
      </c>
      <c r="CG71" s="178">
        <v>0</v>
      </c>
      <c r="CH71" s="178">
        <v>0</v>
      </c>
      <c r="CI71" s="178">
        <v>0</v>
      </c>
      <c r="CJ71" s="178">
        <v>0</v>
      </c>
      <c r="CK71" s="178">
        <v>0</v>
      </c>
      <c r="CL71" s="178">
        <v>0</v>
      </c>
      <c r="CM71" s="178">
        <v>0</v>
      </c>
      <c r="CN71" s="178">
        <v>0</v>
      </c>
      <c r="CO71" s="178">
        <v>0</v>
      </c>
      <c r="CP71" s="178">
        <v>0</v>
      </c>
      <c r="CQ71" s="178">
        <v>0</v>
      </c>
      <c r="CR71" s="178">
        <v>0</v>
      </c>
      <c r="CS71" s="178">
        <v>0</v>
      </c>
      <c r="CT71" s="178">
        <v>0</v>
      </c>
      <c r="CU71" s="178">
        <v>0</v>
      </c>
      <c r="CV71" s="178">
        <v>0</v>
      </c>
      <c r="CW71" s="178">
        <v>0</v>
      </c>
      <c r="CX71" s="178">
        <v>0</v>
      </c>
      <c r="CY71" s="178">
        <v>0</v>
      </c>
      <c r="CZ71" s="178">
        <v>0</v>
      </c>
      <c r="DA71" s="178">
        <v>0</v>
      </c>
      <c r="DB71" s="178">
        <v>0</v>
      </c>
      <c r="DC71" s="178">
        <v>0</v>
      </c>
      <c r="DD71" s="178">
        <v>0</v>
      </c>
      <c r="DE71" s="178">
        <v>0</v>
      </c>
      <c r="DF71" s="178">
        <v>0</v>
      </c>
      <c r="DG71" s="178">
        <v>0</v>
      </c>
      <c r="DH71" s="178">
        <v>0</v>
      </c>
      <c r="DI71" s="178">
        <v>0</v>
      </c>
      <c r="DJ71" s="178">
        <v>0</v>
      </c>
      <c r="DK71" s="178">
        <v>0</v>
      </c>
      <c r="DL71" s="178">
        <v>0</v>
      </c>
      <c r="DM71" s="178">
        <v>0</v>
      </c>
      <c r="DN71" s="178">
        <v>0</v>
      </c>
      <c r="DO71" s="178">
        <v>0</v>
      </c>
      <c r="DP71" s="178">
        <v>0</v>
      </c>
      <c r="DQ71" s="178">
        <v>0</v>
      </c>
      <c r="DR71" s="178">
        <v>0</v>
      </c>
      <c r="DS71" s="178">
        <v>0</v>
      </c>
      <c r="DT71" s="178">
        <v>0</v>
      </c>
      <c r="DU71" s="178">
        <v>0</v>
      </c>
      <c r="DV71" s="178">
        <v>0</v>
      </c>
      <c r="DW71" s="178">
        <v>0</v>
      </c>
      <c r="DX71" s="178">
        <v>0</v>
      </c>
      <c r="DY71" s="178">
        <v>0</v>
      </c>
      <c r="DZ71" s="178">
        <v>0</v>
      </c>
      <c r="EA71" s="178">
        <v>0</v>
      </c>
      <c r="EB71" s="178">
        <v>0</v>
      </c>
      <c r="EC71" s="178">
        <v>0</v>
      </c>
      <c r="ED71" s="178">
        <v>0</v>
      </c>
      <c r="EE71" s="178">
        <v>0</v>
      </c>
      <c r="EF71" s="178">
        <v>0</v>
      </c>
      <c r="EG71" s="178">
        <v>0</v>
      </c>
      <c r="EH71" s="178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topLeftCell="A22" workbookViewId="0">
      <selection activeCell="A54" sqref="A54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358</v>
      </c>
      <c r="C2" s="4" t="s">
        <v>359</v>
      </c>
      <c r="D2" s="5">
        <v>100</v>
      </c>
      <c r="E2" s="6">
        <v>1026</v>
      </c>
      <c r="F2" s="7">
        <v>1</v>
      </c>
      <c r="G2" s="8">
        <v>0.1</v>
      </c>
      <c r="H2" s="5">
        <v>603500</v>
      </c>
      <c r="I2" s="5">
        <v>1008</v>
      </c>
      <c r="J2" s="5">
        <v>1040</v>
      </c>
      <c r="K2" s="5">
        <v>1004</v>
      </c>
      <c r="L2" s="9">
        <v>43353</v>
      </c>
      <c r="M2" s="10">
        <v>0.625</v>
      </c>
      <c r="N2" s="1" t="s">
        <v>360</v>
      </c>
      <c r="O2" s="5"/>
    </row>
    <row r="3" spans="1:15" x14ac:dyDescent="0.15">
      <c r="A3" s="1">
        <v>8704</v>
      </c>
      <c r="B3" s="3" t="s">
        <v>361</v>
      </c>
      <c r="C3" s="1" t="s">
        <v>362</v>
      </c>
      <c r="D3" s="5">
        <v>100</v>
      </c>
      <c r="E3" s="6">
        <v>74</v>
      </c>
      <c r="F3" s="7">
        <v>4</v>
      </c>
      <c r="G3" s="8">
        <v>5.71</v>
      </c>
      <c r="H3" s="5">
        <v>1467000</v>
      </c>
      <c r="I3" s="5">
        <v>70</v>
      </c>
      <c r="J3" s="5">
        <v>74</v>
      </c>
      <c r="K3" s="5">
        <v>70</v>
      </c>
      <c r="L3" s="9">
        <v>43353</v>
      </c>
      <c r="M3" s="10">
        <v>0.625</v>
      </c>
      <c r="N3" s="1" t="s">
        <v>363</v>
      </c>
      <c r="O3" s="5"/>
    </row>
    <row r="4" spans="1:15" x14ac:dyDescent="0.15">
      <c r="A4" s="1">
        <v>4597</v>
      </c>
      <c r="B4" s="3" t="s">
        <v>364</v>
      </c>
      <c r="C4" s="1" t="s">
        <v>365</v>
      </c>
      <c r="D4" s="5">
        <v>100</v>
      </c>
      <c r="E4" s="6">
        <v>222</v>
      </c>
      <c r="F4" s="7">
        <v>-15</v>
      </c>
      <c r="G4" s="8">
        <v>-6.33</v>
      </c>
      <c r="H4" s="5">
        <v>2550600</v>
      </c>
      <c r="I4" s="5">
        <v>233</v>
      </c>
      <c r="J4" s="5">
        <v>234</v>
      </c>
      <c r="K4" s="5">
        <v>216</v>
      </c>
      <c r="L4" s="9">
        <v>43353</v>
      </c>
      <c r="M4" s="10">
        <v>0.625</v>
      </c>
      <c r="N4" s="1" t="s">
        <v>343</v>
      </c>
      <c r="O4" s="5"/>
    </row>
    <row r="5" spans="1:15" x14ac:dyDescent="0.15">
      <c r="A5" s="1">
        <v>4380</v>
      </c>
      <c r="B5" s="3" t="s">
        <v>366</v>
      </c>
      <c r="C5" s="4" t="s">
        <v>346</v>
      </c>
      <c r="D5" s="5">
        <v>100</v>
      </c>
      <c r="E5" s="6">
        <v>2641</v>
      </c>
      <c r="F5" s="7">
        <v>240</v>
      </c>
      <c r="G5" s="8">
        <v>10</v>
      </c>
      <c r="H5" s="5">
        <v>17600</v>
      </c>
      <c r="I5" s="5">
        <v>2445</v>
      </c>
      <c r="J5" s="5">
        <v>2678</v>
      </c>
      <c r="K5" s="5">
        <v>2445</v>
      </c>
      <c r="L5" s="9">
        <v>43353</v>
      </c>
      <c r="M5" s="10">
        <v>0.625</v>
      </c>
      <c r="N5" s="1" t="s">
        <v>348</v>
      </c>
      <c r="O5" s="5"/>
    </row>
    <row r="6" spans="1:15" x14ac:dyDescent="0.15">
      <c r="A6" s="1">
        <v>3446</v>
      </c>
      <c r="B6" s="3" t="s">
        <v>367</v>
      </c>
      <c r="C6" s="4" t="s">
        <v>346</v>
      </c>
      <c r="D6" s="5">
        <v>100</v>
      </c>
      <c r="E6" s="6">
        <v>4905</v>
      </c>
      <c r="F6" s="7">
        <v>355</v>
      </c>
      <c r="G6" s="8">
        <v>7.8</v>
      </c>
      <c r="H6" s="5">
        <v>97900</v>
      </c>
      <c r="I6" s="5">
        <v>4685</v>
      </c>
      <c r="J6" s="5">
        <v>4995</v>
      </c>
      <c r="K6" s="5">
        <v>4610</v>
      </c>
      <c r="L6" s="9">
        <v>43353</v>
      </c>
      <c r="M6" s="10">
        <v>0.625</v>
      </c>
      <c r="N6" s="1" t="s">
        <v>348</v>
      </c>
      <c r="O6" s="5"/>
    </row>
    <row r="7" spans="1:15" x14ac:dyDescent="0.15">
      <c r="A7" s="1">
        <v>6567</v>
      </c>
      <c r="B7" s="3" t="s">
        <v>340</v>
      </c>
      <c r="C7" s="4" t="s">
        <v>346</v>
      </c>
      <c r="D7" s="5">
        <v>100</v>
      </c>
      <c r="E7" s="6">
        <v>1550</v>
      </c>
      <c r="F7" s="7">
        <v>-9</v>
      </c>
      <c r="G7" s="8">
        <v>-0.57999999999999996</v>
      </c>
      <c r="H7" s="5">
        <v>6600</v>
      </c>
      <c r="I7" s="5">
        <v>1552</v>
      </c>
      <c r="J7" s="5">
        <v>1555</v>
      </c>
      <c r="K7" s="5">
        <v>1510</v>
      </c>
      <c r="L7" s="11">
        <v>43353</v>
      </c>
      <c r="M7" s="10">
        <v>0.625</v>
      </c>
      <c r="N7" s="1" t="s">
        <v>368</v>
      </c>
      <c r="O7" s="5"/>
    </row>
    <row r="8" spans="1:15" x14ac:dyDescent="0.15">
      <c r="A8" s="1">
        <v>6568</v>
      </c>
      <c r="B8" s="3" t="s">
        <v>369</v>
      </c>
      <c r="C8" s="1" t="s">
        <v>370</v>
      </c>
      <c r="D8" s="5">
        <v>100</v>
      </c>
      <c r="E8" s="5">
        <v>2532</v>
      </c>
      <c r="F8" s="7">
        <v>-29</v>
      </c>
      <c r="G8" s="8">
        <v>-1.1299999999999999</v>
      </c>
      <c r="H8" s="5">
        <v>9800</v>
      </c>
      <c r="I8" s="5">
        <v>2542</v>
      </c>
      <c r="J8" s="5">
        <v>2576</v>
      </c>
      <c r="K8" s="5">
        <v>2510</v>
      </c>
      <c r="L8" s="11">
        <v>43353</v>
      </c>
      <c r="M8" s="10">
        <v>0.625</v>
      </c>
      <c r="N8" s="1" t="s">
        <v>348</v>
      </c>
      <c r="O8" s="5"/>
    </row>
    <row r="9" spans="1:15" x14ac:dyDescent="0.15">
      <c r="A9" s="1">
        <v>6569</v>
      </c>
      <c r="B9" s="3" t="s">
        <v>371</v>
      </c>
      <c r="C9" s="1" t="s">
        <v>372</v>
      </c>
      <c r="D9" s="5">
        <v>100</v>
      </c>
      <c r="E9" s="5">
        <v>2572</v>
      </c>
      <c r="F9" s="7">
        <v>-174</v>
      </c>
      <c r="G9" s="8">
        <v>-6.34</v>
      </c>
      <c r="H9" s="5">
        <v>89800</v>
      </c>
      <c r="I9" s="5">
        <v>2713</v>
      </c>
      <c r="J9" s="5">
        <v>2713</v>
      </c>
      <c r="K9" s="5">
        <v>2572</v>
      </c>
      <c r="L9" s="11">
        <v>43353</v>
      </c>
      <c r="M9" s="10">
        <v>0.625</v>
      </c>
      <c r="N9" s="1" t="s">
        <v>373</v>
      </c>
      <c r="O9" s="5"/>
    </row>
    <row r="10" spans="1:15" x14ac:dyDescent="0.15">
      <c r="A10" s="1">
        <v>3489</v>
      </c>
      <c r="B10" s="3" t="s">
        <v>338</v>
      </c>
      <c r="C10" s="1" t="s">
        <v>346</v>
      </c>
      <c r="D10" s="5">
        <v>100</v>
      </c>
      <c r="E10" s="5">
        <v>1299</v>
      </c>
      <c r="F10" s="7">
        <v>-1</v>
      </c>
      <c r="G10" s="8">
        <v>-0.08</v>
      </c>
      <c r="H10" s="5">
        <v>38100</v>
      </c>
      <c r="I10" s="5">
        <v>1310</v>
      </c>
      <c r="J10" s="5">
        <v>1318</v>
      </c>
      <c r="K10" s="5">
        <v>1274</v>
      </c>
      <c r="L10" s="11">
        <v>43353</v>
      </c>
      <c r="M10" s="10">
        <v>0.625</v>
      </c>
      <c r="N10" s="1" t="s">
        <v>348</v>
      </c>
      <c r="O10" s="5"/>
    </row>
    <row r="11" spans="1:15" x14ac:dyDescent="0.15">
      <c r="A11" s="1">
        <v>6570</v>
      </c>
      <c r="B11" s="3" t="s">
        <v>374</v>
      </c>
      <c r="C11" s="1" t="s">
        <v>336</v>
      </c>
      <c r="D11" s="5">
        <v>100</v>
      </c>
      <c r="E11" s="5">
        <v>809</v>
      </c>
      <c r="F11" s="7">
        <v>6</v>
      </c>
      <c r="G11" s="8">
        <v>0.75</v>
      </c>
      <c r="H11" s="5">
        <v>17700</v>
      </c>
      <c r="I11" s="5">
        <v>809</v>
      </c>
      <c r="J11" s="5">
        <v>810</v>
      </c>
      <c r="K11" s="5">
        <v>801</v>
      </c>
      <c r="L11" s="11">
        <v>43353</v>
      </c>
      <c r="M11" s="10">
        <v>0.625</v>
      </c>
      <c r="N11" s="1" t="s">
        <v>341</v>
      </c>
      <c r="O11" s="5"/>
    </row>
    <row r="12" spans="1:15" x14ac:dyDescent="0.15">
      <c r="A12" s="1">
        <v>3447</v>
      </c>
      <c r="B12" s="3" t="s">
        <v>375</v>
      </c>
      <c r="C12" s="4" t="s">
        <v>336</v>
      </c>
      <c r="D12" s="5">
        <v>100</v>
      </c>
      <c r="E12" s="5">
        <v>1119</v>
      </c>
      <c r="F12" s="7">
        <v>8</v>
      </c>
      <c r="G12" s="8">
        <v>0.72</v>
      </c>
      <c r="H12" s="5">
        <v>20000</v>
      </c>
      <c r="I12" s="5">
        <v>1125</v>
      </c>
      <c r="J12" s="5">
        <v>1125</v>
      </c>
      <c r="K12" s="5">
        <v>1115</v>
      </c>
      <c r="L12" s="11">
        <v>43353</v>
      </c>
      <c r="M12" s="10">
        <v>0.625</v>
      </c>
      <c r="N12" s="1" t="s">
        <v>368</v>
      </c>
      <c r="O12" s="5"/>
    </row>
    <row r="13" spans="1:15" x14ac:dyDescent="0.15">
      <c r="A13" s="1">
        <v>9270</v>
      </c>
      <c r="B13" s="3" t="s">
        <v>376</v>
      </c>
      <c r="C13" s="4" t="s">
        <v>346</v>
      </c>
      <c r="D13" s="5">
        <v>100</v>
      </c>
      <c r="E13" s="5">
        <v>5920</v>
      </c>
      <c r="F13" s="7">
        <v>60</v>
      </c>
      <c r="G13" s="8">
        <v>1.02</v>
      </c>
      <c r="H13" s="5">
        <v>4900</v>
      </c>
      <c r="I13" s="5">
        <v>5800</v>
      </c>
      <c r="J13" s="5">
        <v>5930</v>
      </c>
      <c r="K13" s="5">
        <v>5730</v>
      </c>
      <c r="L13" s="11">
        <v>43353</v>
      </c>
      <c r="M13" s="10">
        <v>0.62430555555555556</v>
      </c>
      <c r="N13" s="1" t="s">
        <v>348</v>
      </c>
      <c r="O13" s="5"/>
    </row>
    <row r="14" spans="1:15" x14ac:dyDescent="0.15">
      <c r="A14" s="1">
        <v>6571</v>
      </c>
      <c r="B14" s="3" t="s">
        <v>377</v>
      </c>
      <c r="C14" s="1" t="s">
        <v>372</v>
      </c>
      <c r="D14" s="5">
        <v>100</v>
      </c>
      <c r="E14" s="5">
        <v>2292</v>
      </c>
      <c r="F14" s="7">
        <v>14</v>
      </c>
      <c r="G14" s="8">
        <v>0.61</v>
      </c>
      <c r="H14" s="5">
        <v>109900</v>
      </c>
      <c r="I14" s="5">
        <v>2278</v>
      </c>
      <c r="J14" s="5">
        <v>2295</v>
      </c>
      <c r="K14" s="5">
        <v>2270</v>
      </c>
      <c r="L14" s="11">
        <v>43353</v>
      </c>
      <c r="M14" s="10">
        <v>0.625</v>
      </c>
      <c r="N14" s="1" t="s">
        <v>348</v>
      </c>
      <c r="O14" s="5"/>
    </row>
    <row r="15" spans="1:15" x14ac:dyDescent="0.15">
      <c r="A15" s="1">
        <v>9450</v>
      </c>
      <c r="B15" s="3" t="s">
        <v>342</v>
      </c>
      <c r="C15" s="4" t="s">
        <v>346</v>
      </c>
      <c r="D15" s="5">
        <v>100</v>
      </c>
      <c r="E15" s="5">
        <v>1758</v>
      </c>
      <c r="F15" s="7">
        <v>55</v>
      </c>
      <c r="G15" s="8">
        <v>3.23</v>
      </c>
      <c r="H15" s="5">
        <v>42500</v>
      </c>
      <c r="I15" s="5">
        <v>1703</v>
      </c>
      <c r="J15" s="5">
        <v>1774</v>
      </c>
      <c r="K15" s="5">
        <v>1697</v>
      </c>
      <c r="L15" s="11">
        <v>43353</v>
      </c>
      <c r="M15" s="10">
        <v>0.625</v>
      </c>
      <c r="N15" s="1" t="s">
        <v>378</v>
      </c>
      <c r="O15" s="5"/>
    </row>
    <row r="16" spans="1:15" x14ac:dyDescent="0.15">
      <c r="A16" s="1">
        <v>6572</v>
      </c>
      <c r="B16" s="3" t="s">
        <v>379</v>
      </c>
      <c r="C16" s="1" t="s">
        <v>346</v>
      </c>
      <c r="D16" s="5">
        <v>100</v>
      </c>
      <c r="E16" s="5">
        <v>12510</v>
      </c>
      <c r="F16" s="7">
        <v>-690</v>
      </c>
      <c r="G16" s="8">
        <v>-5.23</v>
      </c>
      <c r="H16" s="5">
        <v>38000</v>
      </c>
      <c r="I16" s="5">
        <v>13010</v>
      </c>
      <c r="J16" s="5">
        <v>13070</v>
      </c>
      <c r="K16" s="5">
        <v>12350</v>
      </c>
      <c r="L16" s="11">
        <v>43353</v>
      </c>
      <c r="M16" s="10">
        <v>0.625</v>
      </c>
      <c r="N16" s="1" t="s">
        <v>380</v>
      </c>
      <c r="O16" s="5"/>
    </row>
    <row r="17" spans="1:15" x14ac:dyDescent="0.15">
      <c r="A17" s="1">
        <v>6573</v>
      </c>
      <c r="B17" s="3" t="s">
        <v>381</v>
      </c>
      <c r="C17" s="1" t="s">
        <v>346</v>
      </c>
      <c r="D17" s="5">
        <v>100</v>
      </c>
      <c r="E17" s="5">
        <v>2370</v>
      </c>
      <c r="F17" s="7">
        <v>-24</v>
      </c>
      <c r="G17" s="8">
        <v>-1</v>
      </c>
      <c r="H17" s="5">
        <v>32800</v>
      </c>
      <c r="I17" s="5">
        <v>2444</v>
      </c>
      <c r="J17" s="5">
        <v>2466</v>
      </c>
      <c r="K17" s="5">
        <v>2332</v>
      </c>
      <c r="L17" s="11">
        <v>43353</v>
      </c>
      <c r="M17" s="10">
        <v>0.625</v>
      </c>
      <c r="N17" s="1" t="s">
        <v>382</v>
      </c>
      <c r="O17" s="5"/>
    </row>
    <row r="18" spans="1:15" x14ac:dyDescent="0.15">
      <c r="A18" s="1">
        <v>3490</v>
      </c>
      <c r="B18" s="3" t="s">
        <v>344</v>
      </c>
      <c r="C18" s="4" t="s">
        <v>383</v>
      </c>
      <c r="D18" s="5">
        <v>100</v>
      </c>
      <c r="E18" s="5">
        <v>1932</v>
      </c>
      <c r="F18" s="7">
        <v>52</v>
      </c>
      <c r="G18" s="8">
        <v>2.77</v>
      </c>
      <c r="H18" s="5">
        <v>4100</v>
      </c>
      <c r="I18" s="5">
        <v>1873</v>
      </c>
      <c r="J18" s="5">
        <v>1932</v>
      </c>
      <c r="K18" s="5">
        <v>1870</v>
      </c>
      <c r="L18" s="11">
        <v>43353</v>
      </c>
      <c r="M18" s="10">
        <v>0.625</v>
      </c>
      <c r="N18" s="1" t="s">
        <v>348</v>
      </c>
      <c r="O18" s="5"/>
    </row>
    <row r="19" spans="1:15" x14ac:dyDescent="0.15">
      <c r="A19" s="1">
        <v>9271</v>
      </c>
      <c r="B19" s="3" t="s">
        <v>384</v>
      </c>
      <c r="C19" s="1" t="s">
        <v>346</v>
      </c>
      <c r="D19" s="5">
        <v>100</v>
      </c>
      <c r="E19" s="5">
        <v>2340</v>
      </c>
      <c r="F19" s="7">
        <v>141</v>
      </c>
      <c r="G19" s="8">
        <v>6.41</v>
      </c>
      <c r="H19" s="5">
        <v>57100</v>
      </c>
      <c r="I19" s="5">
        <v>2183</v>
      </c>
      <c r="J19" s="5">
        <v>2377</v>
      </c>
      <c r="K19" s="5">
        <v>2101</v>
      </c>
      <c r="L19" s="11">
        <v>43353</v>
      </c>
      <c r="M19" s="10">
        <v>0.625</v>
      </c>
      <c r="N19" s="1" t="s">
        <v>349</v>
      </c>
      <c r="O19" s="5"/>
    </row>
    <row r="20" spans="1:15" x14ac:dyDescent="0.15">
      <c r="A20" s="1">
        <v>7320</v>
      </c>
      <c r="B20" s="3" t="s">
        <v>345</v>
      </c>
      <c r="C20" s="1" t="s">
        <v>346</v>
      </c>
      <c r="D20" s="5">
        <v>100</v>
      </c>
      <c r="E20" s="5">
        <v>2713</v>
      </c>
      <c r="F20" s="7">
        <v>-38</v>
      </c>
      <c r="G20" s="8">
        <v>-1.38</v>
      </c>
      <c r="H20" s="5">
        <v>1000</v>
      </c>
      <c r="I20" s="5">
        <v>2801</v>
      </c>
      <c r="J20" s="5">
        <v>2847</v>
      </c>
      <c r="K20" s="5">
        <v>2713</v>
      </c>
      <c r="L20" s="11">
        <v>43353</v>
      </c>
      <c r="M20" s="10">
        <v>0.62083333333333335</v>
      </c>
      <c r="N20" s="1" t="s">
        <v>348</v>
      </c>
      <c r="O20" s="5"/>
    </row>
    <row r="21" spans="1:15" x14ac:dyDescent="0.15">
      <c r="A21" s="1">
        <v>9272</v>
      </c>
      <c r="B21" s="3" t="s">
        <v>385</v>
      </c>
      <c r="C21" s="1" t="s">
        <v>346</v>
      </c>
      <c r="D21" s="5">
        <v>100</v>
      </c>
      <c r="E21" s="5">
        <v>3705</v>
      </c>
      <c r="F21" s="7">
        <v>-55</v>
      </c>
      <c r="G21" s="8">
        <v>-1.46</v>
      </c>
      <c r="H21" s="5">
        <v>5500</v>
      </c>
      <c r="I21" s="5">
        <v>3780</v>
      </c>
      <c r="J21" s="5">
        <v>3795</v>
      </c>
      <c r="K21" s="5">
        <v>3700</v>
      </c>
      <c r="L21" s="11">
        <v>43353</v>
      </c>
      <c r="M21" s="10">
        <v>0.625</v>
      </c>
      <c r="N21" s="1" t="s">
        <v>386</v>
      </c>
      <c r="O21" s="5"/>
    </row>
    <row r="22" spans="1:15" x14ac:dyDescent="0.15">
      <c r="A22" s="1">
        <v>4381</v>
      </c>
      <c r="B22" s="3" t="s">
        <v>387</v>
      </c>
      <c r="C22" s="1" t="s">
        <v>346</v>
      </c>
      <c r="D22" s="5">
        <v>100</v>
      </c>
      <c r="E22" s="5">
        <v>9370</v>
      </c>
      <c r="F22" s="7">
        <v>410</v>
      </c>
      <c r="G22" s="8">
        <v>4.58</v>
      </c>
      <c r="H22" s="5">
        <v>60400</v>
      </c>
      <c r="I22" s="5">
        <v>8960</v>
      </c>
      <c r="J22" s="5">
        <v>9470</v>
      </c>
      <c r="K22" s="5">
        <v>8840</v>
      </c>
      <c r="L22" s="11">
        <v>43353</v>
      </c>
      <c r="M22" s="10">
        <v>0.625</v>
      </c>
      <c r="N22" s="1" t="s">
        <v>348</v>
      </c>
      <c r="O22" s="5"/>
    </row>
    <row r="23" spans="1:15" x14ac:dyDescent="0.15">
      <c r="A23" s="1">
        <v>6575</v>
      </c>
      <c r="B23" s="3" t="s">
        <v>388</v>
      </c>
      <c r="C23" s="1" t="s">
        <v>346</v>
      </c>
      <c r="D23" s="5">
        <v>100</v>
      </c>
      <c r="E23" s="5">
        <v>1352</v>
      </c>
      <c r="F23" s="7">
        <v>29</v>
      </c>
      <c r="G23" s="8">
        <v>2.19</v>
      </c>
      <c r="H23" s="5">
        <v>14300</v>
      </c>
      <c r="I23" s="5">
        <v>1330</v>
      </c>
      <c r="J23" s="5">
        <v>1379</v>
      </c>
      <c r="K23" s="5">
        <v>1323</v>
      </c>
      <c r="L23" s="11">
        <v>43353</v>
      </c>
      <c r="M23" s="10">
        <v>0.625</v>
      </c>
      <c r="N23" s="1" t="s">
        <v>389</v>
      </c>
      <c r="O23" s="5"/>
    </row>
    <row r="24" spans="1:15" x14ac:dyDescent="0.15">
      <c r="A24" s="1">
        <v>6574</v>
      </c>
      <c r="B24" s="3" t="s">
        <v>347</v>
      </c>
      <c r="C24" s="1" t="s">
        <v>346</v>
      </c>
      <c r="D24" s="5">
        <v>100</v>
      </c>
      <c r="E24" s="5">
        <v>1728</v>
      </c>
      <c r="F24" s="7">
        <v>35</v>
      </c>
      <c r="G24" s="8">
        <v>2.0699999999999998</v>
      </c>
      <c r="H24" s="5">
        <v>10600</v>
      </c>
      <c r="I24" s="5">
        <v>1690</v>
      </c>
      <c r="J24" s="5">
        <v>1740</v>
      </c>
      <c r="K24" s="5">
        <v>1690</v>
      </c>
      <c r="L24" s="11">
        <v>43353</v>
      </c>
      <c r="M24" s="10">
        <v>0.625</v>
      </c>
      <c r="N24" s="1" t="s">
        <v>348</v>
      </c>
      <c r="O24" s="5"/>
    </row>
    <row r="25" spans="1:15" x14ac:dyDescent="0.15">
      <c r="A25" s="1">
        <v>4382</v>
      </c>
      <c r="B25" s="3" t="s">
        <v>390</v>
      </c>
      <c r="C25" s="1" t="s">
        <v>346</v>
      </c>
      <c r="D25" s="5">
        <v>100</v>
      </c>
      <c r="E25" s="5">
        <v>18250</v>
      </c>
      <c r="F25" s="7">
        <v>370</v>
      </c>
      <c r="G25" s="8">
        <v>2.0699999999999998</v>
      </c>
      <c r="H25" s="5">
        <v>3800</v>
      </c>
      <c r="I25" s="5">
        <v>17740</v>
      </c>
      <c r="J25" s="5">
        <v>18490</v>
      </c>
      <c r="K25" s="5">
        <v>17740</v>
      </c>
      <c r="L25" s="11">
        <v>43353</v>
      </c>
      <c r="M25" s="10">
        <v>0.625</v>
      </c>
      <c r="N25" s="1" t="s">
        <v>368</v>
      </c>
      <c r="O25" s="5"/>
    </row>
    <row r="26" spans="1:15" x14ac:dyDescent="0.15">
      <c r="A26" s="1">
        <v>6577</v>
      </c>
      <c r="B26" s="3" t="s">
        <v>391</v>
      </c>
      <c r="C26" s="1" t="s">
        <v>346</v>
      </c>
      <c r="D26" s="5">
        <v>100</v>
      </c>
      <c r="E26" s="5">
        <v>12310</v>
      </c>
      <c r="F26" s="7">
        <v>480</v>
      </c>
      <c r="G26" s="8">
        <v>4.0599999999999996</v>
      </c>
      <c r="H26" s="5">
        <v>6300</v>
      </c>
      <c r="I26" s="5">
        <v>11850</v>
      </c>
      <c r="J26" s="5">
        <v>12350</v>
      </c>
      <c r="K26" s="5">
        <v>11840</v>
      </c>
      <c r="L26" s="11">
        <v>43353</v>
      </c>
      <c r="M26" s="10">
        <v>0.60763888888888895</v>
      </c>
      <c r="N26" s="1" t="s">
        <v>392</v>
      </c>
      <c r="O26" s="5"/>
    </row>
    <row r="27" spans="1:15" x14ac:dyDescent="0.15">
      <c r="A27" s="1">
        <v>7323</v>
      </c>
      <c r="B27" s="3" t="s">
        <v>393</v>
      </c>
      <c r="C27" s="1" t="s">
        <v>346</v>
      </c>
      <c r="D27" s="5">
        <v>100</v>
      </c>
      <c r="E27" s="5">
        <v>4290</v>
      </c>
      <c r="F27" s="7">
        <v>75</v>
      </c>
      <c r="G27" s="8">
        <v>1.78</v>
      </c>
      <c r="H27" s="5">
        <v>12900</v>
      </c>
      <c r="I27" s="5">
        <v>4215</v>
      </c>
      <c r="J27" s="5">
        <v>4350</v>
      </c>
      <c r="K27" s="5">
        <v>4185</v>
      </c>
      <c r="L27" s="11">
        <v>43353</v>
      </c>
      <c r="M27" s="10">
        <v>0.625</v>
      </c>
      <c r="N27" s="1" t="s">
        <v>348</v>
      </c>
      <c r="O27" s="5"/>
    </row>
    <row r="28" spans="1:15" x14ac:dyDescent="0.15">
      <c r="A28" s="1">
        <v>6578</v>
      </c>
      <c r="B28" s="3" t="s">
        <v>337</v>
      </c>
      <c r="C28" s="1" t="s">
        <v>394</v>
      </c>
      <c r="D28" s="5">
        <v>100</v>
      </c>
      <c r="E28" s="5">
        <v>2475</v>
      </c>
      <c r="F28" s="7">
        <v>-1</v>
      </c>
      <c r="G28" s="8">
        <v>-0.04</v>
      </c>
      <c r="H28" s="5">
        <v>800</v>
      </c>
      <c r="I28" s="5">
        <v>2460</v>
      </c>
      <c r="J28" s="5">
        <v>2475</v>
      </c>
      <c r="K28" s="5">
        <v>2446</v>
      </c>
      <c r="L28" s="11">
        <v>43353</v>
      </c>
      <c r="M28" s="10">
        <v>0.625</v>
      </c>
      <c r="N28" s="1" t="s">
        <v>348</v>
      </c>
      <c r="O28" s="5"/>
    </row>
    <row r="29" spans="1:15" x14ac:dyDescent="0.15">
      <c r="A29" s="1">
        <v>4384</v>
      </c>
      <c r="B29" s="3" t="s">
        <v>395</v>
      </c>
      <c r="C29" s="1" t="s">
        <v>346</v>
      </c>
      <c r="D29" s="5">
        <v>100</v>
      </c>
      <c r="E29" s="5">
        <v>2886</v>
      </c>
      <c r="F29" s="7">
        <v>111</v>
      </c>
      <c r="G29" s="8">
        <v>4</v>
      </c>
      <c r="H29" s="5">
        <v>142000</v>
      </c>
      <c r="I29" s="5">
        <v>2805</v>
      </c>
      <c r="J29" s="5">
        <v>2925</v>
      </c>
      <c r="K29" s="5">
        <v>2774</v>
      </c>
      <c r="L29" s="11">
        <v>43353</v>
      </c>
      <c r="M29" s="10">
        <v>0.625</v>
      </c>
      <c r="N29" s="1" t="s">
        <v>348</v>
      </c>
      <c r="O29" s="5"/>
    </row>
    <row r="30" spans="1:15" x14ac:dyDescent="0.15">
      <c r="A30" s="1">
        <v>4385</v>
      </c>
      <c r="B30" s="3" t="s">
        <v>396</v>
      </c>
      <c r="C30" s="1" t="s">
        <v>346</v>
      </c>
      <c r="D30" s="5">
        <v>100</v>
      </c>
      <c r="E30" s="5">
        <v>3155</v>
      </c>
      <c r="F30" s="7">
        <v>-80</v>
      </c>
      <c r="G30" s="8">
        <v>-2.4700000000000002</v>
      </c>
      <c r="H30" s="5">
        <v>776400</v>
      </c>
      <c r="I30" s="5">
        <v>3230</v>
      </c>
      <c r="J30" s="5">
        <v>3290</v>
      </c>
      <c r="K30" s="5">
        <v>3100</v>
      </c>
      <c r="L30" s="11">
        <v>43353</v>
      </c>
      <c r="M30" s="10">
        <v>0.625</v>
      </c>
      <c r="N30" s="1" t="s">
        <v>348</v>
      </c>
      <c r="O30" s="5"/>
    </row>
    <row r="31" spans="1:15" x14ac:dyDescent="0.15">
      <c r="A31" s="1">
        <v>6579</v>
      </c>
      <c r="B31" s="3" t="s">
        <v>397</v>
      </c>
      <c r="C31" s="1" t="s">
        <v>346</v>
      </c>
      <c r="D31" s="5">
        <v>100</v>
      </c>
      <c r="E31" s="5">
        <v>2914</v>
      </c>
      <c r="F31" s="7">
        <v>-53</v>
      </c>
      <c r="G31" s="8">
        <v>-1.79</v>
      </c>
      <c r="H31" s="5">
        <v>10200</v>
      </c>
      <c r="I31" s="5">
        <v>2930</v>
      </c>
      <c r="J31" s="5">
        <v>2968</v>
      </c>
      <c r="K31" s="5">
        <v>2901</v>
      </c>
      <c r="L31" s="11">
        <v>43353</v>
      </c>
      <c r="M31" s="10">
        <v>0.62430555555555556</v>
      </c>
      <c r="N31" s="1" t="s">
        <v>348</v>
      </c>
      <c r="O31" s="5"/>
    </row>
    <row r="32" spans="1:15" x14ac:dyDescent="0.15">
      <c r="A32" s="1">
        <v>4386</v>
      </c>
      <c r="B32" s="3" t="s">
        <v>398</v>
      </c>
      <c r="C32" s="1" t="s">
        <v>394</v>
      </c>
      <c r="D32" s="5">
        <v>100</v>
      </c>
      <c r="E32" s="5">
        <v>2484</v>
      </c>
      <c r="F32" s="7">
        <v>-75</v>
      </c>
      <c r="G32" s="8">
        <v>-2.93</v>
      </c>
      <c r="H32" s="5">
        <v>47000</v>
      </c>
      <c r="I32" s="5">
        <v>2630</v>
      </c>
      <c r="J32" s="5">
        <v>2640</v>
      </c>
      <c r="K32" s="5">
        <v>2440</v>
      </c>
      <c r="L32" s="11">
        <v>43353</v>
      </c>
      <c r="M32" s="10">
        <v>0.625</v>
      </c>
      <c r="N32" s="1" t="s">
        <v>399</v>
      </c>
      <c r="O32" s="5"/>
    </row>
    <row r="33" spans="1:15" x14ac:dyDescent="0.15">
      <c r="A33" s="1">
        <v>9273</v>
      </c>
      <c r="B33" s="3" t="s">
        <v>400</v>
      </c>
      <c r="C33" s="1" t="s">
        <v>336</v>
      </c>
      <c r="D33" s="5">
        <v>100</v>
      </c>
      <c r="E33" s="5">
        <v>5000</v>
      </c>
      <c r="F33" s="7">
        <v>-60</v>
      </c>
      <c r="G33" s="8">
        <v>-1.19</v>
      </c>
      <c r="H33" s="5">
        <v>7000</v>
      </c>
      <c r="I33" s="5">
        <v>5130</v>
      </c>
      <c r="J33" s="5">
        <v>5140</v>
      </c>
      <c r="K33" s="5">
        <v>5000</v>
      </c>
      <c r="L33" s="11">
        <v>43353</v>
      </c>
      <c r="M33" s="10">
        <v>0.625</v>
      </c>
      <c r="N33" s="1" t="s">
        <v>348</v>
      </c>
      <c r="O33" s="5"/>
    </row>
    <row r="34" spans="1:15" x14ac:dyDescent="0.15">
      <c r="A34" s="1">
        <v>4387</v>
      </c>
      <c r="B34" s="3" t="s">
        <v>401</v>
      </c>
      <c r="C34" s="1" t="s">
        <v>402</v>
      </c>
      <c r="D34" s="5">
        <v>100</v>
      </c>
      <c r="E34" s="5">
        <v>7320</v>
      </c>
      <c r="F34" s="7">
        <v>450</v>
      </c>
      <c r="G34" s="8">
        <v>6.55</v>
      </c>
      <c r="H34" s="5">
        <v>27500</v>
      </c>
      <c r="I34" s="5">
        <v>6800</v>
      </c>
      <c r="J34" s="5">
        <v>7320</v>
      </c>
      <c r="K34" s="5">
        <v>6760</v>
      </c>
      <c r="L34" s="11">
        <v>43353</v>
      </c>
      <c r="M34" s="10">
        <v>0.625</v>
      </c>
      <c r="N34" s="1" t="s">
        <v>403</v>
      </c>
      <c r="O34" s="5"/>
    </row>
    <row r="35" spans="1:15" x14ac:dyDescent="0.15">
      <c r="A35" s="1">
        <v>6580</v>
      </c>
      <c r="B35" s="3" t="s">
        <v>404</v>
      </c>
      <c r="C35" s="1" t="s">
        <v>346</v>
      </c>
      <c r="D35" s="5">
        <v>100</v>
      </c>
      <c r="E35" s="5">
        <v>2215</v>
      </c>
      <c r="F35" s="7">
        <v>-70</v>
      </c>
      <c r="G35" s="8">
        <v>-3.06</v>
      </c>
      <c r="H35" s="5">
        <v>17000</v>
      </c>
      <c r="I35" s="5">
        <v>2247</v>
      </c>
      <c r="J35" s="5">
        <v>2261</v>
      </c>
      <c r="K35" s="5">
        <v>2205</v>
      </c>
      <c r="L35" s="11">
        <v>43353</v>
      </c>
      <c r="M35" s="10">
        <v>0.625</v>
      </c>
      <c r="N35" s="1" t="s">
        <v>348</v>
      </c>
      <c r="O35" s="5"/>
    </row>
    <row r="36" spans="1:15" x14ac:dyDescent="0.15">
      <c r="A36" s="1">
        <v>9274</v>
      </c>
      <c r="B36" s="3" t="s">
        <v>350</v>
      </c>
      <c r="C36" s="1" t="s">
        <v>372</v>
      </c>
      <c r="D36" s="5">
        <v>100</v>
      </c>
      <c r="E36" s="5">
        <v>369</v>
      </c>
      <c r="F36" s="7">
        <v>6</v>
      </c>
      <c r="G36" s="8">
        <v>1.65</v>
      </c>
      <c r="H36" s="5">
        <v>139200</v>
      </c>
      <c r="I36" s="5">
        <v>363</v>
      </c>
      <c r="J36" s="5">
        <v>376</v>
      </c>
      <c r="K36" s="5">
        <v>360</v>
      </c>
      <c r="L36" s="11">
        <v>43353</v>
      </c>
      <c r="M36" s="10">
        <v>0.625</v>
      </c>
      <c r="N36" s="1" t="s">
        <v>348</v>
      </c>
      <c r="O36" s="5"/>
    </row>
    <row r="37" spans="1:15" x14ac:dyDescent="0.15">
      <c r="A37" s="1">
        <v>4388</v>
      </c>
      <c r="B37" s="3" t="s">
        <v>405</v>
      </c>
      <c r="C37" s="1" t="s">
        <v>346</v>
      </c>
      <c r="D37" s="5">
        <v>100</v>
      </c>
      <c r="E37" s="5">
        <v>2999</v>
      </c>
      <c r="F37" s="7">
        <v>155</v>
      </c>
      <c r="G37" s="8">
        <v>5.45</v>
      </c>
      <c r="H37" s="5">
        <v>113100</v>
      </c>
      <c r="I37" s="5">
        <v>2840</v>
      </c>
      <c r="J37" s="5">
        <v>2999</v>
      </c>
      <c r="K37" s="5">
        <v>2817</v>
      </c>
      <c r="L37" s="11">
        <v>43353</v>
      </c>
      <c r="M37" s="10">
        <v>0.625</v>
      </c>
      <c r="N37" s="1" t="s">
        <v>348</v>
      </c>
      <c r="O37" s="5"/>
    </row>
    <row r="38" spans="1:15" x14ac:dyDescent="0.15">
      <c r="A38" s="1">
        <v>4389</v>
      </c>
      <c r="B38" s="3" t="s">
        <v>406</v>
      </c>
      <c r="C38" s="1" t="s">
        <v>370</v>
      </c>
      <c r="D38" s="5">
        <v>100</v>
      </c>
      <c r="E38" s="5">
        <v>2330</v>
      </c>
      <c r="F38" s="7">
        <v>-57</v>
      </c>
      <c r="G38" s="8">
        <v>-2.39</v>
      </c>
      <c r="H38" s="5">
        <v>5600</v>
      </c>
      <c r="I38" s="5">
        <v>2429</v>
      </c>
      <c r="J38" s="5">
        <v>2456</v>
      </c>
      <c r="K38" s="5">
        <v>2261</v>
      </c>
      <c r="L38" s="11">
        <v>43353</v>
      </c>
      <c r="M38" s="10">
        <v>0.625</v>
      </c>
      <c r="N38" s="1" t="s">
        <v>348</v>
      </c>
      <c r="O38" s="5"/>
    </row>
    <row r="39" spans="1:15" x14ac:dyDescent="0.15">
      <c r="A39" s="1">
        <v>4390</v>
      </c>
      <c r="B39" s="3" t="s">
        <v>407</v>
      </c>
      <c r="C39" s="1" t="s">
        <v>346</v>
      </c>
      <c r="D39" s="5">
        <v>100</v>
      </c>
      <c r="E39" s="5">
        <v>8500</v>
      </c>
      <c r="F39" s="7">
        <v>50</v>
      </c>
      <c r="G39" s="8">
        <v>0.59</v>
      </c>
      <c r="H39" s="5">
        <v>89300</v>
      </c>
      <c r="I39" s="5">
        <v>8400</v>
      </c>
      <c r="J39" s="5">
        <v>8780</v>
      </c>
      <c r="K39" s="5">
        <v>8320</v>
      </c>
      <c r="L39" s="11">
        <v>43353</v>
      </c>
      <c r="M39" s="10">
        <v>0.625</v>
      </c>
      <c r="N39" s="1" t="s">
        <v>348</v>
      </c>
      <c r="O39" s="5"/>
    </row>
    <row r="40" spans="1:15" x14ac:dyDescent="0.15">
      <c r="A40" s="1">
        <v>7030</v>
      </c>
      <c r="B40" s="3" t="s">
        <v>408</v>
      </c>
      <c r="C40" s="1" t="s">
        <v>372</v>
      </c>
      <c r="D40" s="5">
        <v>100</v>
      </c>
      <c r="E40" s="5">
        <v>2816</v>
      </c>
      <c r="F40" s="7">
        <v>26</v>
      </c>
      <c r="G40" s="8">
        <v>0.93</v>
      </c>
      <c r="H40" s="5">
        <v>61900</v>
      </c>
      <c r="I40" s="5">
        <v>2799</v>
      </c>
      <c r="J40" s="5">
        <v>2839</v>
      </c>
      <c r="K40" s="5">
        <v>2790</v>
      </c>
      <c r="L40" s="11">
        <v>43353</v>
      </c>
      <c r="M40" s="10">
        <v>0.625</v>
      </c>
      <c r="N40" s="1" t="s">
        <v>348</v>
      </c>
      <c r="O40" s="5"/>
    </row>
    <row r="41" spans="1:15" x14ac:dyDescent="0.15">
      <c r="A41" s="1">
        <v>4391</v>
      </c>
      <c r="B41" s="3" t="s">
        <v>409</v>
      </c>
      <c r="C41" s="1" t="s">
        <v>346</v>
      </c>
      <c r="D41" s="5">
        <v>100</v>
      </c>
      <c r="E41" s="5">
        <v>1946</v>
      </c>
      <c r="F41" s="7">
        <v>109</v>
      </c>
      <c r="G41" s="8">
        <v>5.93</v>
      </c>
      <c r="H41" s="5">
        <v>55800</v>
      </c>
      <c r="I41" s="5">
        <v>1898</v>
      </c>
      <c r="J41" s="5">
        <v>1963</v>
      </c>
      <c r="K41" s="5">
        <v>1891</v>
      </c>
      <c r="L41" s="11">
        <v>43353</v>
      </c>
      <c r="M41" s="10">
        <v>0.625</v>
      </c>
      <c r="N41" s="1" t="s">
        <v>380</v>
      </c>
      <c r="O41" s="5"/>
    </row>
    <row r="42" spans="1:15" x14ac:dyDescent="0.15">
      <c r="A42" s="1">
        <v>1446</v>
      </c>
      <c r="B42" s="3" t="s">
        <v>339</v>
      </c>
      <c r="C42" s="1" t="s">
        <v>346</v>
      </c>
      <c r="D42" s="5">
        <v>100</v>
      </c>
      <c r="E42" s="5">
        <v>1445</v>
      </c>
      <c r="F42" s="7">
        <v>32</v>
      </c>
      <c r="G42" s="8">
        <v>2.2599999999999998</v>
      </c>
      <c r="H42" s="5">
        <v>6700</v>
      </c>
      <c r="I42" s="5">
        <v>1443</v>
      </c>
      <c r="J42" s="5">
        <v>1480</v>
      </c>
      <c r="K42" s="5">
        <v>1442</v>
      </c>
      <c r="L42" s="11">
        <v>43353</v>
      </c>
      <c r="M42" s="10">
        <v>0.625</v>
      </c>
      <c r="N42" s="1" t="s">
        <v>348</v>
      </c>
      <c r="O42" s="5"/>
    </row>
    <row r="43" spans="1:15" x14ac:dyDescent="0.15">
      <c r="A43" s="1">
        <v>7806</v>
      </c>
      <c r="B43" s="3" t="s">
        <v>351</v>
      </c>
      <c r="C43" s="1" t="s">
        <v>346</v>
      </c>
      <c r="D43" s="5">
        <v>100</v>
      </c>
      <c r="E43" s="5">
        <v>6270</v>
      </c>
      <c r="F43" s="7">
        <v>40</v>
      </c>
      <c r="G43" s="8">
        <v>0.64</v>
      </c>
      <c r="H43" s="5">
        <v>53400</v>
      </c>
      <c r="I43" s="5">
        <v>6200</v>
      </c>
      <c r="J43" s="5">
        <v>6440</v>
      </c>
      <c r="K43" s="5">
        <v>6200</v>
      </c>
      <c r="L43" s="11">
        <v>43353</v>
      </c>
      <c r="M43" s="10">
        <v>0.625</v>
      </c>
      <c r="N43" s="1" t="s">
        <v>399</v>
      </c>
      <c r="O43" s="5"/>
    </row>
    <row r="44" spans="1:15" x14ac:dyDescent="0.15">
      <c r="A44" s="1">
        <v>7033</v>
      </c>
      <c r="B44" s="3" t="s">
        <v>410</v>
      </c>
      <c r="C44" s="1" t="s">
        <v>346</v>
      </c>
      <c r="D44" s="5">
        <v>100</v>
      </c>
      <c r="E44" s="5">
        <v>2829</v>
      </c>
      <c r="F44" s="7">
        <v>59</v>
      </c>
      <c r="G44" s="8">
        <v>2.13</v>
      </c>
      <c r="H44" s="5">
        <v>12400</v>
      </c>
      <c r="I44" s="5">
        <v>2799</v>
      </c>
      <c r="J44" s="5">
        <v>2887</v>
      </c>
      <c r="K44" s="5">
        <v>2791</v>
      </c>
      <c r="L44" s="11">
        <v>43353</v>
      </c>
      <c r="M44" s="10">
        <v>0.625</v>
      </c>
      <c r="N44" s="1" t="s">
        <v>411</v>
      </c>
      <c r="O44" s="5"/>
    </row>
    <row r="45" spans="1:15" x14ac:dyDescent="0.15">
      <c r="A45" s="1">
        <v>4393</v>
      </c>
      <c r="B45" s="3" t="s">
        <v>412</v>
      </c>
      <c r="C45" s="1" t="s">
        <v>346</v>
      </c>
      <c r="D45" s="5">
        <v>100</v>
      </c>
      <c r="E45" s="5">
        <v>1643</v>
      </c>
      <c r="F45" s="7">
        <v>21</v>
      </c>
      <c r="G45" s="8">
        <v>1.29</v>
      </c>
      <c r="H45" s="5">
        <v>48700</v>
      </c>
      <c r="I45" s="5">
        <v>1615</v>
      </c>
      <c r="J45" s="5">
        <v>1651</v>
      </c>
      <c r="K45" s="5">
        <v>1601</v>
      </c>
      <c r="L45" s="11">
        <v>43353</v>
      </c>
      <c r="M45" s="10">
        <v>0.625</v>
      </c>
      <c r="N45" s="1" t="s">
        <v>348</v>
      </c>
      <c r="O45" s="5"/>
    </row>
    <row r="46" spans="1:15" x14ac:dyDescent="0.15">
      <c r="A46" s="1">
        <v>3491</v>
      </c>
      <c r="B46" s="3" t="s">
        <v>413</v>
      </c>
      <c r="C46" s="1" t="s">
        <v>346</v>
      </c>
      <c r="D46" s="5">
        <v>100</v>
      </c>
      <c r="E46" s="5">
        <v>7980</v>
      </c>
      <c r="F46" s="7">
        <v>-490</v>
      </c>
      <c r="G46" s="8">
        <v>-5.79</v>
      </c>
      <c r="H46" s="5">
        <v>694200</v>
      </c>
      <c r="I46" s="5">
        <v>8770</v>
      </c>
      <c r="J46" s="5">
        <v>9230</v>
      </c>
      <c r="K46" s="5">
        <v>7960</v>
      </c>
      <c r="L46" s="11">
        <v>43353</v>
      </c>
      <c r="M46" s="10">
        <v>0.625</v>
      </c>
      <c r="N46" s="1" t="s">
        <v>414</v>
      </c>
      <c r="O46" s="5"/>
    </row>
    <row r="47" spans="1:15" x14ac:dyDescent="0.15">
      <c r="A47" s="1">
        <v>4394</v>
      </c>
      <c r="B47" s="3" t="s">
        <v>415</v>
      </c>
      <c r="C47" s="1" t="s">
        <v>346</v>
      </c>
      <c r="D47" s="5">
        <v>100</v>
      </c>
      <c r="E47" s="5">
        <v>4470</v>
      </c>
      <c r="F47" s="7">
        <v>260</v>
      </c>
      <c r="G47" s="8">
        <v>6.18</v>
      </c>
      <c r="H47" s="5">
        <v>50300</v>
      </c>
      <c r="I47" s="5">
        <v>4250</v>
      </c>
      <c r="J47" s="5">
        <v>4540</v>
      </c>
      <c r="K47" s="5">
        <v>4250</v>
      </c>
      <c r="L47" s="11">
        <v>43353</v>
      </c>
      <c r="M47" s="10">
        <v>0.625</v>
      </c>
      <c r="N47" s="1" t="s">
        <v>348</v>
      </c>
      <c r="O47" s="5"/>
    </row>
    <row r="48" spans="1:15" x14ac:dyDescent="0.15">
      <c r="A48" s="1">
        <v>4395</v>
      </c>
      <c r="B48" s="3" t="s">
        <v>416</v>
      </c>
      <c r="C48" s="1" t="s">
        <v>346</v>
      </c>
      <c r="D48" s="5">
        <v>100</v>
      </c>
      <c r="E48" s="5">
        <v>1388</v>
      </c>
      <c r="F48" s="7">
        <v>26</v>
      </c>
      <c r="G48" s="8">
        <v>1.91</v>
      </c>
      <c r="H48" s="5">
        <v>146400</v>
      </c>
      <c r="I48" s="5">
        <v>1354</v>
      </c>
      <c r="J48" s="5">
        <v>1415</v>
      </c>
      <c r="K48" s="5">
        <v>1347</v>
      </c>
      <c r="L48" s="11">
        <v>43353</v>
      </c>
      <c r="M48" s="10">
        <v>0.625</v>
      </c>
      <c r="N48" s="1" t="s">
        <v>348</v>
      </c>
      <c r="O48" s="5"/>
    </row>
    <row r="49" spans="1:15" x14ac:dyDescent="0.15">
      <c r="A49" s="1">
        <v>7034</v>
      </c>
      <c r="B49" s="3" t="s">
        <v>417</v>
      </c>
      <c r="C49" s="1" t="s">
        <v>402</v>
      </c>
      <c r="D49" s="5">
        <v>100</v>
      </c>
      <c r="E49" s="5">
        <v>8900</v>
      </c>
      <c r="F49" s="7">
        <v>-240</v>
      </c>
      <c r="G49" s="8">
        <v>-2.63</v>
      </c>
      <c r="H49" s="5">
        <v>30200</v>
      </c>
      <c r="I49" s="5">
        <v>9050</v>
      </c>
      <c r="J49" s="5">
        <v>9230</v>
      </c>
      <c r="K49" s="5">
        <v>8800</v>
      </c>
      <c r="L49" s="11">
        <v>43353</v>
      </c>
      <c r="M49" s="10">
        <v>0.625</v>
      </c>
      <c r="N49" s="1" t="s">
        <v>348</v>
      </c>
      <c r="O49" s="5"/>
    </row>
    <row r="50" spans="1:15" x14ac:dyDescent="0.15">
      <c r="A50" s="1">
        <v>4396</v>
      </c>
      <c r="B50" s="3" t="s">
        <v>418</v>
      </c>
      <c r="C50" s="1" t="s">
        <v>346</v>
      </c>
      <c r="D50" s="5">
        <v>100</v>
      </c>
      <c r="E50" s="5">
        <v>2584</v>
      </c>
      <c r="F50" s="7">
        <v>10</v>
      </c>
      <c r="G50" s="8">
        <v>0.39</v>
      </c>
      <c r="H50" s="5">
        <v>19400</v>
      </c>
      <c r="I50" s="5">
        <v>2574</v>
      </c>
      <c r="J50" s="5">
        <v>2650</v>
      </c>
      <c r="K50" s="5">
        <v>2574</v>
      </c>
      <c r="L50" s="11">
        <v>43353</v>
      </c>
      <c r="M50" s="10">
        <v>0.625</v>
      </c>
      <c r="N50" s="1" t="s">
        <v>419</v>
      </c>
      <c r="O50" s="5"/>
    </row>
    <row r="51" spans="1:15" x14ac:dyDescent="0.15">
      <c r="A51" s="1">
        <v>5699</v>
      </c>
      <c r="B51" s="3" t="s">
        <v>352</v>
      </c>
      <c r="C51" s="1" t="s">
        <v>394</v>
      </c>
      <c r="D51" s="5">
        <v>100</v>
      </c>
      <c r="E51" s="5">
        <v>1992</v>
      </c>
      <c r="F51" s="7">
        <v>-48</v>
      </c>
      <c r="G51" s="8">
        <v>-2.35</v>
      </c>
      <c r="H51" s="5">
        <v>23500</v>
      </c>
      <c r="I51" s="5">
        <v>2012</v>
      </c>
      <c r="J51" s="5">
        <v>2030</v>
      </c>
      <c r="K51" s="5">
        <v>1992</v>
      </c>
      <c r="L51" s="11">
        <v>43353</v>
      </c>
      <c r="M51" s="10">
        <v>0.625</v>
      </c>
      <c r="N51" s="1" t="s">
        <v>419</v>
      </c>
      <c r="O51" s="5"/>
    </row>
    <row r="52" spans="1:15" x14ac:dyDescent="0.15">
      <c r="A52" s="1">
        <v>4397</v>
      </c>
      <c r="B52" s="3" t="s">
        <v>420</v>
      </c>
      <c r="C52" s="1" t="s">
        <v>402</v>
      </c>
      <c r="D52" s="5">
        <v>100</v>
      </c>
      <c r="E52" s="5">
        <v>1594</v>
      </c>
      <c r="F52" s="7">
        <v>143</v>
      </c>
      <c r="G52" s="8">
        <v>9.86</v>
      </c>
      <c r="H52" s="5">
        <v>175900</v>
      </c>
      <c r="I52" s="5">
        <v>1464</v>
      </c>
      <c r="J52" s="5">
        <v>1621</v>
      </c>
      <c r="K52" s="5">
        <v>1450</v>
      </c>
      <c r="L52" s="11">
        <v>43353</v>
      </c>
      <c r="M52" s="10">
        <v>0.625</v>
      </c>
      <c r="N52" s="1" t="s">
        <v>348</v>
      </c>
      <c r="O52" s="5"/>
    </row>
    <row r="53" spans="1:15" x14ac:dyDescent="0.15">
      <c r="A53" s="1">
        <v>7035</v>
      </c>
      <c r="B53" s="3" t="s">
        <v>421</v>
      </c>
      <c r="C53" s="1" t="s">
        <v>422</v>
      </c>
      <c r="D53" s="5">
        <v>100</v>
      </c>
      <c r="E53" s="5">
        <v>4850</v>
      </c>
      <c r="F53" s="7">
        <v>700</v>
      </c>
      <c r="G53" s="8">
        <v>16.87</v>
      </c>
      <c r="H53" s="5">
        <v>533700</v>
      </c>
      <c r="I53" s="5">
        <v>4500</v>
      </c>
      <c r="J53" s="5">
        <v>3.7</v>
      </c>
      <c r="K53" s="5">
        <v>4430</v>
      </c>
      <c r="L53" s="11">
        <v>43353</v>
      </c>
      <c r="M53" s="10">
        <v>0.625</v>
      </c>
      <c r="N53" s="1" t="s">
        <v>423</v>
      </c>
      <c r="O53" s="5"/>
    </row>
    <row r="54" spans="1:15" x14ac:dyDescent="0.15">
      <c r="A54" s="1">
        <v>9275</v>
      </c>
      <c r="B54" s="3" t="s">
        <v>424</v>
      </c>
      <c r="C54" s="1" t="s">
        <v>425</v>
      </c>
      <c r="D54" s="5">
        <v>100</v>
      </c>
      <c r="E54" s="5">
        <v>1459</v>
      </c>
      <c r="F54" s="7">
        <v>52</v>
      </c>
      <c r="G54" s="8">
        <v>3.7</v>
      </c>
      <c r="H54" s="5">
        <v>210900</v>
      </c>
      <c r="I54" s="5">
        <v>1430</v>
      </c>
      <c r="J54" s="5">
        <v>1475</v>
      </c>
      <c r="K54" s="5">
        <v>1415</v>
      </c>
      <c r="L54" s="11">
        <v>43353</v>
      </c>
      <c r="M54" s="10">
        <v>0.625</v>
      </c>
      <c r="N54" s="1" t="s">
        <v>423</v>
      </c>
      <c r="O54" s="5"/>
    </row>
    <row r="55" spans="1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1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1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1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1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1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1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1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1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1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  <hyperlink ref="B25" r:id="rId24" display="https://stocks.finance.yahoo.co.jp/stocks/detail/?code=4382"/>
    <hyperlink ref="B26" r:id="rId25" display="https://stocks.finance.yahoo.co.jp/stocks/detail/?code=6577"/>
    <hyperlink ref="B27" r:id="rId26" display="https://stocks.finance.yahoo.co.jp/stocks/detail/?code=7323"/>
    <hyperlink ref="B28" r:id="rId27" display="https://stocks.finance.yahoo.co.jp/stocks/detail/?code=6578"/>
    <hyperlink ref="B29" r:id="rId28" display="https://stocks.finance.yahoo.co.jp/stocks/detail/?code=4384"/>
    <hyperlink ref="B30" r:id="rId29" display="https://stocks.finance.yahoo.co.jp/stocks/detail/?code=4385"/>
    <hyperlink ref="B31" r:id="rId30" display="https://stocks.finance.yahoo.co.jp/stocks/detail/?code=6579"/>
    <hyperlink ref="B32" r:id="rId31" display="https://stocks.finance.yahoo.co.jp/stocks/detail/?code=4386"/>
    <hyperlink ref="B33" r:id="rId32" display="https://stocks.finance.yahoo.co.jp/stocks/detail/?code=9273"/>
    <hyperlink ref="B34" r:id="rId33" display="https://stocks.finance.yahoo.co.jp/stocks/detail/?code=4387"/>
    <hyperlink ref="B35" r:id="rId34" display="https://stocks.finance.yahoo.co.jp/stocks/detail/?code=6580"/>
    <hyperlink ref="B36" r:id="rId35" display="https://stocks.finance.yahoo.co.jp/stocks/detail/?code=9274"/>
    <hyperlink ref="B37" r:id="rId36" display="https://stocks.finance.yahoo.co.jp/stocks/detail/?code=4388"/>
    <hyperlink ref="B38" r:id="rId37" display="https://stocks.finance.yahoo.co.jp/stocks/detail/?code=4389"/>
    <hyperlink ref="B39" r:id="rId38" display="https://stocks.finance.yahoo.co.jp/stocks/detail/?code=4390"/>
    <hyperlink ref="B40" r:id="rId39" display="https://stocks.finance.yahoo.co.jp/stocks/detail/?code=7030"/>
    <hyperlink ref="B41" r:id="rId40" display="https://stocks.finance.yahoo.co.jp/stocks/detail/?code=4391"/>
    <hyperlink ref="B42" r:id="rId41" display="https://stocks.finance.yahoo.co.jp/stocks/detail/?code=1446"/>
    <hyperlink ref="B43" r:id="rId42" display="https://stocks.finance.yahoo.co.jp/stocks/detail/?code=7806"/>
    <hyperlink ref="B44" r:id="rId43" display="https://stocks.finance.yahoo.co.jp/stocks/detail/?code=7033"/>
    <hyperlink ref="B45" r:id="rId44" display="https://stocks.finance.yahoo.co.jp/stocks/detail/?code=4393"/>
    <hyperlink ref="B46" r:id="rId45" display="https://stocks.finance.yahoo.co.jp/stocks/detail/?code=3491"/>
    <hyperlink ref="B47" r:id="rId46" display="https://stocks.finance.yahoo.co.jp/stocks/detail/?code=4394"/>
    <hyperlink ref="B48" r:id="rId47" display="https://stocks.finance.yahoo.co.jp/stocks/detail/?code=4395"/>
    <hyperlink ref="B49" r:id="rId48" display="https://stocks.finance.yahoo.co.jp/stocks/detail/?code=7034"/>
    <hyperlink ref="B50" r:id="rId49" display="https://stocks.finance.yahoo.co.jp/stocks/detail/?code=4396"/>
    <hyperlink ref="B51" r:id="rId50" display="https://stocks.finance.yahoo.co.jp/stocks/detail/?code=5699"/>
    <hyperlink ref="B52" r:id="rId51" display="https://stocks.finance.yahoo.co.jp/stocks/detail/?code=4397"/>
    <hyperlink ref="B53" r:id="rId52" display="https://stocks.finance.yahoo.co.jp/stocks/detail/?code=7035"/>
    <hyperlink ref="B54" r:id="rId53" display="https://stocks.finance.yahoo.co.jp/stocks/detail/?code=9275"/>
  </hyperlinks>
  <pageMargins left="0.75" right="0.75" top="1" bottom="1" header="0.51200000000000001" footer="0.51200000000000001"/>
  <headerFooter alignWithMargins="0"/>
  <drawing r:id="rId54"/>
  <legacyDrawing r:id="rId55"/>
  <controls>
    <mc:AlternateContent xmlns:mc="http://schemas.openxmlformats.org/markup-compatibility/2006">
      <mc:Choice Requires="x14">
        <control shapeId="1025" r:id="rId56" name="cmdKabukaGet">
          <controlPr defaultSize="0" autoLine="0" r:id="rId57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56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6"/>
  <sheetViews>
    <sheetView zoomScaleNormal="100" workbookViewId="0">
      <pane xSplit="2" topLeftCell="C1" activePane="topRight" state="frozen"/>
      <selection pane="topRight" activeCell="G29" sqref="G29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142</v>
      </c>
    </row>
    <row r="2" spans="1:16" s="84" customFormat="1" ht="16.5" thickBot="1" x14ac:dyDescent="0.3">
      <c r="B2" s="113" t="s">
        <v>124</v>
      </c>
      <c r="C2" s="252">
        <v>43101</v>
      </c>
      <c r="D2" s="253"/>
      <c r="E2" s="252">
        <v>43132</v>
      </c>
      <c r="F2" s="253"/>
      <c r="G2" s="252">
        <v>43160</v>
      </c>
      <c r="H2" s="253"/>
      <c r="I2" s="252">
        <v>43191</v>
      </c>
      <c r="J2" s="253"/>
      <c r="K2" s="252">
        <v>43221</v>
      </c>
      <c r="L2" s="253"/>
      <c r="M2" s="252">
        <v>43252</v>
      </c>
      <c r="N2" s="253"/>
      <c r="O2" s="252">
        <v>43282</v>
      </c>
      <c r="P2" s="253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50">
        <f>C5+D5</f>
        <v>0</v>
      </c>
      <c r="D6" s="251"/>
      <c r="E6" s="250">
        <f>E5+F5</f>
        <v>0</v>
      </c>
      <c r="F6" s="251"/>
      <c r="G6" s="250">
        <f>G5+H5</f>
        <v>0</v>
      </c>
      <c r="H6" s="251"/>
      <c r="I6" s="250">
        <f>I5+J5</f>
        <v>0</v>
      </c>
      <c r="J6" s="251"/>
      <c r="K6" s="250">
        <f>K5+L5</f>
        <v>0</v>
      </c>
      <c r="L6" s="251"/>
      <c r="M6" s="250">
        <f>M5+N5</f>
        <v>0</v>
      </c>
      <c r="N6" s="251"/>
      <c r="O6" s="250">
        <f>O5+P5</f>
        <v>0</v>
      </c>
      <c r="P6" s="251"/>
    </row>
    <row r="7" spans="1:16" x14ac:dyDescent="0.25">
      <c r="B7" s="83" t="s">
        <v>121</v>
      </c>
      <c r="C7" s="15">
        <f>IF(ISERROR(C5/C4),0,C5/C4)</f>
        <v>0</v>
      </c>
      <c r="D7" s="145">
        <f>IF(D4=0,0,D5/D4)</f>
        <v>0</v>
      </c>
      <c r="E7" s="15">
        <f>IF(ISERROR(E5/E4),0,E5/E4)</f>
        <v>0</v>
      </c>
      <c r="F7" s="145">
        <f>IF(F4=0,0,F5/F4)</f>
        <v>0</v>
      </c>
      <c r="G7" s="15">
        <f>IF(ISERROR(G5/G4),0,G5/G4)</f>
        <v>0</v>
      </c>
      <c r="H7" s="145">
        <f>IF(H4=0,0,H5/H4)</f>
        <v>0</v>
      </c>
      <c r="I7" s="15">
        <f>IF(ISERROR(I5/I4),0,I5/I4)</f>
        <v>0</v>
      </c>
      <c r="J7" s="145">
        <f>IF(J4=0,0,J5/J4)</f>
        <v>0</v>
      </c>
      <c r="K7" s="15">
        <f>IF(ISERROR(K5/K4),0,K5/K4)</f>
        <v>0</v>
      </c>
      <c r="L7" s="145">
        <f>IF(L4=0,0,L5/L4)</f>
        <v>0</v>
      </c>
      <c r="M7" s="15">
        <f>IF(ISERROR(M5/M4),0,M5/M4)</f>
        <v>0</v>
      </c>
      <c r="N7" s="145">
        <f>IF(N4=0,0,N5/N4)</f>
        <v>0</v>
      </c>
      <c r="O7" s="15">
        <f>IF(ISERROR(O5/O4),0,O5/O4)</f>
        <v>0</v>
      </c>
      <c r="P7" s="145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5"/>
      <c r="M8" s="15"/>
      <c r="N8" s="15"/>
      <c r="O8" s="15"/>
      <c r="P8" s="15"/>
    </row>
    <row r="9" spans="1:16" ht="16.5" thickBot="1" x14ac:dyDescent="0.3">
      <c r="C9" s="252">
        <v>43313</v>
      </c>
      <c r="D9" s="253"/>
      <c r="E9" s="252">
        <v>43344</v>
      </c>
      <c r="F9" s="253"/>
      <c r="G9" s="252">
        <v>43374</v>
      </c>
      <c r="H9" s="253"/>
      <c r="I9" s="252">
        <v>43405</v>
      </c>
      <c r="J9" s="253"/>
      <c r="K9" s="252">
        <v>43435</v>
      </c>
      <c r="L9" s="253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50">
        <f>C12+D12</f>
        <v>0</v>
      </c>
      <c r="D13" s="251"/>
      <c r="E13" s="250">
        <f>E12+F12</f>
        <v>0</v>
      </c>
      <c r="F13" s="251"/>
      <c r="G13" s="250">
        <f>G12+H12</f>
        <v>0</v>
      </c>
      <c r="H13" s="251"/>
      <c r="I13" s="250">
        <f>I12+J12</f>
        <v>0</v>
      </c>
      <c r="J13" s="251"/>
      <c r="K13" s="250">
        <f>K12+L12</f>
        <v>0</v>
      </c>
      <c r="L13" s="251"/>
    </row>
    <row r="14" spans="1:16" x14ac:dyDescent="0.25">
      <c r="C14" s="15">
        <f>IF(ISERROR(C12/C11),0,C12/C11)</f>
        <v>0</v>
      </c>
      <c r="D14" s="145">
        <f>IF(D11=0,0,D12/D11)</f>
        <v>0</v>
      </c>
      <c r="E14" s="15">
        <f>IF(ISERROR(E12/E11),0,E12/E11)</f>
        <v>0</v>
      </c>
      <c r="F14" s="145">
        <f>IF(F11=0,0,F12/F11)</f>
        <v>0</v>
      </c>
      <c r="G14" s="15">
        <f>IF(ISERROR(G12/G11),0,G12/G11)</f>
        <v>0</v>
      </c>
      <c r="H14" s="145">
        <f>IF(H11=0,0,H12/H11)</f>
        <v>0</v>
      </c>
      <c r="I14" s="15">
        <f>IF(ISERROR(I12/I11),0,I12/I11)</f>
        <v>0</v>
      </c>
      <c r="J14" s="145">
        <f>IF(J11=0,0,J12/J11)</f>
        <v>0</v>
      </c>
      <c r="K14" s="15">
        <f>IF(ISERROR(K12/K11),0,K12/K11)</f>
        <v>0</v>
      </c>
      <c r="L14" s="145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x14ac:dyDescent="0.25">
      <c r="B17" s="83" t="s">
        <v>305</v>
      </c>
      <c r="C17" s="91">
        <f>SUM(E21:E25)</f>
        <v>1400</v>
      </c>
      <c r="E17" s="84"/>
      <c r="F17" s="92"/>
    </row>
    <row r="18" spans="1:19" ht="16.5" thickBot="1" x14ac:dyDescent="0.3">
      <c r="B18" s="83" t="s">
        <v>181</v>
      </c>
      <c r="C18" s="91">
        <f>SUM(D21:D25)+SUM(F21:F25)</f>
        <v>-284</v>
      </c>
      <c r="D18" s="37" t="s">
        <v>144</v>
      </c>
      <c r="E18" s="84"/>
      <c r="F18" s="92"/>
    </row>
    <row r="19" spans="1:19" ht="16.5" thickBot="1" x14ac:dyDescent="0.3">
      <c r="H19" s="12"/>
      <c r="I19" s="14"/>
      <c r="K19" s="14"/>
      <c r="N19" s="252" t="s">
        <v>180</v>
      </c>
      <c r="O19" s="254"/>
      <c r="P19" s="254"/>
      <c r="Q19" s="253"/>
    </row>
    <row r="20" spans="1:19" ht="16.5" thickBot="1" x14ac:dyDescent="0.3">
      <c r="A20" s="121" t="s">
        <v>141</v>
      </c>
      <c r="C20" s="93" t="s">
        <v>137</v>
      </c>
      <c r="D20" s="93" t="s">
        <v>138</v>
      </c>
      <c r="E20" s="187" t="s">
        <v>304</v>
      </c>
      <c r="F20" s="93" t="s">
        <v>147</v>
      </c>
      <c r="G20" s="93" t="s">
        <v>140</v>
      </c>
      <c r="H20" s="93" t="s">
        <v>143</v>
      </c>
      <c r="I20" s="93" t="s">
        <v>306</v>
      </c>
      <c r="J20" s="133" t="s">
        <v>146</v>
      </c>
      <c r="K20" s="93" t="s">
        <v>307</v>
      </c>
      <c r="N20" s="186" t="s">
        <v>235</v>
      </c>
      <c r="O20" s="221" t="s">
        <v>236</v>
      </c>
      <c r="P20" s="221" t="s">
        <v>229</v>
      </c>
      <c r="Q20" s="221" t="s">
        <v>230</v>
      </c>
      <c r="R20" s="132"/>
      <c r="S20" s="84" t="s">
        <v>231</v>
      </c>
    </row>
    <row r="21" spans="1:19" ht="16.5" thickTop="1" x14ac:dyDescent="0.25">
      <c r="B21" s="131" t="s">
        <v>132</v>
      </c>
      <c r="C21" s="130">
        <f>SUMIF(セカンダリ投資分析!$H$3:'セカンダリ投資分析'!$H$1048349,"=SBI",セカンダリ投資分析!$N$3:'セカンダリ投資分析'!$N$1048349)</f>
        <v>0</v>
      </c>
      <c r="D21" s="135">
        <v>0</v>
      </c>
      <c r="E21" s="192">
        <v>1000</v>
      </c>
      <c r="F21" s="135">
        <v>-203</v>
      </c>
      <c r="G21" s="130">
        <f>C21+D21+F21+E21</f>
        <v>797</v>
      </c>
      <c r="H21" s="138">
        <v>0</v>
      </c>
      <c r="I21" s="141">
        <v>2617674</v>
      </c>
      <c r="J21" s="146">
        <v>15946</v>
      </c>
      <c r="K21" s="127">
        <f>I21-J21</f>
        <v>2601728</v>
      </c>
      <c r="L21" s="56"/>
      <c r="N21" s="204">
        <v>-170699</v>
      </c>
      <c r="O21" s="205">
        <v>1800</v>
      </c>
      <c r="P21" s="205">
        <v>0</v>
      </c>
      <c r="Q21" s="205">
        <v>0</v>
      </c>
      <c r="S21" s="84" t="s">
        <v>232</v>
      </c>
    </row>
    <row r="22" spans="1:19" x14ac:dyDescent="0.25">
      <c r="B22" s="122" t="s">
        <v>133</v>
      </c>
      <c r="C22" s="126">
        <f>SUMIF(セカンダリ投資分析!$H$3:'セカンダリ投資分析'!$H$1048349,"=SMBC日興",セカンダリ投資分析!$N$3:'セカンダリ投資分析'!$N$1048349)</f>
        <v>0</v>
      </c>
      <c r="D22" s="136">
        <v>0</v>
      </c>
      <c r="E22" s="188">
        <v>400</v>
      </c>
      <c r="F22" s="136">
        <v>-81</v>
      </c>
      <c r="G22" s="126">
        <f t="shared" ref="G22:G25" si="0">C22+D22+F22+E22</f>
        <v>319</v>
      </c>
      <c r="H22" s="139">
        <v>0</v>
      </c>
      <c r="I22" s="142">
        <v>488897</v>
      </c>
      <c r="J22" s="190">
        <v>3984</v>
      </c>
      <c r="K22" s="127">
        <f t="shared" ref="K22:K23" si="1">I22-J22</f>
        <v>484913</v>
      </c>
      <c r="L22" s="56"/>
      <c r="N22" s="206">
        <v>85536</v>
      </c>
      <c r="O22" s="207">
        <v>0</v>
      </c>
      <c r="P22" s="207">
        <v>13099</v>
      </c>
      <c r="Q22" s="207">
        <v>4276</v>
      </c>
    </row>
    <row r="23" spans="1:19" x14ac:dyDescent="0.25">
      <c r="B23" s="123" t="s">
        <v>134</v>
      </c>
      <c r="C23" s="126">
        <f>SUMIF(セカンダリ投資分析!$H$3:'セカンダリ投資分析'!$H$1048349,"=大和",セカンダリ投資分析!$N$3:'セカンダリ投資分析'!$N$1048349)</f>
        <v>0</v>
      </c>
      <c r="D23" s="136">
        <v>0</v>
      </c>
      <c r="E23" s="188"/>
      <c r="F23" s="136">
        <v>0</v>
      </c>
      <c r="G23" s="126">
        <f t="shared" si="0"/>
        <v>0</v>
      </c>
      <c r="H23" s="139">
        <v>0</v>
      </c>
      <c r="I23" s="142">
        <v>386094</v>
      </c>
      <c r="J23" s="190">
        <v>386094</v>
      </c>
      <c r="K23" s="127">
        <f t="shared" si="1"/>
        <v>0</v>
      </c>
      <c r="L23" s="56"/>
      <c r="N23" s="206">
        <v>-3918</v>
      </c>
      <c r="O23" s="207">
        <v>0</v>
      </c>
      <c r="P23" s="207">
        <v>0</v>
      </c>
      <c r="Q23" s="207">
        <v>0</v>
      </c>
    </row>
    <row r="24" spans="1:19" x14ac:dyDescent="0.25">
      <c r="B24" s="124" t="s">
        <v>135</v>
      </c>
      <c r="C24" s="126">
        <f>SUMIF(セカンダリ投資分析!$H$3:'セカンダリ投資分析'!$H$1048349,"=マネックス",セカンダリ投資分析!$N$3:'セカンダリ投資分析'!$N$1048349)</f>
        <v>0</v>
      </c>
      <c r="D24" s="136">
        <v>0</v>
      </c>
      <c r="E24" s="188"/>
      <c r="F24" s="136">
        <v>0</v>
      </c>
      <c r="G24" s="126">
        <f t="shared" si="0"/>
        <v>0</v>
      </c>
      <c r="H24" s="139">
        <v>0</v>
      </c>
      <c r="I24" s="142">
        <v>309807</v>
      </c>
      <c r="J24" s="190">
        <v>7807</v>
      </c>
      <c r="K24" s="127">
        <f>I24-J24</f>
        <v>302000</v>
      </c>
      <c r="L24" s="56"/>
      <c r="N24" s="206">
        <v>18800</v>
      </c>
      <c r="O24" s="207">
        <v>0</v>
      </c>
      <c r="P24" s="207">
        <v>2877</v>
      </c>
      <c r="Q24" s="207">
        <v>938</v>
      </c>
    </row>
    <row r="25" spans="1:19" ht="16.5" thickBot="1" x14ac:dyDescent="0.3">
      <c r="B25" s="125" t="s">
        <v>136</v>
      </c>
      <c r="C25" s="128">
        <f>SUMIF(セカンダリ投資分析!$H$3:'セカンダリ投資分析'!$H$1048349,"=岡三OL",セカンダリ投資分析!$N$3:'セカンダリ投資分析'!$N$1048349)</f>
        <v>0</v>
      </c>
      <c r="D25" s="137">
        <v>0</v>
      </c>
      <c r="E25" s="189"/>
      <c r="F25" s="137">
        <v>0</v>
      </c>
      <c r="G25" s="128">
        <f t="shared" si="0"/>
        <v>0</v>
      </c>
      <c r="H25" s="140">
        <v>0</v>
      </c>
      <c r="I25" s="143">
        <v>0</v>
      </c>
      <c r="J25" s="191">
        <v>0</v>
      </c>
      <c r="K25" s="129">
        <f>I25-J25</f>
        <v>0</v>
      </c>
      <c r="L25" s="56"/>
      <c r="N25" s="208">
        <v>0</v>
      </c>
      <c r="O25" s="209">
        <v>0</v>
      </c>
      <c r="P25" s="209">
        <v>0</v>
      </c>
      <c r="Q25" s="209">
        <v>0</v>
      </c>
    </row>
    <row r="26" spans="1:19" x14ac:dyDescent="0.25">
      <c r="M26" s="13" t="s">
        <v>234</v>
      </c>
      <c r="N26" s="210">
        <f>SUM(N20:N24)</f>
        <v>-70281</v>
      </c>
      <c r="O26" s="210">
        <f>SUM(O21:O25)</f>
        <v>1800</v>
      </c>
      <c r="P26" s="210">
        <f>SUM(P21:P25)</f>
        <v>15976</v>
      </c>
      <c r="Q26" s="210">
        <f>SUM(Q21:Q25)</f>
        <v>5214</v>
      </c>
    </row>
    <row r="27" spans="1:19" x14ac:dyDescent="0.25">
      <c r="B27" s="83" t="s">
        <v>139</v>
      </c>
      <c r="C27" s="91">
        <f>SUM(C21:C25)</f>
        <v>0</v>
      </c>
      <c r="D27" s="91">
        <f>SUM(D21:D25)</f>
        <v>0</v>
      </c>
      <c r="E27" s="92">
        <f>SUM(E21:E25)</f>
        <v>1400</v>
      </c>
      <c r="F27" s="91">
        <f>SUM(F21:F25)</f>
        <v>-284</v>
      </c>
      <c r="I27" s="56">
        <f>SUM(I21:I25)</f>
        <v>3802472</v>
      </c>
      <c r="J27" s="56">
        <f>SUM(J21:J25)</f>
        <v>413831</v>
      </c>
      <c r="K27" s="56">
        <f>SUM(K21:K25)</f>
        <v>3388641</v>
      </c>
      <c r="M27" s="13" t="s">
        <v>237</v>
      </c>
      <c r="N27" s="210">
        <f>N26+O26</f>
        <v>-68481</v>
      </c>
      <c r="O27" s="210"/>
      <c r="P27" s="210"/>
    </row>
    <row r="28" spans="1:19" x14ac:dyDescent="0.25">
      <c r="D28" s="144" t="s">
        <v>145</v>
      </c>
      <c r="E28" s="144" t="s">
        <v>145</v>
      </c>
      <c r="F28" s="144" t="s">
        <v>145</v>
      </c>
      <c r="H28" s="144" t="s">
        <v>145</v>
      </c>
      <c r="I28" s="144" t="s">
        <v>145</v>
      </c>
      <c r="J28" s="144" t="s">
        <v>145</v>
      </c>
      <c r="M28" s="13" t="s">
        <v>233</v>
      </c>
      <c r="N28" s="92">
        <v>15936</v>
      </c>
    </row>
    <row r="29" spans="1:19" x14ac:dyDescent="0.25">
      <c r="M29" s="13" t="s">
        <v>238</v>
      </c>
      <c r="N29" s="92">
        <f>Q26</f>
        <v>5214</v>
      </c>
    </row>
    <row r="34" spans="10:18" x14ac:dyDescent="0.25">
      <c r="L34" s="84"/>
      <c r="M34" s="239" t="s">
        <v>288</v>
      </c>
      <c r="O34" s="16"/>
      <c r="Q34" s="37" t="s">
        <v>217</v>
      </c>
      <c r="R34" s="16">
        <v>43236</v>
      </c>
    </row>
    <row r="35" spans="10:18" ht="16.5" thickBot="1" x14ac:dyDescent="0.3">
      <c r="J35" s="56"/>
      <c r="L35" s="132" t="s">
        <v>207</v>
      </c>
      <c r="M35" s="219" t="s">
        <v>208</v>
      </c>
      <c r="N35" s="219" t="s">
        <v>209</v>
      </c>
      <c r="O35" s="219" t="s">
        <v>215</v>
      </c>
      <c r="P35" s="220" t="s">
        <v>223</v>
      </c>
      <c r="Q35" s="220" t="s">
        <v>224</v>
      </c>
      <c r="R35" s="220" t="s">
        <v>139</v>
      </c>
    </row>
    <row r="36" spans="10:18" ht="16.5" thickTop="1" x14ac:dyDescent="0.25">
      <c r="L36" s="216" t="s">
        <v>211</v>
      </c>
      <c r="M36" s="227">
        <v>0</v>
      </c>
      <c r="N36" s="227">
        <v>0</v>
      </c>
      <c r="O36" s="227">
        <v>0</v>
      </c>
      <c r="P36" s="218">
        <f>R36-Q36</f>
        <v>1484.666666666667</v>
      </c>
      <c r="Q36" s="218">
        <f>R36*(Q38/R38)</f>
        <v>2969.333333333333</v>
      </c>
      <c r="R36" s="26">
        <v>4454</v>
      </c>
    </row>
    <row r="37" spans="10:18" x14ac:dyDescent="0.25">
      <c r="K37" s="56"/>
      <c r="L37" s="216" t="s">
        <v>218</v>
      </c>
      <c r="M37" s="228" t="s">
        <v>172</v>
      </c>
      <c r="N37" s="229" t="s">
        <v>172</v>
      </c>
      <c r="O37" s="230" t="s">
        <v>216</v>
      </c>
      <c r="P37" s="211">
        <f>P36/R36</f>
        <v>0.33333333333333343</v>
      </c>
      <c r="Q37" s="212">
        <f>1-P37</f>
        <v>0.66666666666666652</v>
      </c>
      <c r="R37" s="28" t="s">
        <v>172</v>
      </c>
    </row>
    <row r="38" spans="10:18" x14ac:dyDescent="0.25">
      <c r="L38" s="216" t="s">
        <v>210</v>
      </c>
      <c r="M38" s="231">
        <v>660000</v>
      </c>
      <c r="N38" s="231">
        <v>100000</v>
      </c>
      <c r="O38" s="232">
        <f>SUM(M38:N38)</f>
        <v>760000</v>
      </c>
      <c r="P38" s="213">
        <v>60000</v>
      </c>
      <c r="Q38" s="213">
        <v>120000</v>
      </c>
      <c r="R38" s="214">
        <f>SUM(P38:Q38)</f>
        <v>180000</v>
      </c>
    </row>
    <row r="39" spans="10:18" x14ac:dyDescent="0.25">
      <c r="L39" s="216" t="s">
        <v>212</v>
      </c>
      <c r="M39" s="233" t="e">
        <f>O39*M37</f>
        <v>#VALUE!</v>
      </c>
      <c r="N39" s="233" t="e">
        <f>O39-M39</f>
        <v>#VALUE!</v>
      </c>
      <c r="O39" s="231">
        <f>M42*O36</f>
        <v>0</v>
      </c>
      <c r="P39" s="224">
        <f>R39*P37</f>
        <v>0</v>
      </c>
      <c r="Q39" s="224">
        <f>R39-P39</f>
        <v>0</v>
      </c>
      <c r="R39" s="222">
        <f>P42*R36</f>
        <v>0</v>
      </c>
    </row>
    <row r="40" spans="10:18" x14ac:dyDescent="0.25">
      <c r="L40" s="216" t="s">
        <v>213</v>
      </c>
      <c r="M40" s="233" t="e">
        <f>M39-M38</f>
        <v>#VALUE!</v>
      </c>
      <c r="N40" s="233" t="e">
        <f>N39-N38</f>
        <v>#VALUE!</v>
      </c>
      <c r="O40" s="232" t="e">
        <f>SUM(M40:N40)</f>
        <v>#VALUE!</v>
      </c>
      <c r="P40" s="224">
        <f>P39-P38</f>
        <v>-60000</v>
      </c>
      <c r="Q40" s="224">
        <f>Q39-Q38</f>
        <v>-120000</v>
      </c>
      <c r="R40" s="214">
        <f>SUM(P40:Q40)</f>
        <v>-180000</v>
      </c>
    </row>
    <row r="41" spans="10:18" ht="16.5" thickBot="1" x14ac:dyDescent="0.3">
      <c r="L41" s="217" t="s">
        <v>214</v>
      </c>
      <c r="M41" s="234" t="e">
        <f>M40/M38</f>
        <v>#VALUE!</v>
      </c>
      <c r="N41" s="234" t="e">
        <f>N40/N38</f>
        <v>#VALUE!</v>
      </c>
      <c r="O41" s="235" t="s">
        <v>216</v>
      </c>
      <c r="P41" s="223">
        <f>P40/P38</f>
        <v>-1</v>
      </c>
      <c r="Q41" s="223">
        <f>Q40/Q38</f>
        <v>-1</v>
      </c>
      <c r="R41" s="31" t="s">
        <v>172</v>
      </c>
    </row>
    <row r="42" spans="10:18" ht="16.5" thickBot="1" x14ac:dyDescent="0.3">
      <c r="L42" s="13" t="s">
        <v>239</v>
      </c>
      <c r="M42" s="244">
        <v>35.700000000000003</v>
      </c>
      <c r="N42" s="245"/>
      <c r="O42" s="246"/>
      <c r="P42" s="247">
        <v>0</v>
      </c>
      <c r="Q42" s="248"/>
      <c r="R42" s="249"/>
    </row>
    <row r="43" spans="10:18" x14ac:dyDescent="0.25">
      <c r="L43" s="37" t="s">
        <v>219</v>
      </c>
      <c r="M43" s="236" t="e">
        <f t="shared" ref="M43:R43" si="2">M38/M36</f>
        <v>#DIV/0!</v>
      </c>
      <c r="N43" s="236" t="e">
        <f t="shared" si="2"/>
        <v>#DIV/0!</v>
      </c>
      <c r="O43" s="236" t="e">
        <f t="shared" si="2"/>
        <v>#DIV/0!</v>
      </c>
      <c r="P43" s="215">
        <f t="shared" si="2"/>
        <v>40.413111809609333</v>
      </c>
      <c r="Q43" s="215">
        <f t="shared" si="2"/>
        <v>40.413111809609347</v>
      </c>
      <c r="R43" s="215">
        <f t="shared" si="2"/>
        <v>40.41311180960934</v>
      </c>
    </row>
    <row r="45" spans="10:18" x14ac:dyDescent="0.25">
      <c r="L45" s="13" t="s">
        <v>241</v>
      </c>
      <c r="M45" s="238">
        <v>540000</v>
      </c>
    </row>
    <row r="46" spans="10:18" x14ac:dyDescent="0.25">
      <c r="L46" s="13" t="s">
        <v>240</v>
      </c>
      <c r="M46" s="237" t="e">
        <f>M39-M45</f>
        <v>#VALUE!</v>
      </c>
    </row>
  </sheetData>
  <mergeCells count="27"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  <mergeCell ref="G6:H6"/>
    <mergeCell ref="I6:J6"/>
    <mergeCell ref="K6:L6"/>
    <mergeCell ref="M6:N6"/>
    <mergeCell ref="I9:J9"/>
    <mergeCell ref="M42:O42"/>
    <mergeCell ref="P42:R42"/>
    <mergeCell ref="I13:J13"/>
    <mergeCell ref="K9:L9"/>
    <mergeCell ref="K13:L13"/>
    <mergeCell ref="N19:Q19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59"/>
  <sheetViews>
    <sheetView topLeftCell="A37" zoomScale="115" zoomScaleNormal="115" workbookViewId="0">
      <selection activeCell="A61" sqref="A61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8" style="37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158</v>
      </c>
      <c r="R2" s="70"/>
      <c r="S2" s="69" t="s">
        <v>159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163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2"/>
      <c r="C5" s="78"/>
      <c r="D5" s="78"/>
      <c r="E5" s="78"/>
      <c r="F5" s="78"/>
      <c r="G5" s="152" t="s">
        <v>130</v>
      </c>
      <c r="H5" s="78" t="str">
        <f>LEFT(G5,LEN(G5)-1)</f>
        <v>30</v>
      </c>
      <c r="I5" s="152" t="s">
        <v>148</v>
      </c>
      <c r="J5" s="78" t="str">
        <f>LEFT(I5,LEN(I5)-1)</f>
        <v>48</v>
      </c>
      <c r="K5" s="78" t="s">
        <v>160</v>
      </c>
      <c r="L5" s="78" t="str">
        <f>LEFT(K5,LEN(K5)-1)</f>
        <v>39</v>
      </c>
      <c r="M5" s="152" t="s">
        <v>161</v>
      </c>
      <c r="N5" s="79" t="str">
        <f>LEFT(M5,LEN(M5)-1)</f>
        <v>201</v>
      </c>
      <c r="O5" s="78" t="s">
        <v>149</v>
      </c>
      <c r="P5" s="79" t="str">
        <f>LEFT(O5,LEN(O5)-1)</f>
        <v>0</v>
      </c>
      <c r="Q5" s="77" t="s">
        <v>162</v>
      </c>
      <c r="R5" s="79" t="str">
        <f>LEFT(Q5,LEN(Q5)-1)</f>
        <v>66</v>
      </c>
      <c r="S5" s="77" t="s">
        <v>149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164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158</v>
      </c>
      <c r="R8" s="70"/>
      <c r="S8" s="69" t="s">
        <v>159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178</v>
      </c>
      <c r="D10" s="80" t="str">
        <f>LEFT(C10,LEN(C10)-1)</f>
        <v>13</v>
      </c>
      <c r="E10" s="80" t="s">
        <v>177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2"/>
      <c r="C11" s="78"/>
      <c r="D11" s="78"/>
      <c r="E11" s="78"/>
      <c r="F11" s="78"/>
      <c r="G11" s="152" t="s">
        <v>130</v>
      </c>
      <c r="H11" s="78" t="str">
        <f>LEFT(G11,LEN(G11)-1)</f>
        <v>30</v>
      </c>
      <c r="I11" s="152" t="s">
        <v>148</v>
      </c>
      <c r="J11" s="78" t="str">
        <f>LEFT(I11,LEN(I11)-1)</f>
        <v>48</v>
      </c>
      <c r="K11" s="78" t="s">
        <v>160</v>
      </c>
      <c r="L11" s="78" t="str">
        <f>LEFT(K11,LEN(K11)-1)</f>
        <v>39</v>
      </c>
      <c r="M11" s="152" t="s">
        <v>161</v>
      </c>
      <c r="N11" s="79" t="str">
        <f>LEFT(M11,LEN(M11)-1)</f>
        <v>201</v>
      </c>
      <c r="O11" s="78" t="s">
        <v>149</v>
      </c>
      <c r="P11" s="79" t="str">
        <f>LEFT(O11,LEN(O11)-1)</f>
        <v>0</v>
      </c>
      <c r="Q11" s="77" t="s">
        <v>149</v>
      </c>
      <c r="R11" s="79" t="str">
        <f>LEFT(Q11,LEN(Q11)-1)</f>
        <v>0</v>
      </c>
      <c r="S11" s="77" t="s">
        <v>162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179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158</v>
      </c>
      <c r="R14" s="70"/>
      <c r="S14" s="69" t="s">
        <v>159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205</v>
      </c>
      <c r="D16" s="80" t="str">
        <f>LEFT(C16,LEN(C16)-1)</f>
        <v>25</v>
      </c>
      <c r="E16" s="80" t="s">
        <v>203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2"/>
      <c r="C17" s="78"/>
      <c r="D17" s="78"/>
      <c r="E17" s="78"/>
      <c r="F17" s="78"/>
      <c r="G17" s="152" t="s">
        <v>130</v>
      </c>
      <c r="H17" s="78" t="str">
        <f>LEFT(G17,LEN(G17)-1)</f>
        <v>30</v>
      </c>
      <c r="I17" s="152" t="s">
        <v>148</v>
      </c>
      <c r="J17" s="78" t="str">
        <f>LEFT(I17,LEN(I17)-1)</f>
        <v>48</v>
      </c>
      <c r="K17" s="78" t="s">
        <v>160</v>
      </c>
      <c r="L17" s="78" t="str">
        <f>LEFT(K17,LEN(K17)-1)</f>
        <v>39</v>
      </c>
      <c r="M17" s="152" t="s">
        <v>161</v>
      </c>
      <c r="N17" s="79" t="str">
        <f>LEFT(M17,LEN(M17)-1)</f>
        <v>201</v>
      </c>
      <c r="O17" s="78" t="s">
        <v>149</v>
      </c>
      <c r="P17" s="79" t="str">
        <f>LEFT(O17,LEN(O17)-1)</f>
        <v>0</v>
      </c>
      <c r="Q17" s="77" t="s">
        <v>149</v>
      </c>
      <c r="R17" s="79" t="str">
        <f>LEFT(Q17,LEN(Q17)-1)</f>
        <v>0</v>
      </c>
      <c r="S17" s="77" t="s">
        <v>162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204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158</v>
      </c>
      <c r="R20" s="70"/>
      <c r="S20" s="69" t="s">
        <v>159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163</v>
      </c>
      <c r="D22" s="80" t="str">
        <f>LEFT(C22,LEN(C22)-1)</f>
        <v>7</v>
      </c>
      <c r="E22" s="80" t="s">
        <v>203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2"/>
      <c r="C23" s="78"/>
      <c r="D23" s="78"/>
      <c r="E23" s="78"/>
      <c r="F23" s="78"/>
      <c r="G23" s="152" t="s">
        <v>130</v>
      </c>
      <c r="H23" s="78" t="str">
        <f>LEFT(G23,LEN(G23)-1)</f>
        <v>30</v>
      </c>
      <c r="I23" s="152" t="s">
        <v>148</v>
      </c>
      <c r="J23" s="78" t="str">
        <f>LEFT(I23,LEN(I23)-1)</f>
        <v>48</v>
      </c>
      <c r="K23" s="78" t="s">
        <v>160</v>
      </c>
      <c r="L23" s="78" t="str">
        <f>LEFT(K23,LEN(K23)-1)</f>
        <v>39</v>
      </c>
      <c r="M23" s="152" t="s">
        <v>161</v>
      </c>
      <c r="N23" s="79" t="str">
        <f>LEFT(M23,LEN(M23)-1)</f>
        <v>201</v>
      </c>
      <c r="O23" s="78" t="s">
        <v>149</v>
      </c>
      <c r="P23" s="79" t="str">
        <f>LEFT(O23,LEN(O23)-1)</f>
        <v>0</v>
      </c>
      <c r="Q23" s="77" t="s">
        <v>221</v>
      </c>
      <c r="R23" s="79" t="str">
        <f>LEFT(Q23,LEN(Q23)-1)</f>
        <v>18</v>
      </c>
      <c r="S23" s="77" t="s">
        <v>162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222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158</v>
      </c>
      <c r="R26" s="70"/>
      <c r="S26" s="69" t="s">
        <v>159</v>
      </c>
      <c r="T26" s="70"/>
      <c r="U26" s="69" t="s">
        <v>255</v>
      </c>
      <c r="V26" s="70"/>
      <c r="W26" s="69" t="s">
        <v>252</v>
      </c>
      <c r="X26" s="70"/>
      <c r="Y26" s="69" t="s">
        <v>265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251</v>
      </c>
      <c r="D28" s="80" t="str">
        <f>LEFT(C28,LEN(C28)-1)</f>
        <v>17</v>
      </c>
      <c r="E28" s="80" t="s">
        <v>149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2"/>
      <c r="C29" s="78"/>
      <c r="D29" s="78"/>
      <c r="E29" s="78"/>
      <c r="F29" s="78"/>
      <c r="G29" s="152" t="s">
        <v>130</v>
      </c>
      <c r="H29" s="78" t="str">
        <f>LEFT(G29,LEN(G29)-1)</f>
        <v>30</v>
      </c>
      <c r="I29" s="152" t="s">
        <v>148</v>
      </c>
      <c r="J29" s="78" t="str">
        <f>LEFT(I29,LEN(I29)-1)</f>
        <v>48</v>
      </c>
      <c r="K29" s="78" t="s">
        <v>160</v>
      </c>
      <c r="L29" s="78" t="str">
        <f>LEFT(K29,LEN(K29)-1)</f>
        <v>39</v>
      </c>
      <c r="M29" s="152" t="s">
        <v>161</v>
      </c>
      <c r="N29" s="79" t="str">
        <f>LEFT(M29,LEN(M29)-1)</f>
        <v>201</v>
      </c>
      <c r="O29" s="78" t="s">
        <v>149</v>
      </c>
      <c r="P29" s="79" t="str">
        <f>LEFT(O29,LEN(O29)-1)</f>
        <v>0</v>
      </c>
      <c r="Q29" s="77" t="s">
        <v>149</v>
      </c>
      <c r="R29" s="79" t="str">
        <f>LEFT(Q29,LEN(Q29)-1)</f>
        <v>0</v>
      </c>
      <c r="S29" s="152" t="s">
        <v>162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253</v>
      </c>
      <c r="X29" s="79" t="str">
        <f>LEFT(W29,LEN(W29)-1)</f>
        <v>6</v>
      </c>
      <c r="Y29" s="77" t="s">
        <v>254</v>
      </c>
      <c r="Z29" s="226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256</v>
      </c>
      <c r="E30" s="55"/>
    </row>
    <row r="31" spans="1:28" ht="16.5" thickBot="1" x14ac:dyDescent="0.3"/>
    <row r="32" spans="1:28" ht="16.5" thickBot="1" x14ac:dyDescent="0.3">
      <c r="A32" s="65"/>
      <c r="B32" s="66" t="s">
        <v>103</v>
      </c>
      <c r="C32" s="67" t="s">
        <v>104</v>
      </c>
      <c r="D32" s="67"/>
      <c r="E32" s="67" t="s">
        <v>105</v>
      </c>
      <c r="F32" s="67"/>
      <c r="G32" s="67" t="s">
        <v>39</v>
      </c>
      <c r="H32" s="67"/>
      <c r="I32" s="67" t="s">
        <v>106</v>
      </c>
      <c r="J32" s="67"/>
      <c r="K32" s="67" t="s">
        <v>51</v>
      </c>
      <c r="L32" s="68"/>
      <c r="M32" s="69" t="s">
        <v>56</v>
      </c>
      <c r="N32" s="70"/>
      <c r="O32" s="69" t="s">
        <v>128</v>
      </c>
      <c r="P32" s="70"/>
      <c r="Q32" s="69" t="s">
        <v>158</v>
      </c>
      <c r="R32" s="70"/>
      <c r="S32" s="69" t="s">
        <v>159</v>
      </c>
      <c r="T32" s="70"/>
      <c r="U32" s="69" t="s">
        <v>255</v>
      </c>
      <c r="V32" s="70"/>
      <c r="W32" s="69" t="s">
        <v>252</v>
      </c>
      <c r="X32" s="70"/>
      <c r="Y32" s="69" t="s">
        <v>265</v>
      </c>
      <c r="Z32" s="70"/>
    </row>
    <row r="33" spans="1:28" ht="16.5" thickBot="1" x14ac:dyDescent="0.3">
      <c r="A33" s="71" t="s">
        <v>107</v>
      </c>
      <c r="B33" s="81" t="str">
        <f>CONCATENATE((N35+L35+J35+H35+F34+D34+V35+P35+R35+T35+Z35+X35),"万")</f>
        <v>423万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64"/>
      <c r="O33" s="43"/>
      <c r="P33" s="64"/>
      <c r="Q33" s="43"/>
      <c r="R33" s="64"/>
      <c r="S33" s="43"/>
      <c r="T33" s="64"/>
      <c r="U33" s="26"/>
      <c r="V33" s="64"/>
      <c r="W33" s="26"/>
      <c r="X33" s="64"/>
      <c r="Y33" s="26"/>
      <c r="Z33" s="64"/>
    </row>
    <row r="34" spans="1:28" x14ac:dyDescent="0.25">
      <c r="A34" s="72" t="s">
        <v>108</v>
      </c>
      <c r="B34" s="82"/>
      <c r="C34" s="80" t="s">
        <v>267</v>
      </c>
      <c r="D34" s="80" t="str">
        <f>LEFT(C34,LEN(C34)-1)</f>
        <v>5</v>
      </c>
      <c r="E34" s="80" t="s">
        <v>177</v>
      </c>
      <c r="F34" s="49" t="str">
        <f>LEFT(E34,LEN(E34)-1)</f>
        <v>2</v>
      </c>
      <c r="G34" s="49"/>
      <c r="H34" s="49"/>
      <c r="I34" s="49"/>
      <c r="J34" s="49"/>
      <c r="K34" s="49"/>
      <c r="L34" s="49"/>
      <c r="M34" s="49"/>
      <c r="N34" s="64"/>
      <c r="O34" s="49"/>
      <c r="P34" s="64"/>
      <c r="Q34" s="49"/>
      <c r="R34" s="64"/>
      <c r="S34" s="49"/>
      <c r="T34" s="64"/>
      <c r="U34" s="28"/>
      <c r="V34" s="64"/>
      <c r="W34" s="28"/>
      <c r="X34" s="64"/>
      <c r="Y34" s="28"/>
      <c r="Z34" s="64"/>
      <c r="AA34" s="37" t="str">
        <f>CONCATENATE((D34+F34),"万")</f>
        <v>7万</v>
      </c>
      <c r="AB34" s="73" t="s">
        <v>109</v>
      </c>
    </row>
    <row r="35" spans="1:28" ht="16.5" thickBot="1" x14ac:dyDescent="0.3">
      <c r="A35" s="74" t="s">
        <v>110</v>
      </c>
      <c r="B35" s="112"/>
      <c r="C35" s="78"/>
      <c r="D35" s="78"/>
      <c r="E35" s="78"/>
      <c r="F35" s="78"/>
      <c r="G35" s="152" t="s">
        <v>130</v>
      </c>
      <c r="H35" s="78" t="str">
        <f>LEFT(G35,LEN(G35)-1)</f>
        <v>30</v>
      </c>
      <c r="I35" s="152" t="s">
        <v>148</v>
      </c>
      <c r="J35" s="78" t="str">
        <f>LEFT(I35,LEN(I35)-1)</f>
        <v>48</v>
      </c>
      <c r="K35" s="78" t="s">
        <v>264</v>
      </c>
      <c r="L35" s="78" t="str">
        <f>LEFT(K35,LEN(K35)-1)</f>
        <v>38</v>
      </c>
      <c r="M35" s="152" t="s">
        <v>161</v>
      </c>
      <c r="N35" s="79" t="str">
        <f>LEFT(M35,LEN(M35)-1)</f>
        <v>201</v>
      </c>
      <c r="O35" s="78" t="s">
        <v>149</v>
      </c>
      <c r="P35" s="79" t="str">
        <f>LEFT(O35,LEN(O35)-1)</f>
        <v>0</v>
      </c>
      <c r="Q35" s="78" t="s">
        <v>149</v>
      </c>
      <c r="R35" s="79" t="str">
        <f>LEFT(Q35,LEN(Q35)-1)</f>
        <v>0</v>
      </c>
      <c r="S35" s="152" t="s">
        <v>162</v>
      </c>
      <c r="T35" s="79" t="str">
        <f>LEFT(S35,LEN(S35)-1)</f>
        <v>66</v>
      </c>
      <c r="U35" s="78" t="s">
        <v>113</v>
      </c>
      <c r="V35" s="79" t="str">
        <f>LEFT(U35,LEN(U35)-1)</f>
        <v>15</v>
      </c>
      <c r="W35" s="78" t="s">
        <v>253</v>
      </c>
      <c r="X35" s="226" t="str">
        <f>LEFT(W35,LEN(W35)-1)</f>
        <v>6</v>
      </c>
      <c r="Y35" s="78" t="s">
        <v>254</v>
      </c>
      <c r="Z35" s="226" t="str">
        <f>LEFT(Y35,LEN(Y35)-1)</f>
        <v>12</v>
      </c>
      <c r="AA35" s="37" t="str">
        <f>CONCATENATE((H35+J35+L35+N35+P35+R35+T35+V35+Z35+X35),"万")</f>
        <v>416万</v>
      </c>
      <c r="AB35" s="75">
        <v>43227</v>
      </c>
    </row>
    <row r="36" spans="1:28" x14ac:dyDescent="0.25">
      <c r="A36" s="76" t="s">
        <v>111</v>
      </c>
      <c r="B36" s="37" t="s">
        <v>266</v>
      </c>
      <c r="E36" s="55"/>
    </row>
    <row r="37" spans="1:28" ht="16.5" thickBot="1" x14ac:dyDescent="0.3"/>
    <row r="38" spans="1:28" ht="16.5" thickBot="1" x14ac:dyDescent="0.3">
      <c r="A38" s="65"/>
      <c r="B38" s="66" t="s">
        <v>103</v>
      </c>
      <c r="C38" s="67" t="s">
        <v>104</v>
      </c>
      <c r="D38" s="67"/>
      <c r="E38" s="67" t="s">
        <v>105</v>
      </c>
      <c r="F38" s="67"/>
      <c r="G38" s="67" t="s">
        <v>39</v>
      </c>
      <c r="H38" s="67"/>
      <c r="I38" s="67" t="s">
        <v>106</v>
      </c>
      <c r="J38" s="67"/>
      <c r="K38" s="67" t="s">
        <v>51</v>
      </c>
      <c r="L38" s="68"/>
      <c r="M38" s="69" t="s">
        <v>56</v>
      </c>
      <c r="N38" s="70"/>
      <c r="O38" s="69" t="s">
        <v>128</v>
      </c>
      <c r="P38" s="70"/>
      <c r="Q38" s="69" t="s">
        <v>158</v>
      </c>
      <c r="R38" s="70"/>
      <c r="S38" s="69" t="s">
        <v>159</v>
      </c>
      <c r="T38" s="70"/>
      <c r="U38" s="69" t="s">
        <v>255</v>
      </c>
      <c r="V38" s="70"/>
      <c r="W38" s="69" t="s">
        <v>252</v>
      </c>
      <c r="X38" s="70"/>
      <c r="Y38" s="69" t="s">
        <v>265</v>
      </c>
      <c r="Z38" s="70"/>
    </row>
    <row r="39" spans="1:28" ht="16.5" thickBot="1" x14ac:dyDescent="0.3">
      <c r="A39" s="71" t="s">
        <v>107</v>
      </c>
      <c r="B39" s="81" t="str">
        <f>CONCATENATE((N41+L41+J41+H41+F40+D40+V41+P41+R41+T41+Z41+X41),"万")</f>
        <v>367万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64"/>
      <c r="O39" s="43"/>
      <c r="P39" s="64"/>
      <c r="Q39" s="43"/>
      <c r="R39" s="64"/>
      <c r="S39" s="43"/>
      <c r="T39" s="64"/>
      <c r="U39" s="26"/>
      <c r="V39" s="64"/>
      <c r="W39" s="26"/>
      <c r="X39" s="64"/>
      <c r="Y39" s="26"/>
      <c r="Z39" s="64"/>
    </row>
    <row r="40" spans="1:28" x14ac:dyDescent="0.25">
      <c r="A40" s="72" t="s">
        <v>108</v>
      </c>
      <c r="B40" s="82"/>
      <c r="C40" s="80" t="s">
        <v>286</v>
      </c>
      <c r="D40" s="80" t="str">
        <f>LEFT(C40,LEN(C40)-1)</f>
        <v>16</v>
      </c>
      <c r="E40" s="80" t="s">
        <v>203</v>
      </c>
      <c r="F40" s="49" t="str">
        <f>LEFT(E40,LEN(E40)-1)</f>
        <v>1</v>
      </c>
      <c r="G40" s="49"/>
      <c r="H40" s="49"/>
      <c r="I40" s="49"/>
      <c r="J40" s="49"/>
      <c r="K40" s="49"/>
      <c r="L40" s="49"/>
      <c r="M40" s="49"/>
      <c r="N40" s="64"/>
      <c r="O40" s="49"/>
      <c r="P40" s="64"/>
      <c r="Q40" s="49"/>
      <c r="R40" s="64"/>
      <c r="S40" s="49"/>
      <c r="T40" s="64"/>
      <c r="U40" s="28"/>
      <c r="V40" s="64"/>
      <c r="W40" s="28"/>
      <c r="X40" s="64"/>
      <c r="Y40" s="28"/>
      <c r="Z40" s="64"/>
      <c r="AA40" s="37" t="str">
        <f>CONCATENATE((D40+F40),"万")</f>
        <v>17万</v>
      </c>
      <c r="AB40" s="73" t="s">
        <v>109</v>
      </c>
    </row>
    <row r="41" spans="1:28" ht="16.5" thickBot="1" x14ac:dyDescent="0.3">
      <c r="A41" s="74" t="s">
        <v>110</v>
      </c>
      <c r="B41" s="112"/>
      <c r="C41" s="78"/>
      <c r="D41" s="78"/>
      <c r="E41" s="78"/>
      <c r="F41" s="78"/>
      <c r="G41" s="152" t="s">
        <v>130</v>
      </c>
      <c r="H41" s="78" t="str">
        <f>LEFT(G41,LEN(G41)-1)</f>
        <v>30</v>
      </c>
      <c r="I41" s="152" t="s">
        <v>148</v>
      </c>
      <c r="J41" s="78" t="str">
        <f>LEFT(I41,LEN(I41)-1)</f>
        <v>48</v>
      </c>
      <c r="K41" s="78" t="s">
        <v>264</v>
      </c>
      <c r="L41" s="78" t="str">
        <f>LEFT(K41,LEN(K41)-1)</f>
        <v>38</v>
      </c>
      <c r="M41" s="152" t="s">
        <v>161</v>
      </c>
      <c r="N41" s="79" t="str">
        <f>LEFT(M41,LEN(M41)-1)</f>
        <v>201</v>
      </c>
      <c r="O41" s="78" t="s">
        <v>149</v>
      </c>
      <c r="P41" s="79" t="str">
        <f>LEFT(O41,LEN(O41)-1)</f>
        <v>0</v>
      </c>
      <c r="Q41" s="78" t="s">
        <v>149</v>
      </c>
      <c r="R41" s="79" t="str">
        <f>LEFT(Q41,LEN(Q41)-1)</f>
        <v>0</v>
      </c>
      <c r="S41" s="77" t="s">
        <v>149</v>
      </c>
      <c r="T41" s="79" t="str">
        <f>LEFT(S41,LEN(S41)-1)</f>
        <v>0</v>
      </c>
      <c r="U41" s="78" t="s">
        <v>113</v>
      </c>
      <c r="V41" s="79" t="str">
        <f>LEFT(U41,LEN(U41)-1)</f>
        <v>15</v>
      </c>
      <c r="W41" s="78" t="s">
        <v>253</v>
      </c>
      <c r="X41" s="226" t="str">
        <f>LEFT(W41,LEN(W41)-1)</f>
        <v>6</v>
      </c>
      <c r="Y41" s="78" t="s">
        <v>254</v>
      </c>
      <c r="Z41" s="226" t="str">
        <f>LEFT(Y41,LEN(Y41)-1)</f>
        <v>12</v>
      </c>
      <c r="AA41" s="37" t="str">
        <f>CONCATENATE((H41+J41+L41+N41+P41+R41+T41+V41+Z41+X41),"万")</f>
        <v>350万</v>
      </c>
      <c r="AB41" s="75">
        <v>43248</v>
      </c>
    </row>
    <row r="42" spans="1:28" x14ac:dyDescent="0.25">
      <c r="A42" s="76" t="s">
        <v>111</v>
      </c>
      <c r="B42" s="37" t="s">
        <v>287</v>
      </c>
      <c r="E42" s="55"/>
    </row>
    <row r="43" spans="1:28" ht="16.5" thickBot="1" x14ac:dyDescent="0.3"/>
    <row r="44" spans="1:28" ht="16.5" thickBot="1" x14ac:dyDescent="0.3">
      <c r="A44" s="65"/>
      <c r="B44" s="66" t="s">
        <v>103</v>
      </c>
      <c r="C44" s="67" t="s">
        <v>104</v>
      </c>
      <c r="D44" s="67"/>
      <c r="E44" s="67" t="s">
        <v>105</v>
      </c>
      <c r="F44" s="67"/>
      <c r="G44" s="67" t="s">
        <v>39</v>
      </c>
      <c r="H44" s="67"/>
      <c r="I44" s="67" t="s">
        <v>106</v>
      </c>
      <c r="J44" s="67"/>
      <c r="K44" s="67" t="s">
        <v>51</v>
      </c>
      <c r="L44" s="68"/>
      <c r="M44" s="69" t="s">
        <v>56</v>
      </c>
      <c r="N44" s="70"/>
      <c r="O44" s="69" t="s">
        <v>128</v>
      </c>
      <c r="P44" s="70"/>
      <c r="Q44" s="69" t="s">
        <v>158</v>
      </c>
      <c r="R44" s="70"/>
      <c r="S44" s="69" t="s">
        <v>159</v>
      </c>
      <c r="T44" s="70"/>
      <c r="U44" s="69" t="s">
        <v>255</v>
      </c>
      <c r="V44" s="70"/>
      <c r="W44" s="69" t="s">
        <v>252</v>
      </c>
      <c r="X44" s="70"/>
      <c r="Y44" s="69" t="s">
        <v>265</v>
      </c>
      <c r="Z44" s="70"/>
    </row>
    <row r="45" spans="1:28" ht="16.5" thickBot="1" x14ac:dyDescent="0.3">
      <c r="A45" s="71" t="s">
        <v>107</v>
      </c>
      <c r="B45" s="81" t="str">
        <f>CONCATENATE((N47+L47+J47+H47+F46+D46+V47+P47+R47+T47+Z47+X47),"万")</f>
        <v>418万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64"/>
      <c r="O45" s="43"/>
      <c r="P45" s="64"/>
      <c r="Q45" s="43"/>
      <c r="R45" s="64"/>
      <c r="S45" s="43"/>
      <c r="T45" s="64"/>
      <c r="U45" s="26"/>
      <c r="V45" s="64"/>
      <c r="W45" s="26"/>
      <c r="X45" s="64"/>
      <c r="Y45" s="26"/>
      <c r="Z45" s="64"/>
    </row>
    <row r="46" spans="1:28" x14ac:dyDescent="0.25">
      <c r="A46" s="72" t="s">
        <v>108</v>
      </c>
      <c r="B46" s="82"/>
      <c r="C46" s="80" t="s">
        <v>163</v>
      </c>
      <c r="D46" s="80" t="str">
        <f>LEFT(C46,LEN(C46)-1)</f>
        <v>7</v>
      </c>
      <c r="E46" s="49" t="s">
        <v>203</v>
      </c>
      <c r="F46" s="49" t="str">
        <f>LEFT(E46,LEN(E46)-1)</f>
        <v>1</v>
      </c>
      <c r="G46" s="49"/>
      <c r="H46" s="49"/>
      <c r="I46" s="49"/>
      <c r="J46" s="49"/>
      <c r="K46" s="49"/>
      <c r="L46" s="49"/>
      <c r="M46" s="49"/>
      <c r="N46" s="64"/>
      <c r="O46" s="49"/>
      <c r="P46" s="64"/>
      <c r="Q46" s="49"/>
      <c r="R46" s="64"/>
      <c r="S46" s="49"/>
      <c r="T46" s="64"/>
      <c r="U46" s="28"/>
      <c r="V46" s="64"/>
      <c r="W46" s="28"/>
      <c r="X46" s="64"/>
      <c r="Y46" s="28"/>
      <c r="Z46" s="64"/>
      <c r="AA46" s="37" t="str">
        <f>CONCATENATE((D46+F46),"万")</f>
        <v>8万</v>
      </c>
      <c r="AB46" s="73" t="s">
        <v>109</v>
      </c>
    </row>
    <row r="47" spans="1:28" ht="16.5" thickBot="1" x14ac:dyDescent="0.3">
      <c r="A47" s="74" t="s">
        <v>110</v>
      </c>
      <c r="B47" s="112"/>
      <c r="C47" s="78"/>
      <c r="D47" s="78"/>
      <c r="E47" s="78"/>
      <c r="F47" s="78"/>
      <c r="G47" s="152" t="s">
        <v>130</v>
      </c>
      <c r="H47" s="78" t="str">
        <f>LEFT(G47,LEN(G47)-1)</f>
        <v>30</v>
      </c>
      <c r="I47" s="152" t="s">
        <v>148</v>
      </c>
      <c r="J47" s="78" t="str">
        <f>LEFT(I47,LEN(I47)-1)</f>
        <v>48</v>
      </c>
      <c r="K47" s="78" t="s">
        <v>264</v>
      </c>
      <c r="L47" s="78" t="str">
        <f>LEFT(K47,LEN(K47)-1)</f>
        <v>38</v>
      </c>
      <c r="M47" s="77" t="s">
        <v>302</v>
      </c>
      <c r="N47" s="79" t="str">
        <f>LEFT(M47,LEN(M47)-1)</f>
        <v>261</v>
      </c>
      <c r="O47" s="78" t="s">
        <v>149</v>
      </c>
      <c r="P47" s="79" t="str">
        <f>LEFT(O47,LEN(O47)-1)</f>
        <v>0</v>
      </c>
      <c r="Q47" s="78" t="s">
        <v>149</v>
      </c>
      <c r="R47" s="79" t="str">
        <f>LEFT(Q47,LEN(Q47)-1)</f>
        <v>0</v>
      </c>
      <c r="S47" s="78" t="s">
        <v>149</v>
      </c>
      <c r="T47" s="79" t="str">
        <f>LEFT(S47,LEN(S47)-1)</f>
        <v>0</v>
      </c>
      <c r="U47" s="78" t="s">
        <v>113</v>
      </c>
      <c r="V47" s="79" t="str">
        <f>LEFT(U47,LEN(U47)-1)</f>
        <v>15</v>
      </c>
      <c r="W47" s="78" t="s">
        <v>253</v>
      </c>
      <c r="X47" s="226" t="str">
        <f>LEFT(W47,LEN(W47)-1)</f>
        <v>6</v>
      </c>
      <c r="Y47" s="78" t="s">
        <v>254</v>
      </c>
      <c r="Z47" s="226" t="str">
        <f>LEFT(Y47,LEN(Y47)-1)</f>
        <v>12</v>
      </c>
      <c r="AA47" s="37" t="str">
        <f>CONCATENATE((H47+J47+L47+N47+P47+R47+T47+V47+Z47+X47),"万")</f>
        <v>410万</v>
      </c>
      <c r="AB47" s="75">
        <v>43278</v>
      </c>
    </row>
    <row r="48" spans="1:28" x14ac:dyDescent="0.25">
      <c r="A48" s="76" t="s">
        <v>111</v>
      </c>
      <c r="B48" s="37" t="s">
        <v>303</v>
      </c>
      <c r="E48" s="55"/>
    </row>
    <row r="49" spans="1:28" ht="16.5" thickBot="1" x14ac:dyDescent="0.3"/>
    <row r="50" spans="1:28" ht="16.5" thickBot="1" x14ac:dyDescent="0.3">
      <c r="A50" s="65"/>
      <c r="B50" s="66" t="s">
        <v>103</v>
      </c>
      <c r="C50" s="67" t="s">
        <v>104</v>
      </c>
      <c r="D50" s="67"/>
      <c r="E50" s="67" t="s">
        <v>105</v>
      </c>
      <c r="F50" s="67"/>
      <c r="G50" s="67" t="s">
        <v>39</v>
      </c>
      <c r="H50" s="67"/>
      <c r="I50" s="67" t="s">
        <v>106</v>
      </c>
      <c r="J50" s="67"/>
      <c r="K50" s="67" t="s">
        <v>51</v>
      </c>
      <c r="L50" s="68"/>
      <c r="M50" s="69" t="s">
        <v>56</v>
      </c>
      <c r="N50" s="70"/>
      <c r="O50" s="69" t="s">
        <v>128</v>
      </c>
      <c r="P50" s="70"/>
      <c r="Q50" s="69" t="s">
        <v>158</v>
      </c>
      <c r="R50" s="70"/>
      <c r="S50" s="69" t="s">
        <v>159</v>
      </c>
      <c r="T50" s="70"/>
      <c r="U50" s="69" t="s">
        <v>255</v>
      </c>
      <c r="V50" s="70"/>
      <c r="W50" s="69" t="s">
        <v>252</v>
      </c>
      <c r="X50" s="70"/>
      <c r="Y50" s="69" t="s">
        <v>265</v>
      </c>
      <c r="Z50" s="70"/>
    </row>
    <row r="51" spans="1:28" ht="16.5" thickBot="1" x14ac:dyDescent="0.3">
      <c r="A51" s="71" t="s">
        <v>107</v>
      </c>
      <c r="B51" s="81" t="str">
        <f>CONCATENATE((N53+L53+J53+H53+F52+D52+V53+P53+R53+T53+Z53+X53),"万")</f>
        <v>428万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64"/>
      <c r="O51" s="43"/>
      <c r="P51" s="64"/>
      <c r="Q51" s="43"/>
      <c r="R51" s="64"/>
      <c r="S51" s="43"/>
      <c r="T51" s="64"/>
      <c r="U51" s="26"/>
      <c r="V51" s="64"/>
      <c r="W51" s="26"/>
      <c r="X51" s="64"/>
      <c r="Y51" s="26"/>
      <c r="Z51" s="64"/>
    </row>
    <row r="52" spans="1:28" x14ac:dyDescent="0.25">
      <c r="A52" s="72" t="s">
        <v>108</v>
      </c>
      <c r="B52" s="82"/>
      <c r="C52" s="80" t="s">
        <v>113</v>
      </c>
      <c r="D52" s="80" t="str">
        <f>LEFT(C52,LEN(C52)-1)</f>
        <v>15</v>
      </c>
      <c r="E52" s="80" t="s">
        <v>114</v>
      </c>
      <c r="F52" s="49" t="str">
        <f>LEFT(E52,LEN(E52)-1)</f>
        <v>3</v>
      </c>
      <c r="G52" s="49"/>
      <c r="H52" s="49"/>
      <c r="I52" s="49"/>
      <c r="J52" s="49"/>
      <c r="K52" s="49"/>
      <c r="L52" s="49"/>
      <c r="M52" s="49"/>
      <c r="N52" s="64"/>
      <c r="O52" s="49"/>
      <c r="P52" s="64"/>
      <c r="Q52" s="49"/>
      <c r="R52" s="64"/>
      <c r="S52" s="49"/>
      <c r="T52" s="64"/>
      <c r="U52" s="28"/>
      <c r="V52" s="64"/>
      <c r="W52" s="28"/>
      <c r="X52" s="64"/>
      <c r="Y52" s="28"/>
      <c r="Z52" s="64"/>
      <c r="AA52" s="37" t="str">
        <f>CONCATENATE((D52+F52),"万")</f>
        <v>18万</v>
      </c>
      <c r="AB52" s="73" t="s">
        <v>109</v>
      </c>
    </row>
    <row r="53" spans="1:28" ht="16.5" thickBot="1" x14ac:dyDescent="0.3">
      <c r="A53" s="74" t="s">
        <v>110</v>
      </c>
      <c r="B53" s="112"/>
      <c r="C53" s="78"/>
      <c r="D53" s="78"/>
      <c r="E53" s="78"/>
      <c r="F53" s="78"/>
      <c r="G53" s="152" t="s">
        <v>130</v>
      </c>
      <c r="H53" s="78" t="str">
        <f>LEFT(G53,LEN(G53)-1)</f>
        <v>30</v>
      </c>
      <c r="I53" s="152" t="s">
        <v>148</v>
      </c>
      <c r="J53" s="78" t="str">
        <f>LEFT(I53,LEN(I53)-1)</f>
        <v>48</v>
      </c>
      <c r="K53" s="78" t="s">
        <v>264</v>
      </c>
      <c r="L53" s="78" t="str">
        <f>LEFT(K53,LEN(K53)-1)</f>
        <v>38</v>
      </c>
      <c r="M53" s="152" t="s">
        <v>302</v>
      </c>
      <c r="N53" s="79" t="str">
        <f>LEFT(M53,LEN(M53)-1)</f>
        <v>261</v>
      </c>
      <c r="O53" s="78" t="s">
        <v>149</v>
      </c>
      <c r="P53" s="79" t="str">
        <f>LEFT(O53,LEN(O53)-1)</f>
        <v>0</v>
      </c>
      <c r="Q53" s="78" t="s">
        <v>149</v>
      </c>
      <c r="R53" s="79" t="str">
        <f>LEFT(Q53,LEN(Q53)-1)</f>
        <v>0</v>
      </c>
      <c r="S53" s="78" t="s">
        <v>149</v>
      </c>
      <c r="T53" s="79" t="str">
        <f>LEFT(S53,LEN(S53)-1)</f>
        <v>0</v>
      </c>
      <c r="U53" s="78" t="s">
        <v>113</v>
      </c>
      <c r="V53" s="79" t="str">
        <f>LEFT(U53,LEN(U53)-1)</f>
        <v>15</v>
      </c>
      <c r="W53" s="78" t="s">
        <v>253</v>
      </c>
      <c r="X53" s="226" t="str">
        <f>LEFT(W53,LEN(W53)-1)</f>
        <v>6</v>
      </c>
      <c r="Y53" s="78" t="s">
        <v>254</v>
      </c>
      <c r="Z53" s="226" t="str">
        <f>LEFT(Y53,LEN(Y53)-1)</f>
        <v>12</v>
      </c>
      <c r="AA53" s="37" t="str">
        <f>CONCATENATE((H53+J53+L53+N53+P53+R53+T53+V53+Z53+X53),"万")</f>
        <v>410万</v>
      </c>
      <c r="AB53" s="75">
        <v>43308</v>
      </c>
    </row>
    <row r="54" spans="1:28" ht="16.5" thickBot="1" x14ac:dyDescent="0.3">
      <c r="A54" s="76" t="s">
        <v>111</v>
      </c>
      <c r="B54" s="37" t="s">
        <v>313</v>
      </c>
      <c r="E54" s="55"/>
    </row>
    <row r="55" spans="1:28" ht="16.5" thickBot="1" x14ac:dyDescent="0.3">
      <c r="A55" s="65"/>
      <c r="B55" s="66" t="s">
        <v>103</v>
      </c>
      <c r="C55" s="67" t="s">
        <v>104</v>
      </c>
      <c r="D55" s="67"/>
      <c r="E55" s="67" t="s">
        <v>105</v>
      </c>
      <c r="F55" s="67"/>
      <c r="G55" s="67" t="s">
        <v>39</v>
      </c>
      <c r="H55" s="67"/>
      <c r="I55" s="67" t="s">
        <v>106</v>
      </c>
      <c r="J55" s="67"/>
      <c r="K55" s="67" t="s">
        <v>51</v>
      </c>
      <c r="L55" s="68"/>
      <c r="M55" s="69" t="s">
        <v>56</v>
      </c>
      <c r="N55" s="70"/>
      <c r="O55" s="69" t="s">
        <v>128</v>
      </c>
      <c r="P55" s="70"/>
      <c r="Q55" s="69" t="s">
        <v>158</v>
      </c>
      <c r="R55" s="70"/>
      <c r="S55" s="69" t="s">
        <v>159</v>
      </c>
      <c r="T55" s="70"/>
      <c r="U55" s="69" t="s">
        <v>255</v>
      </c>
      <c r="V55" s="70"/>
      <c r="W55" s="69" t="s">
        <v>252</v>
      </c>
      <c r="X55" s="70"/>
      <c r="Y55" s="69" t="s">
        <v>265</v>
      </c>
      <c r="Z55" s="70"/>
    </row>
    <row r="56" spans="1:28" ht="16.5" thickBot="1" x14ac:dyDescent="0.3">
      <c r="A56" s="71" t="s">
        <v>107</v>
      </c>
      <c r="B56" s="81" t="str">
        <f>CONCATENATE((N58+L58+J58+H58+F57+D57+V58+P58+R58+T58+Z58+X58),"万")</f>
        <v>434万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64"/>
      <c r="O56" s="43"/>
      <c r="P56" s="64"/>
      <c r="Q56" s="43"/>
      <c r="R56" s="64"/>
      <c r="S56" s="43"/>
      <c r="T56" s="64"/>
      <c r="U56" s="26"/>
      <c r="V56" s="64"/>
      <c r="W56" s="26"/>
      <c r="X56" s="64"/>
      <c r="Y56" s="26"/>
      <c r="Z56" s="64"/>
    </row>
    <row r="57" spans="1:28" x14ac:dyDescent="0.25">
      <c r="A57" s="72" t="s">
        <v>108</v>
      </c>
      <c r="B57" s="82"/>
      <c r="C57" s="80" t="s">
        <v>334</v>
      </c>
      <c r="D57" s="80" t="str">
        <f>LEFT(C57,LEN(C57)-1)</f>
        <v>21</v>
      </c>
      <c r="E57" s="49" t="s">
        <v>114</v>
      </c>
      <c r="F57" s="49" t="str">
        <f>LEFT(E57,LEN(E57)-1)</f>
        <v>3</v>
      </c>
      <c r="G57" s="49"/>
      <c r="H57" s="49"/>
      <c r="I57" s="49"/>
      <c r="J57" s="49"/>
      <c r="K57" s="49"/>
      <c r="L57" s="49"/>
      <c r="M57" s="49"/>
      <c r="N57" s="64"/>
      <c r="O57" s="49"/>
      <c r="P57" s="64"/>
      <c r="Q57" s="49"/>
      <c r="R57" s="64"/>
      <c r="S57" s="49"/>
      <c r="T57" s="64"/>
      <c r="U57" s="28"/>
      <c r="V57" s="64"/>
      <c r="W57" s="28"/>
      <c r="X57" s="64"/>
      <c r="Y57" s="28"/>
      <c r="Z57" s="64"/>
      <c r="AA57" s="37" t="str">
        <f>CONCATENATE((D57+F57),"万")</f>
        <v>24万</v>
      </c>
      <c r="AB57" s="73" t="s">
        <v>109</v>
      </c>
    </row>
    <row r="58" spans="1:28" ht="16.5" thickBot="1" x14ac:dyDescent="0.3">
      <c r="A58" s="74" t="s">
        <v>110</v>
      </c>
      <c r="B58" s="112"/>
      <c r="C58" s="78"/>
      <c r="D58" s="78"/>
      <c r="E58" s="78"/>
      <c r="F58" s="78"/>
      <c r="G58" s="152" t="s">
        <v>130</v>
      </c>
      <c r="H58" s="78" t="str">
        <f>LEFT(G58,LEN(G58)-1)</f>
        <v>30</v>
      </c>
      <c r="I58" s="152" t="s">
        <v>148</v>
      </c>
      <c r="J58" s="78" t="str">
        <f>LEFT(I58,LEN(I58)-1)</f>
        <v>48</v>
      </c>
      <c r="K58" s="78" t="s">
        <v>264</v>
      </c>
      <c r="L58" s="78" t="str">
        <f>LEFT(K58,LEN(K58)-1)</f>
        <v>38</v>
      </c>
      <c r="M58" s="152" t="s">
        <v>302</v>
      </c>
      <c r="N58" s="79" t="str">
        <f>LEFT(M58,LEN(M58)-1)</f>
        <v>261</v>
      </c>
      <c r="O58" s="78" t="s">
        <v>149</v>
      </c>
      <c r="P58" s="79" t="str">
        <f>LEFT(O58,LEN(O58)-1)</f>
        <v>0</v>
      </c>
      <c r="Q58" s="78" t="s">
        <v>149</v>
      </c>
      <c r="R58" s="79" t="str">
        <f>LEFT(Q58,LEN(Q58)-1)</f>
        <v>0</v>
      </c>
      <c r="S58" s="78" t="s">
        <v>149</v>
      </c>
      <c r="T58" s="79" t="str">
        <f>LEFT(S58,LEN(S58)-1)</f>
        <v>0</v>
      </c>
      <c r="U58" s="78" t="s">
        <v>113</v>
      </c>
      <c r="V58" s="79" t="str">
        <f>LEFT(U58,LEN(U58)-1)</f>
        <v>15</v>
      </c>
      <c r="W58" s="78" t="s">
        <v>253</v>
      </c>
      <c r="X58" s="226" t="str">
        <f>LEFT(W58,LEN(W58)-1)</f>
        <v>6</v>
      </c>
      <c r="Y58" s="78" t="s">
        <v>254</v>
      </c>
      <c r="Z58" s="226" t="str">
        <f>LEFT(Y58,LEN(Y58)-1)</f>
        <v>12</v>
      </c>
      <c r="AA58" s="37" t="str">
        <f>CONCATENATE((H58+J58+L58+N58+P58+R58+T58+V58+Z58+X58),"万")</f>
        <v>410万</v>
      </c>
      <c r="AB58" s="75">
        <v>43339</v>
      </c>
    </row>
    <row r="59" spans="1:28" x14ac:dyDescent="0.25">
      <c r="A59" s="76" t="s">
        <v>111</v>
      </c>
      <c r="B59" s="37" t="s">
        <v>335</v>
      </c>
      <c r="E59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2018-09-10T06:02:09Z</dcterms:modified>
</cp:coreProperties>
</file>