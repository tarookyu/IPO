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セカンダリ投資分析!$A$2:$X$7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E5" i="5"/>
  <c r="D5" i="5"/>
  <c r="G4" i="5"/>
  <c r="F4" i="5"/>
  <c r="E4" i="5"/>
  <c r="D4" i="5"/>
  <c r="G3" i="5"/>
  <c r="X3" i="5" s="1"/>
  <c r="E3" i="5"/>
  <c r="D3" i="5"/>
  <c r="S3" i="5" l="1"/>
  <c r="U3" i="5"/>
  <c r="E3" i="6" l="1"/>
  <c r="F3" i="6"/>
  <c r="E4" i="6"/>
  <c r="F4" i="6"/>
  <c r="E5" i="6"/>
  <c r="F5" i="6"/>
  <c r="E6" i="6"/>
  <c r="D6" i="5" s="1"/>
  <c r="F6" i="6"/>
  <c r="E6" i="5" s="1"/>
  <c r="E7" i="6"/>
  <c r="D7" i="5" s="1"/>
  <c r="F7" i="6"/>
  <c r="E7" i="5" s="1"/>
  <c r="E8" i="6"/>
  <c r="D8" i="5" s="1"/>
  <c r="F8" i="6"/>
  <c r="E8" i="5" s="1"/>
  <c r="E9" i="6"/>
  <c r="D9" i="5" s="1"/>
  <c r="F9" i="6"/>
  <c r="E9" i="5" s="1"/>
  <c r="E10" i="6"/>
  <c r="D10" i="5" s="1"/>
  <c r="F10" i="6"/>
  <c r="E10" i="5" s="1"/>
  <c r="E11" i="6"/>
  <c r="D11" i="5" s="1"/>
  <c r="F11" i="6"/>
  <c r="E11" i="5" s="1"/>
  <c r="E12" i="6"/>
  <c r="F12" i="6"/>
  <c r="E13" i="6"/>
  <c r="F13" i="6"/>
  <c r="E14" i="6"/>
  <c r="F14" i="6"/>
  <c r="E15" i="6"/>
  <c r="F15" i="6"/>
  <c r="E16" i="6"/>
  <c r="F16" i="6"/>
  <c r="E17" i="6"/>
  <c r="F17" i="6"/>
  <c r="C4" i="5" l="1"/>
  <c r="C5" i="5"/>
  <c r="C6" i="5"/>
  <c r="C7" i="5"/>
  <c r="C8" i="5"/>
  <c r="C9" i="5"/>
  <c r="C10" i="5"/>
  <c r="C11" i="5"/>
  <c r="C3" i="5"/>
  <c r="B5" i="5"/>
  <c r="B4" i="5"/>
  <c r="B3" i="5"/>
  <c r="R3" i="5"/>
  <c r="T3" i="5"/>
  <c r="W3" i="5"/>
  <c r="R4" i="5"/>
  <c r="T4" i="5"/>
  <c r="W4" i="5"/>
  <c r="X4" i="5"/>
  <c r="R5" i="5"/>
  <c r="T5" i="5"/>
  <c r="W5" i="5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3" i="6"/>
  <c r="A6" i="6"/>
  <c r="B5" i="6"/>
  <c r="B4" i="6"/>
  <c r="B3" i="6"/>
  <c r="B12" i="4"/>
  <c r="C12" i="4"/>
  <c r="F12" i="4"/>
  <c r="I12" i="4" s="1"/>
  <c r="G12" i="4"/>
  <c r="H12" i="4" s="1"/>
  <c r="P12" i="4"/>
  <c r="B8" i="4"/>
  <c r="C8" i="4"/>
  <c r="F8" i="4"/>
  <c r="I8" i="4" s="1"/>
  <c r="G8" i="4"/>
  <c r="H8" i="4" s="1"/>
  <c r="P8" i="4"/>
  <c r="B9" i="4"/>
  <c r="C9" i="4"/>
  <c r="F9" i="4"/>
  <c r="I9" i="4" s="1"/>
  <c r="G9" i="4"/>
  <c r="H9" i="4"/>
  <c r="P9" i="4"/>
  <c r="B10" i="4"/>
  <c r="C10" i="4"/>
  <c r="H10" i="4" s="1"/>
  <c r="F10" i="4"/>
  <c r="G10" i="4"/>
  <c r="I10" i="4"/>
  <c r="P10" i="4"/>
  <c r="B11" i="4"/>
  <c r="C11" i="4"/>
  <c r="H11" i="4" s="1"/>
  <c r="F11" i="4"/>
  <c r="I11" i="4" s="1"/>
  <c r="G11" i="4"/>
  <c r="P11" i="4"/>
  <c r="K3" i="4"/>
  <c r="R3" i="4"/>
  <c r="S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3" i="3"/>
  <c r="M4" i="5" l="1"/>
  <c r="P3" i="5"/>
  <c r="I3" i="5"/>
  <c r="N5" i="5"/>
  <c r="J4" i="5"/>
  <c r="Q4" i="5"/>
  <c r="M5" i="5"/>
  <c r="U4" i="5"/>
  <c r="K4" i="5"/>
  <c r="S4" i="5"/>
  <c r="I5" i="5"/>
  <c r="J3" i="5"/>
  <c r="M3" i="5"/>
  <c r="U5" i="5"/>
  <c r="Q5" i="5"/>
  <c r="K5" i="5"/>
  <c r="P4" i="5"/>
  <c r="P5" i="5"/>
  <c r="J5" i="5"/>
  <c r="N4" i="5"/>
  <c r="I4" i="5"/>
  <c r="X5" i="5"/>
  <c r="S5" i="5"/>
  <c r="Q3" i="5"/>
  <c r="A95" i="3"/>
  <c r="A96" i="3"/>
  <c r="A97" i="3"/>
  <c r="A98" i="3"/>
  <c r="A99" i="3"/>
  <c r="A100" i="3"/>
  <c r="A101" i="3"/>
  <c r="A102" i="3"/>
  <c r="A103" i="3"/>
  <c r="A104" i="3"/>
  <c r="A105" i="3"/>
  <c r="V5" i="7"/>
  <c r="T5" i="7"/>
  <c r="R5" i="7"/>
  <c r="P5" i="7"/>
  <c r="N5" i="7"/>
  <c r="L5" i="7"/>
  <c r="J5" i="7"/>
  <c r="H5" i="7"/>
  <c r="F4" i="7"/>
  <c r="D4" i="7"/>
  <c r="W4" i="7" s="1"/>
  <c r="W5" i="7" l="1"/>
  <c r="B3" i="7"/>
  <c r="C17" i="9" l="1"/>
  <c r="B12" i="5" l="1"/>
  <c r="C12" i="5"/>
  <c r="D12" i="5"/>
  <c r="E12" i="5"/>
  <c r="F12" i="5"/>
  <c r="G12" i="5"/>
  <c r="R12" i="5"/>
  <c r="T12" i="5"/>
  <c r="W12" i="5"/>
  <c r="B13" i="5"/>
  <c r="C13" i="5"/>
  <c r="D13" i="5"/>
  <c r="E13" i="5"/>
  <c r="F13" i="5"/>
  <c r="G13" i="5"/>
  <c r="R13" i="5"/>
  <c r="T13" i="5"/>
  <c r="W13" i="5"/>
  <c r="B14" i="5"/>
  <c r="C14" i="5"/>
  <c r="D14" i="5"/>
  <c r="E14" i="5"/>
  <c r="F14" i="5"/>
  <c r="G14" i="5"/>
  <c r="R14" i="5"/>
  <c r="T14" i="5"/>
  <c r="W14" i="5"/>
  <c r="B15" i="5"/>
  <c r="C15" i="5"/>
  <c r="D15" i="5"/>
  <c r="E15" i="5"/>
  <c r="F15" i="5"/>
  <c r="G15" i="5"/>
  <c r="R15" i="5"/>
  <c r="T15" i="5"/>
  <c r="W15" i="5"/>
  <c r="B16" i="5"/>
  <c r="C16" i="5"/>
  <c r="D16" i="5"/>
  <c r="E16" i="5"/>
  <c r="F16" i="5"/>
  <c r="G16" i="5"/>
  <c r="R16" i="5"/>
  <c r="T16" i="5"/>
  <c r="W16" i="5"/>
  <c r="B17" i="5"/>
  <c r="C17" i="5"/>
  <c r="D17" i="5"/>
  <c r="E17" i="5"/>
  <c r="F17" i="5"/>
  <c r="G17" i="5"/>
  <c r="R17" i="5"/>
  <c r="T17" i="5"/>
  <c r="W17" i="5"/>
  <c r="Q15" i="5" l="1"/>
  <c r="P14" i="5"/>
  <c r="I14" i="5"/>
  <c r="N14" i="5"/>
  <c r="M14" i="5"/>
  <c r="M13" i="5"/>
  <c r="M17" i="5"/>
  <c r="U15" i="5"/>
  <c r="N16" i="5"/>
  <c r="K15" i="5"/>
  <c r="I13" i="5"/>
  <c r="Q12" i="5"/>
  <c r="J14" i="5"/>
  <c r="X15" i="5"/>
  <c r="P15" i="5"/>
  <c r="S13" i="5"/>
  <c r="K12" i="5"/>
  <c r="X13" i="5"/>
  <c r="S15" i="5"/>
  <c r="X14" i="5"/>
  <c r="N12" i="5"/>
  <c r="I17" i="5"/>
  <c r="X17" i="5"/>
  <c r="S14" i="5"/>
  <c r="K16" i="5"/>
  <c r="U16" i="5"/>
  <c r="S17" i="5"/>
  <c r="M16" i="5"/>
  <c r="J15" i="5"/>
  <c r="K14" i="5"/>
  <c r="N13" i="5"/>
  <c r="U12" i="5"/>
  <c r="N17" i="5"/>
  <c r="J17" i="5"/>
  <c r="P17" i="5"/>
  <c r="K17" i="5"/>
  <c r="Q17" i="5"/>
  <c r="U17" i="5"/>
  <c r="M12" i="5"/>
  <c r="I16" i="5"/>
  <c r="S16" i="5"/>
  <c r="X16" i="5"/>
  <c r="J16" i="5"/>
  <c r="P16" i="5"/>
  <c r="M15" i="5"/>
  <c r="I15" i="5"/>
  <c r="N15" i="5"/>
  <c r="J13" i="5"/>
  <c r="P13" i="5"/>
  <c r="K13" i="5"/>
  <c r="Q13" i="5"/>
  <c r="U13" i="5"/>
  <c r="Q16" i="5"/>
  <c r="I12" i="5"/>
  <c r="S12" i="5"/>
  <c r="X12" i="5"/>
  <c r="J12" i="5"/>
  <c r="P12" i="5"/>
  <c r="U14" i="5"/>
  <c r="Q14" i="5"/>
  <c r="A13" i="4" l="1"/>
  <c r="B13" i="4"/>
  <c r="C13" i="4"/>
  <c r="F13" i="4"/>
  <c r="I13" i="4" s="1"/>
  <c r="G13" i="4"/>
  <c r="P13" i="4"/>
  <c r="A14" i="4"/>
  <c r="B14" i="4"/>
  <c r="C14" i="4"/>
  <c r="F14" i="4"/>
  <c r="I14" i="4" s="1"/>
  <c r="G14" i="4"/>
  <c r="P14" i="4"/>
  <c r="H13" i="4" l="1"/>
  <c r="H14" i="4"/>
  <c r="A90" i="3"/>
  <c r="A91" i="3"/>
  <c r="A92" i="3"/>
  <c r="A93" i="3"/>
  <c r="A94" i="3"/>
  <c r="A84" i="3" l="1"/>
  <c r="A85" i="3"/>
  <c r="A86" i="3"/>
  <c r="A87" i="3"/>
  <c r="A88" i="3"/>
  <c r="A89" i="3"/>
  <c r="A75" i="3" l="1"/>
  <c r="A74" i="3"/>
  <c r="A70" i="3" l="1"/>
  <c r="A71" i="3"/>
  <c r="A72" i="3"/>
  <c r="A76" i="3" l="1"/>
  <c r="A77" i="3"/>
  <c r="A78" i="3"/>
  <c r="A79" i="3"/>
  <c r="A80" i="3"/>
  <c r="A81" i="3"/>
  <c r="A82" i="3"/>
  <c r="A83" i="3"/>
  <c r="A67" i="3" l="1"/>
  <c r="A68" i="3"/>
  <c r="A69" i="3"/>
  <c r="A73" i="3"/>
  <c r="A63" i="3" l="1"/>
  <c r="A64" i="3"/>
  <c r="A65" i="3"/>
  <c r="A66" i="3"/>
  <c r="A12" i="6" l="1"/>
  <c r="B12" i="6"/>
  <c r="A13" i="6"/>
  <c r="B13" i="6"/>
  <c r="A14" i="6"/>
  <c r="B14" i="6"/>
  <c r="A15" i="6"/>
  <c r="B15" i="6"/>
  <c r="A16" i="6"/>
  <c r="B16" i="6"/>
  <c r="A17" i="6"/>
  <c r="B17" i="6"/>
  <c r="A55" i="3" l="1"/>
  <c r="H26" i="9" l="1"/>
  <c r="D26" i="9"/>
  <c r="E26" i="9"/>
  <c r="A56" i="3" l="1"/>
  <c r="A57" i="3"/>
  <c r="A58" i="3"/>
  <c r="A59" i="3"/>
  <c r="A60" i="3"/>
  <c r="A61" i="3"/>
  <c r="A62" i="3"/>
  <c r="J21" i="9" l="1"/>
  <c r="J23" i="9"/>
  <c r="C24" i="9" l="1"/>
  <c r="F24" i="9" s="1"/>
  <c r="I24" i="9" l="1"/>
  <c r="K24" i="9" s="1"/>
  <c r="A49" i="3"/>
  <c r="A50" i="3"/>
  <c r="A51" i="3"/>
  <c r="A52" i="3"/>
  <c r="A53" i="3"/>
  <c r="A54" i="3"/>
  <c r="V10" i="3" l="1"/>
  <c r="C21" i="9" l="1"/>
  <c r="F21" i="9" s="1"/>
  <c r="I21" i="9" l="1"/>
  <c r="K21" i="9" s="1"/>
  <c r="T11" i="5" l="1"/>
  <c r="T7" i="5"/>
  <c r="T9" i="5"/>
  <c r="T10" i="5"/>
  <c r="T8" i="5"/>
  <c r="W6" i="5"/>
  <c r="T6" i="5"/>
  <c r="W7" i="5" l="1"/>
  <c r="W8" i="5"/>
  <c r="W9" i="5"/>
  <c r="W10" i="5"/>
  <c r="W11" i="5"/>
  <c r="B6" i="6"/>
  <c r="X9" i="5" l="1"/>
  <c r="U8" i="5"/>
  <c r="U6" i="5"/>
  <c r="U11" i="5"/>
  <c r="U7" i="5"/>
  <c r="X10" i="5" l="1"/>
  <c r="U10" i="5"/>
  <c r="X11" i="5"/>
  <c r="X6" i="5"/>
  <c r="X8" i="5"/>
  <c r="U9" i="5"/>
  <c r="X7" i="5"/>
  <c r="B11" i="6"/>
  <c r="A11" i="6"/>
  <c r="B10" i="6"/>
  <c r="A10" i="6"/>
  <c r="B9" i="6"/>
  <c r="A9" i="6"/>
  <c r="B8" i="6"/>
  <c r="A8" i="6"/>
  <c r="B7" i="6"/>
  <c r="A7" i="6"/>
  <c r="P11" i="5"/>
  <c r="M11" i="5"/>
  <c r="J11" i="5"/>
  <c r="I11" i="5"/>
  <c r="B11" i="5"/>
  <c r="P10" i="5"/>
  <c r="M10" i="5"/>
  <c r="J10" i="5"/>
  <c r="I10" i="5"/>
  <c r="B10" i="5"/>
  <c r="P9" i="5"/>
  <c r="M9" i="5"/>
  <c r="J9" i="5"/>
  <c r="I9" i="5"/>
  <c r="B9" i="5"/>
  <c r="P8" i="5"/>
  <c r="M8" i="5"/>
  <c r="J8" i="5"/>
  <c r="I8" i="5"/>
  <c r="B8" i="5"/>
  <c r="P7" i="5"/>
  <c r="M7" i="5"/>
  <c r="J7" i="5"/>
  <c r="I7" i="5"/>
  <c r="B7" i="5"/>
  <c r="P6" i="5"/>
  <c r="M6" i="5"/>
  <c r="J6" i="5"/>
  <c r="I6" i="5"/>
  <c r="B6" i="5"/>
  <c r="P7" i="4"/>
  <c r="G7" i="4"/>
  <c r="F7" i="4"/>
  <c r="I7" i="4" s="1"/>
  <c r="C7" i="4"/>
  <c r="B7" i="4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H7" i="4" l="1"/>
  <c r="C22" i="9" l="1"/>
  <c r="F22" i="9" s="1"/>
  <c r="I22" i="9" s="1"/>
  <c r="K22" i="9" s="1"/>
  <c r="N12" i="9"/>
  <c r="M12" i="9"/>
  <c r="N11" i="9"/>
  <c r="N14" i="9" s="1"/>
  <c r="M11" i="9"/>
  <c r="C20" i="9"/>
  <c r="C23" i="9"/>
  <c r="F23" i="9" s="1"/>
  <c r="I23" i="9" s="1"/>
  <c r="K23" i="9" s="1"/>
  <c r="F12" i="9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L12" i="9"/>
  <c r="I11" i="9"/>
  <c r="M4" i="9"/>
  <c r="K12" i="9"/>
  <c r="K11" i="9"/>
  <c r="C5" i="9"/>
  <c r="M5" i="9"/>
  <c r="F5" i="9"/>
  <c r="L4" i="9"/>
  <c r="L7" i="9" s="1"/>
  <c r="H4" i="9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J4" i="9"/>
  <c r="L5" i="9"/>
  <c r="C11" i="9"/>
  <c r="H12" i="9"/>
  <c r="G5" i="9"/>
  <c r="C12" i="9"/>
  <c r="N4" i="9"/>
  <c r="N7" i="9" s="1"/>
  <c r="J5" i="9"/>
  <c r="F11" i="9"/>
  <c r="F14" i="9" s="1"/>
  <c r="H7" i="9" l="1"/>
  <c r="D7" i="9"/>
  <c r="J7" i="9"/>
  <c r="F7" i="9"/>
  <c r="M14" i="9"/>
  <c r="M13" i="9"/>
  <c r="F20" i="9"/>
  <c r="I20" i="9" s="1"/>
  <c r="J20" i="9" s="1"/>
  <c r="C26" i="9"/>
  <c r="C13" i="9"/>
  <c r="I14" i="9"/>
  <c r="I7" i="9"/>
  <c r="I13" i="9"/>
  <c r="K14" i="9"/>
  <c r="O6" i="9"/>
  <c r="K13" i="9"/>
  <c r="E13" i="9"/>
  <c r="G6" i="9"/>
  <c r="G7" i="9"/>
  <c r="E7" i="9"/>
  <c r="E6" i="9"/>
  <c r="K7" i="9"/>
  <c r="K6" i="9"/>
  <c r="M6" i="9"/>
  <c r="I6" i="9"/>
  <c r="G14" i="9"/>
  <c r="G13" i="9"/>
  <c r="C7" i="9"/>
  <c r="C6" i="9"/>
  <c r="C16" i="9" l="1"/>
  <c r="I26" i="9"/>
  <c r="J26" i="9" l="1"/>
  <c r="N7" i="5" l="1"/>
  <c r="K7" i="5"/>
  <c r="K8" i="5"/>
  <c r="N8" i="5"/>
  <c r="K10" i="5"/>
  <c r="N10" i="5"/>
  <c r="K11" i="5"/>
  <c r="N11" i="5"/>
  <c r="N9" i="5"/>
  <c r="K9" i="5"/>
  <c r="N6" i="5"/>
  <c r="K6" i="5"/>
  <c r="D5" i="6" l="1"/>
  <c r="D3" i="6"/>
  <c r="D4" i="6"/>
  <c r="N3" i="5" l="1"/>
  <c r="K3" i="5" l="1"/>
  <c r="AB2" i="5"/>
  <c r="S7" i="5"/>
  <c r="Q7" i="5"/>
  <c r="S11" i="5"/>
  <c r="Q11" i="5"/>
  <c r="D15" i="6"/>
  <c r="D7" i="6"/>
  <c r="R7" i="5"/>
  <c r="D16" i="6"/>
  <c r="S6" i="5"/>
  <c r="S9" i="5"/>
  <c r="D9" i="6"/>
  <c r="R9" i="5"/>
  <c r="Q9" i="5"/>
  <c r="S8" i="5"/>
  <c r="D8" i="6"/>
  <c r="R8" i="5"/>
  <c r="Q8" i="5"/>
  <c r="Q10" i="5"/>
  <c r="D10" i="6"/>
  <c r="R10" i="5"/>
  <c r="S10" i="5"/>
  <c r="D11" i="6"/>
  <c r="R11" i="5"/>
  <c r="D13" i="6"/>
  <c r="D6" i="6"/>
  <c r="R6" i="5"/>
  <c r="Q6" i="5"/>
  <c r="Z2" i="5"/>
  <c r="AA2" i="5"/>
  <c r="D17" i="6"/>
  <c r="D12" i="6"/>
  <c r="D14" i="6"/>
</calcChain>
</file>

<file path=xl/sharedStrings.xml><?xml version="1.0" encoding="utf-8"?>
<sst xmlns="http://schemas.openxmlformats.org/spreadsheetml/2006/main" count="295" uniqueCount="206">
  <si>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</si>
  <si>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</si>
  <si>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</si>
  <si>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</si>
  <si>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</si>
  <si>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</si>
  <si>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</si>
  <si>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</si>
  <si>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</si>
  <si>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</si>
  <si>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</si>
  <si>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</si>
  <si>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</si>
  <si>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</si>
  <si>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</si>
  <si>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</si>
  <si>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</si>
  <si>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</si>
  <si>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</si>
  <si>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</si>
  <si>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</si>
  <si>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</si>
  <si>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</si>
  <si>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</si>
  <si>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</si>
  <si>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</si>
  <si>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</si>
  <si>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</si>
  <si>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</si>
  <si>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</si>
  <si>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</si>
  <si>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</si>
  <si>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</si>
  <si>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</si>
  <si>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</si>
  <si>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</si>
  <si>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</si>
  <si>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</si>
  <si>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</si>
  <si>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</si>
  <si>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</si>
  <si>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</si>
  <si>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</si>
  <si>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</si>
  <si>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</si>
  <si>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</si>
  <si>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</si>
  <si>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</si>
  <si>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</si>
  <si>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</si>
  <si>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</si>
  <si>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</si>
  <si>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</si>
  <si>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</si>
  <si>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</si>
  <si>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</si>
  <si>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</si>
  <si>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</si>
  <si>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</si>
  <si>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</si>
  <si>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</si>
  <si>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</si>
  <si>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</si>
  <si>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</si>
  <si>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</si>
  <si>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</si>
  <si>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</si>
  <si>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</si>
  <si>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</si>
  <si>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</si>
  <si>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</si>
  <si>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VC依存</t>
    <rPh sb="2" eb="4">
      <t>イゾン</t>
    </rPh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</si>
  <si>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</si>
  <si>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</si>
  <si>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公募株数</t>
    <rPh sb="0" eb="2">
      <t>コウボ</t>
    </rPh>
    <rPh sb="2" eb="4">
      <t>カブスウ</t>
    </rPh>
    <phoneticPr fontId="8"/>
  </si>
  <si>
    <t>売出株数</t>
    <rPh sb="0" eb="1">
      <t>ウ</t>
    </rPh>
    <rPh sb="1" eb="2">
      <t>ダ</t>
    </rPh>
    <rPh sb="2" eb="4">
      <t>カブスウ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</si>
  <si>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</si>
  <si>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</si>
  <si>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</si>
  <si>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</si>
  <si>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</si>
  <si>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</si>
  <si>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</si>
  <si>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</si>
  <si>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</si>
  <si>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</si>
  <si>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</si>
  <si>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</si>
  <si>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</si>
  <si>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</si>
  <si>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</si>
  <si>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</si>
  <si>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</si>
  <si>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</si>
  <si>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</si>
  <si>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</si>
  <si>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</si>
  <si>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</si>
  <si>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</si>
  <si>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</si>
  <si>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</si>
  <si>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</si>
  <si>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</si>
  <si>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</si>
  <si>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</si>
  <si>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</si>
  <si>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</si>
  <si>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</si>
  <si>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</si>
  <si>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</si>
  <si>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</si>
  <si>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</si>
  <si>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</si>
  <si>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</si>
  <si>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</si>
  <si>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</si>
  <si>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</si>
  <si>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</si>
  <si>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</si>
  <si>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</si>
  <si>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</si>
  <si>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</si>
  <si>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</si>
  <si>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</si>
  <si>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</si>
  <si>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10日間平均</t>
    <rPh sb="2" eb="4">
      <t>カカン</t>
    </rPh>
    <rPh sb="4" eb="6">
      <t>ヘイキン</t>
    </rPh>
    <phoneticPr fontId="2"/>
  </si>
  <si>
    <t>10日間最安値</t>
    <rPh sb="2" eb="4">
      <t>カカン</t>
    </rPh>
    <rPh sb="4" eb="7">
      <t>サイヤスネ</t>
    </rPh>
    <phoneticPr fontId="2"/>
  </si>
  <si>
    <t>10日間最安値</t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</si>
  <si>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</si>
  <si>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</si>
  <si>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10日間平均値</t>
    <rPh sb="2" eb="4">
      <t>カカン</t>
    </rPh>
    <rPh sb="4" eb="7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</si>
  <si>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</si>
  <si>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</si>
  <si>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</si>
  <si>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</si>
  <si>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</si>
  <si>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</si>
  <si>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</si>
  <si>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</si>
  <si>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</si>
  <si>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</si>
  <si>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</si>
  <si>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</si>
  <si>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</si>
  <si>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</si>
  <si>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</si>
  <si>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</si>
  <si>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</si>
  <si>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</si>
  <si>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</si>
  <si>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元本</t>
    <rPh sb="0" eb="2">
      <t>ガンポン</t>
    </rPh>
    <phoneticPr fontId="2"/>
  </si>
  <si>
    <t>残高</t>
    <rPh sb="0" eb="2">
      <t>ザンダカ</t>
    </rPh>
    <phoneticPr fontId="2"/>
  </si>
  <si>
    <t>誤差調整</t>
    <rPh sb="0" eb="2">
      <t>ゴサ</t>
    </rPh>
    <rPh sb="2" eb="4">
      <t>チョウセイ</t>
    </rPh>
    <phoneticPr fontId="2"/>
  </si>
  <si>
    <t>資金拘束</t>
    <rPh sb="0" eb="2">
      <t>シキン</t>
    </rPh>
    <rPh sb="2" eb="4">
      <t>コウソク</t>
    </rPh>
    <phoneticPr fontId="2"/>
  </si>
  <si>
    <t>※拘束分含まず</t>
    <rPh sb="1" eb="3">
      <t>コウソク</t>
    </rPh>
    <rPh sb="3" eb="4">
      <t>ブン</t>
    </rPh>
    <rPh sb="4" eb="5">
      <t>フク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</si>
  <si>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</si>
  <si>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</si>
  <si>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</si>
  <si>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最近の備考</t>
    <rPh sb="0" eb="2">
      <t>サイキン</t>
    </rPh>
    <rPh sb="3" eb="5">
      <t>ビコウ</t>
    </rPh>
    <phoneticPr fontId="2"/>
  </si>
  <si>
    <t>紹介PGで3000,口座開設で1000get</t>
    <rPh sb="0" eb="2">
      <t>ショウカイ</t>
    </rPh>
    <rPh sb="10" eb="12">
      <t>コウザ</t>
    </rPh>
    <rPh sb="12" eb="14">
      <t>カイセツ</t>
    </rPh>
    <phoneticPr fontId="2"/>
  </si>
  <si>
    <t>平均取得単価*株数</t>
    <rPh sb="0" eb="2">
      <t>ヘイキン</t>
    </rPh>
    <rPh sb="2" eb="4">
      <t>シュトク</t>
    </rPh>
    <rPh sb="4" eb="6">
      <t>タンカ</t>
    </rPh>
    <rPh sb="7" eb="9">
      <t>カブスウ</t>
    </rPh>
    <phoneticPr fontId="2"/>
  </si>
  <si>
    <t>現行出資額</t>
    <rPh sb="0" eb="2">
      <t>ゲンコウ</t>
    </rPh>
    <rPh sb="2" eb="4">
      <t>シュッシ</t>
    </rPh>
    <rPh sb="4" eb="5">
      <t>ガク</t>
    </rPh>
    <phoneticPr fontId="2"/>
  </si>
  <si>
    <t>配当所得税</t>
    <phoneticPr fontId="2"/>
  </si>
  <si>
    <t>譲渡益税・配当所得税</t>
    <phoneticPr fontId="2"/>
  </si>
  <si>
    <t>口座開設で5000get 　8/21全額引出</t>
    <rPh sb="0" eb="2">
      <t>コウザ</t>
    </rPh>
    <rPh sb="2" eb="4">
      <t>カイセツ</t>
    </rPh>
    <rPh sb="18" eb="20">
      <t>ゼンガク</t>
    </rPh>
    <rPh sb="20" eb="21">
      <t>ヒ</t>
    </rPh>
    <rPh sb="21" eb="22">
      <t>ダ</t>
    </rPh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</si>
  <si>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</si>
  <si>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</si>
  <si>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</si>
  <si>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</si>
  <si>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</si>
  <si>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</si>
  <si>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</si>
  <si>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</si>
  <si>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</si>
  <si>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</si>
  <si>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</si>
  <si>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</si>
  <si>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</si>
  <si>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</si>
  <si>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</si>
  <si>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</si>
  <si>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</si>
  <si>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力の源HDから配当1800(配当所得税徴収額365円) ⇒ 1/1 365円還付,紹介PGで5000get</t>
    <rPh sb="0" eb="1">
      <t>チカラ</t>
    </rPh>
    <rPh sb="2" eb="3">
      <t>ミナモト</t>
    </rPh>
    <rPh sb="7" eb="9">
      <t>ハイトウ</t>
    </rPh>
    <rPh sb="25" eb="26">
      <t>エン</t>
    </rPh>
    <rPh sb="37" eb="38">
      <t>エン</t>
    </rPh>
    <rPh sb="38" eb="40">
      <t>カンプ</t>
    </rPh>
    <rPh sb="41" eb="43">
      <t>ショウカイ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</si>
  <si>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</si>
  <si>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</si>
  <si>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</si>
  <si>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</si>
  <si>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</si>
  <si>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</si>
  <si>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</si>
  <si>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応募予定</t>
    <rPh sb="0" eb="2">
      <t>オウボ</t>
    </rPh>
    <rPh sb="2" eb="4">
      <t>ヨテイ</t>
    </rPh>
    <phoneticPr fontId="2"/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</si>
  <si>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</si>
  <si>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</si>
  <si>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</si>
  <si>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</si>
  <si>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</si>
  <si>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応募中</t>
    <rPh sb="0" eb="2">
      <t>オウボ</t>
    </rPh>
    <rPh sb="2" eb="3">
      <t>チュウ</t>
    </rPh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</si>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</sst>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</numFmts>
  <fonts count="19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C0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</cellStyleXfs>
  <cellXfs count="227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5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0" fontId="7" fillId="7" borderId="8" xfId="3" applyFont="1" applyFill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38" fontId="13" fillId="0" borderId="0" xfId="4" applyFont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6" borderId="0" xfId="3" applyFont="1" applyFill="1" applyAlignment="1">
      <alignment horizontal="center" vertical="center"/>
    </xf>
    <xf numFmtId="0" fontId="9" fillId="0" borderId="13" xfId="3" applyFont="1" applyFill="1" applyBorder="1" applyAlignment="1">
      <alignment horizontal="center" vertical="center"/>
    </xf>
    <xf numFmtId="0" fontId="14" fillId="10" borderId="8" xfId="3" applyFont="1" applyFill="1" applyBorder="1" applyAlignment="1">
      <alignment horizontal="center" vertical="center"/>
    </xf>
    <xf numFmtId="3" fontId="14" fillId="10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180" fontId="7" fillId="0" borderId="7" xfId="3" applyNumberFormat="1" applyFont="1" applyFill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38" fontId="7" fillId="0" borderId="7" xfId="4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3" fontId="7" fillId="0" borderId="8" xfId="4" applyNumberFormat="1" applyFont="1" applyBorder="1" applyAlignment="1">
      <alignment horizontal="center" vertical="center"/>
    </xf>
    <xf numFmtId="0" fontId="7" fillId="12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0" fontId="7" fillId="13" borderId="8" xfId="3" applyFont="1" applyFill="1" applyBorder="1" applyAlignment="1">
      <alignment horizontal="center" vertical="center"/>
    </xf>
    <xf numFmtId="179" fontId="7" fillId="13" borderId="8" xfId="3" applyNumberFormat="1" applyFont="1" applyFill="1" applyBorder="1" applyAlignment="1">
      <alignment horizontal="center" vertical="center"/>
    </xf>
    <xf numFmtId="38" fontId="7" fillId="13" borderId="8" xfId="4" applyFont="1" applyFill="1" applyBorder="1" applyAlignment="1">
      <alignment horizontal="center" vertical="center"/>
    </xf>
    <xf numFmtId="14" fontId="7" fillId="13" borderId="8" xfId="3" applyNumberFormat="1" applyFont="1" applyFill="1" applyBorder="1" applyAlignment="1">
      <alignment horizontal="center" vertical="center"/>
    </xf>
    <xf numFmtId="38" fontId="7" fillId="13" borderId="8" xfId="3" applyNumberFormat="1" applyFont="1" applyFill="1" applyBorder="1" applyAlignment="1">
      <alignment horizontal="center" vertical="center"/>
    </xf>
    <xf numFmtId="181" fontId="7" fillId="13" borderId="8" xfId="3" applyNumberFormat="1" applyFont="1" applyFill="1" applyBorder="1" applyAlignment="1">
      <alignment horizontal="center" vertical="center"/>
    </xf>
    <xf numFmtId="0" fontId="14" fillId="13" borderId="8" xfId="3" applyFont="1" applyFill="1" applyBorder="1" applyAlignment="1">
      <alignment horizontal="center" vertical="center"/>
    </xf>
    <xf numFmtId="0" fontId="7" fillId="0" borderId="0" xfId="3" applyFont="1" applyFill="1" applyAlignment="1">
      <alignment horizontal="center"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5" fillId="11" borderId="16" xfId="3" applyFont="1" applyFill="1" applyBorder="1" applyAlignment="1">
      <alignment horizontal="center" vertical="center"/>
    </xf>
    <xf numFmtId="0" fontId="15" fillId="11" borderId="17" xfId="3" applyFont="1" applyFill="1" applyBorder="1" applyAlignment="1">
      <alignment horizontal="center" vertical="center"/>
    </xf>
    <xf numFmtId="0" fontId="15" fillId="11" borderId="18" xfId="3" applyFont="1" applyFill="1" applyBorder="1" applyAlignment="1">
      <alignment horizontal="center" vertical="center"/>
    </xf>
    <xf numFmtId="0" fontId="15" fillId="11" borderId="19" xfId="3" applyFont="1" applyFill="1" applyBorder="1" applyAlignment="1">
      <alignment horizontal="center" vertical="center"/>
    </xf>
    <xf numFmtId="0" fontId="15" fillId="11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4" fillId="11" borderId="1" xfId="3" applyFont="1" applyFill="1" applyBorder="1" applyAlignment="1">
      <alignment horizontal="center" vertical="center"/>
    </xf>
    <xf numFmtId="0" fontId="14" fillId="10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38" fontId="7" fillId="4" borderId="6" xfId="4" applyFont="1" applyFill="1" applyBorder="1" applyAlignment="1">
      <alignment horizontal="center" vertical="center"/>
    </xf>
    <xf numFmtId="0" fontId="7" fillId="4" borderId="8" xfId="3" applyFont="1" applyFill="1" applyBorder="1" applyAlignment="1">
      <alignment horizontal="center" vertical="center"/>
    </xf>
    <xf numFmtId="0" fontId="9" fillId="8" borderId="3" xfId="3" applyFont="1" applyFill="1" applyBorder="1" applyAlignment="1">
      <alignment horizontal="center" vertical="center"/>
    </xf>
    <xf numFmtId="179" fontId="9" fillId="8" borderId="3" xfId="3" applyNumberFormat="1" applyFont="1" applyFill="1" applyBorder="1" applyAlignment="1">
      <alignment horizontal="center" vertical="center"/>
    </xf>
    <xf numFmtId="38" fontId="9" fillId="8" borderId="3" xfId="4" applyFont="1" applyFill="1" applyBorder="1" applyAlignment="1">
      <alignment horizontal="center" vertical="center"/>
    </xf>
    <xf numFmtId="14" fontId="9" fillId="8" borderId="3" xfId="3" applyNumberFormat="1" applyFont="1" applyFill="1" applyBorder="1" applyAlignment="1">
      <alignment horizontal="center" vertical="center"/>
    </xf>
    <xf numFmtId="38" fontId="9" fillId="8" borderId="3" xfId="3" applyNumberFormat="1" applyFont="1" applyFill="1" applyBorder="1" applyAlignment="1">
      <alignment horizontal="center" vertical="center"/>
    </xf>
    <xf numFmtId="181" fontId="9" fillId="8" borderId="3" xfId="3" applyNumberFormat="1" applyFont="1" applyFill="1" applyBorder="1" applyAlignment="1">
      <alignment horizontal="center" vertical="center"/>
    </xf>
    <xf numFmtId="3" fontId="9" fillId="8" borderId="3" xfId="4" applyNumberFormat="1" applyFont="1" applyFill="1" applyBorder="1" applyAlignment="1">
      <alignment horizontal="center" vertical="center"/>
    </xf>
    <xf numFmtId="0" fontId="9" fillId="8" borderId="4" xfId="3" applyFont="1" applyFill="1" applyBorder="1" applyAlignment="1">
      <alignment horizontal="center" vertical="center"/>
    </xf>
    <xf numFmtId="38" fontId="9" fillId="8" borderId="0" xfId="4" applyFont="1" applyFill="1" applyAlignment="1">
      <alignment horizontal="center" vertical="center"/>
    </xf>
    <xf numFmtId="10" fontId="9" fillId="8" borderId="0" xfId="6" applyNumberFormat="1" applyFont="1" applyFill="1" applyAlignment="1">
      <alignment horizontal="center" vertical="center"/>
    </xf>
    <xf numFmtId="10" fontId="9" fillId="8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3" fontId="7" fillId="14" borderId="0" xfId="3" applyNumberFormat="1" applyFont="1" applyFill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3" fontId="7" fillId="16" borderId="0" xfId="3" applyNumberFormat="1" applyFont="1" applyFill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9" borderId="11" xfId="3" applyNumberFormat="1" applyFont="1" applyFill="1" applyBorder="1" applyAlignment="1">
      <alignment horizontal="center" vertical="center"/>
    </xf>
    <xf numFmtId="0" fontId="14" fillId="10" borderId="11" xfId="3" applyFont="1" applyFill="1" applyBorder="1" applyAlignment="1">
      <alignment horizontal="center" vertical="center"/>
    </xf>
    <xf numFmtId="3" fontId="9" fillId="14" borderId="8" xfId="3" applyNumberFormat="1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9" fillId="13" borderId="8" xfId="3" applyFont="1" applyFill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8" borderId="0" xfId="3" applyFont="1" applyFill="1" applyAlignment="1">
      <alignment horizontal="center" vertical="center"/>
    </xf>
    <xf numFmtId="0" fontId="4" fillId="5" borderId="4" xfId="2" applyFill="1" applyBorder="1" applyAlignment="1" applyProtection="1">
      <alignment horizontal="center" vertical="center"/>
    </xf>
    <xf numFmtId="38" fontId="14" fillId="10" borderId="11" xfId="3" applyNumberFormat="1" applyFont="1" applyFill="1" applyBorder="1" applyAlignment="1">
      <alignment horizontal="center" vertical="center"/>
    </xf>
    <xf numFmtId="3" fontId="14" fillId="10" borderId="11" xfId="4" applyNumberFormat="1" applyFont="1" applyFill="1" applyBorder="1" applyAlignment="1">
      <alignment horizontal="center" vertical="center"/>
    </xf>
    <xf numFmtId="179" fontId="9" fillId="14" borderId="8" xfId="3" applyNumberFormat="1" applyFont="1" applyFill="1" applyBorder="1" applyAlignment="1">
      <alignment horizontal="center" vertical="center"/>
    </xf>
    <xf numFmtId="0" fontId="9" fillId="8" borderId="32" xfId="3" applyFont="1" applyFill="1" applyBorder="1" applyAlignment="1">
      <alignment horizontal="center" vertical="center"/>
    </xf>
    <xf numFmtId="38" fontId="17" fillId="0" borderId="0" xfId="4" applyFont="1" applyAlignment="1">
      <alignment horizontal="left" vertical="center"/>
    </xf>
    <xf numFmtId="181" fontId="7" fillId="15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5" borderId="0" xfId="3" applyFont="1" applyFill="1" applyAlignment="1">
      <alignment horizontal="right" vertical="center"/>
    </xf>
    <xf numFmtId="0" fontId="9" fillId="6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7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9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8" borderId="34" xfId="3" applyFont="1" applyFill="1" applyBorder="1" applyAlignment="1">
      <alignment horizontal="center" vertical="center"/>
    </xf>
    <xf numFmtId="3" fontId="7" fillId="0" borderId="22" xfId="3" applyNumberFormat="1" applyFont="1" applyBorder="1">
      <alignment vertical="center"/>
    </xf>
    <xf numFmtId="3" fontId="7" fillId="0" borderId="25" xfId="3" applyNumberFormat="1" applyFont="1" applyBorder="1">
      <alignment vertical="center"/>
    </xf>
    <xf numFmtId="38" fontId="9" fillId="0" borderId="17" xfId="4" applyFont="1" applyFill="1" applyBorder="1" applyAlignment="1">
      <alignment horizontal="center" vertical="center"/>
    </xf>
    <xf numFmtId="38" fontId="7" fillId="18" borderId="7" xfId="3" applyNumberFormat="1" applyFont="1" applyFill="1" applyBorder="1">
      <alignment vertical="center"/>
    </xf>
    <xf numFmtId="38" fontId="7" fillId="18" borderId="8" xfId="3" applyNumberFormat="1" applyFont="1" applyFill="1" applyBorder="1">
      <alignment vertical="center"/>
    </xf>
    <xf numFmtId="38" fontId="7" fillId="18" borderId="10" xfId="3" applyNumberFormat="1" applyFont="1" applyFill="1" applyBorder="1">
      <alignment vertical="center"/>
    </xf>
    <xf numFmtId="38" fontId="7" fillId="18" borderId="7" xfId="7" applyFont="1" applyFill="1" applyBorder="1">
      <alignment vertical="center"/>
    </xf>
    <xf numFmtId="38" fontId="7" fillId="18" borderId="8" xfId="7" applyFont="1" applyFill="1" applyBorder="1">
      <alignment vertical="center"/>
    </xf>
    <xf numFmtId="38" fontId="7" fillId="18" borderId="10" xfId="7" applyFont="1" applyFill="1" applyBorder="1">
      <alignment vertical="center"/>
    </xf>
    <xf numFmtId="3" fontId="7" fillId="18" borderId="7" xfId="3" applyNumberFormat="1" applyFont="1" applyFill="1" applyBorder="1">
      <alignment vertical="center"/>
    </xf>
    <xf numFmtId="3" fontId="7" fillId="18" borderId="8" xfId="3" applyNumberFormat="1" applyFont="1" applyFill="1" applyBorder="1">
      <alignment vertical="center"/>
    </xf>
    <xf numFmtId="3" fontId="7" fillId="18" borderId="10" xfId="3" applyNumberFormat="1" applyFont="1" applyFill="1" applyBorder="1">
      <alignment vertical="center"/>
    </xf>
    <xf numFmtId="38" fontId="7" fillId="18" borderId="9" xfId="7" applyFont="1" applyFill="1" applyBorder="1">
      <alignment vertical="center"/>
    </xf>
    <xf numFmtId="38" fontId="7" fillId="18" borderId="33" xfId="7" applyFont="1" applyFill="1" applyBorder="1">
      <alignment vertical="center"/>
    </xf>
    <xf numFmtId="0" fontId="9" fillId="18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8" fontId="7" fillId="0" borderId="6" xfId="7" applyFont="1" applyFill="1" applyBorder="1">
      <alignment vertical="center"/>
    </xf>
    <xf numFmtId="3" fontId="7" fillId="18" borderId="35" xfId="3" applyNumberFormat="1" applyFont="1" applyFill="1" applyBorder="1">
      <alignment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7" xfId="3" applyFont="1" applyFill="1" applyBorder="1" applyAlignment="1">
      <alignment horizontal="center" vertical="center"/>
    </xf>
    <xf numFmtId="0" fontId="18" fillId="8" borderId="19" xfId="3" applyFont="1" applyFill="1" applyBorder="1" applyAlignment="1">
      <alignment horizontal="center" vertical="center"/>
    </xf>
    <xf numFmtId="10" fontId="7" fillId="0" borderId="36" xfId="8" applyNumberFormat="1" applyFont="1" applyBorder="1" applyAlignment="1">
      <alignment horizontal="center" vertical="center"/>
    </xf>
    <xf numFmtId="10" fontId="7" fillId="0" borderId="37" xfId="8" applyNumberFormat="1" applyFont="1" applyBorder="1" applyAlignment="1">
      <alignment horizontal="center" vertical="center"/>
    </xf>
    <xf numFmtId="10" fontId="7" fillId="0" borderId="38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9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6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20" borderId="11" xfId="3" applyFont="1" applyFill="1" applyBorder="1" applyAlignment="1">
      <alignment horizontal="center" vertical="center"/>
    </xf>
    <xf numFmtId="179" fontId="9" fillId="20" borderId="11" xfId="3" applyNumberFormat="1" applyFont="1" applyFill="1" applyBorder="1" applyAlignment="1">
      <alignment horizontal="center" vertical="center"/>
    </xf>
    <xf numFmtId="38" fontId="9" fillId="20" borderId="11" xfId="4" applyFont="1" applyFill="1" applyBorder="1" applyAlignment="1">
      <alignment horizontal="center" vertical="center"/>
    </xf>
    <xf numFmtId="14" fontId="9" fillId="20" borderId="11" xfId="3" applyNumberFormat="1" applyFont="1" applyFill="1" applyBorder="1" applyAlignment="1">
      <alignment horizontal="center" vertical="center"/>
    </xf>
    <xf numFmtId="38" fontId="9" fillId="20" borderId="11" xfId="3" applyNumberFormat="1" applyFont="1" applyFill="1" applyBorder="1" applyAlignment="1">
      <alignment horizontal="center" vertical="center"/>
    </xf>
    <xf numFmtId="181" fontId="9" fillId="20" borderId="11" xfId="3" applyNumberFormat="1" applyFont="1" applyFill="1" applyBorder="1" applyAlignment="1">
      <alignment horizontal="center" vertical="center"/>
    </xf>
    <xf numFmtId="0" fontId="7" fillId="20" borderId="8" xfId="3" applyFont="1" applyFill="1" applyBorder="1" applyAlignment="1">
      <alignment horizontal="center" vertical="center"/>
    </xf>
    <xf numFmtId="179" fontId="7" fillId="20" borderId="8" xfId="3" applyNumberFormat="1" applyFont="1" applyFill="1" applyBorder="1" applyAlignment="1">
      <alignment horizontal="center" vertical="center"/>
    </xf>
    <xf numFmtId="38" fontId="7" fillId="20" borderId="8" xfId="4" applyFont="1" applyFill="1" applyBorder="1" applyAlignment="1">
      <alignment horizontal="center" vertical="center"/>
    </xf>
    <xf numFmtId="14" fontId="7" fillId="20" borderId="8" xfId="3" applyNumberFormat="1" applyFont="1" applyFill="1" applyBorder="1" applyAlignment="1">
      <alignment horizontal="center" vertical="center"/>
    </xf>
    <xf numFmtId="38" fontId="7" fillId="20" borderId="8" xfId="3" applyNumberFormat="1" applyFont="1" applyFill="1" applyBorder="1" applyAlignment="1">
      <alignment horizontal="center" vertical="center"/>
    </xf>
    <xf numFmtId="181" fontId="7" fillId="20" borderId="8" xfId="3" applyNumberFormat="1" applyFont="1" applyFill="1" applyBorder="1" applyAlignment="1">
      <alignment horizontal="center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9" xfId="3" applyFont="1" applyBorder="1" applyAlignment="1">
      <alignment horizontal="center" vertical="center"/>
    </xf>
    <xf numFmtId="0" fontId="7" fillId="0" borderId="39" xfId="3" applyFont="1" applyBorder="1">
      <alignment vertical="center"/>
    </xf>
    <xf numFmtId="0" fontId="9" fillId="0" borderId="39" xfId="3" applyFont="1" applyBorder="1">
      <alignment vertical="center"/>
    </xf>
    <xf numFmtId="0" fontId="9" fillId="0" borderId="39" xfId="3" applyFont="1" applyBorder="1" applyAlignment="1">
      <alignment horizontal="center" vertical="center"/>
    </xf>
    <xf numFmtId="3" fontId="9" fillId="14" borderId="7" xfId="3" applyNumberFormat="1" applyFont="1" applyFill="1" applyBorder="1" applyAlignment="1">
      <alignment horizontal="center" vertical="center"/>
    </xf>
    <xf numFmtId="14" fontId="9" fillId="8" borderId="3" xfId="3" applyNumberFormat="1" applyFont="1" applyFill="1" applyBorder="1">
      <alignment vertical="center"/>
    </xf>
    <xf numFmtId="0" fontId="9" fillId="8" borderId="3" xfId="3" applyFont="1" applyFill="1" applyBorder="1">
      <alignment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45"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2DAE6"/>
      <color rgb="FFE0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30</xdr:row>
      <xdr:rowOff>123265</xdr:rowOff>
    </xdr:from>
    <xdr:to>
      <xdr:col>7</xdr:col>
      <xdr:colOff>627530</xdr:colOff>
      <xdr:row>42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stocks.finance.yahoo.co.jp/stocks/detail/?code=4597" TargetMode="External"/><Relationship Id="rId7" Type="http://schemas.openxmlformats.org/officeDocument/2006/relationships/image" Target="../media/image1.emf"/><Relationship Id="rId2" Type="http://schemas.openxmlformats.org/officeDocument/2006/relationships/hyperlink" Target="https://stocks.finance.yahoo.co.jp/stocks/detail/?code=8704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5"/>
  <sheetViews>
    <sheetView tabSelected="1" zoomScale="80" zoomScaleNormal="80" workbookViewId="0">
      <pane ySplit="2" topLeftCell="A3" activePane="bottomLeft" state="frozen"/>
      <selection activeCell="U183" sqref="U183"/>
      <selection pane="bottomLeft" activeCell="B9" sqref="B9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09" t="s">
        <v>14</v>
      </c>
      <c r="B1" s="209"/>
      <c r="D1" s="13" t="s">
        <v>15</v>
      </c>
      <c r="E1" s="14" t="s">
        <v>16</v>
      </c>
      <c r="H1" s="158"/>
      <c r="I1" s="158"/>
      <c r="J1" s="158"/>
      <c r="K1" s="158"/>
      <c r="L1" s="158"/>
      <c r="M1" s="158"/>
      <c r="N1" s="16" t="s">
        <v>136</v>
      </c>
      <c r="Q1" s="19"/>
      <c r="R1" s="20"/>
    </row>
    <row r="2" spans="1:24" ht="16.5" thickBot="1" x14ac:dyDescent="0.3">
      <c r="B2" s="109" t="s">
        <v>17</v>
      </c>
      <c r="C2" s="109" t="s">
        <v>18</v>
      </c>
      <c r="D2" s="109" t="s">
        <v>19</v>
      </c>
      <c r="E2" s="109" t="s">
        <v>20</v>
      </c>
      <c r="F2" s="109" t="s">
        <v>21</v>
      </c>
      <c r="G2" s="111" t="s">
        <v>22</v>
      </c>
      <c r="H2" s="116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36" t="s">
        <v>134</v>
      </c>
      <c r="N2" s="109" t="s">
        <v>28</v>
      </c>
      <c r="O2" s="112" t="s">
        <v>29</v>
      </c>
      <c r="P2" s="110" t="s">
        <v>30</v>
      </c>
      <c r="Q2" s="109" t="s">
        <v>31</v>
      </c>
      <c r="R2" s="109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77" t="s">
        <v>183</v>
      </c>
      <c r="C3" s="184">
        <v>43137</v>
      </c>
      <c r="D3" s="184">
        <v>43144</v>
      </c>
      <c r="E3" s="184">
        <v>43145</v>
      </c>
      <c r="F3" s="77" t="s">
        <v>40</v>
      </c>
      <c r="G3" s="185">
        <v>1240</v>
      </c>
      <c r="H3" s="186" t="s">
        <v>60</v>
      </c>
      <c r="I3" s="77" t="s">
        <v>184</v>
      </c>
      <c r="J3" s="77" t="s">
        <v>184</v>
      </c>
      <c r="K3" s="77" t="s">
        <v>196</v>
      </c>
      <c r="L3" s="77" t="s">
        <v>184</v>
      </c>
      <c r="M3" s="77" t="s">
        <v>184</v>
      </c>
      <c r="N3" s="77" t="s">
        <v>62</v>
      </c>
      <c r="O3" s="184">
        <v>43154</v>
      </c>
      <c r="P3" s="187"/>
      <c r="Q3" s="180" t="str">
        <f>IF(ISERROR(CONCATENATE(ROUND((IF(ISBLANK(P3),0,P3)-IF(ISBLANK(G3),0,G3))/IF(ISBLANK(G3),0,G3),4)*100,"%")),"",CONCATENATE(ROUND((IF(ISBLANK(P3),0,P3)-IF(ISBLANK(G3),0,G3))/IF(ISBLANK(G3),0,G3),4)*100,"%"))</f>
        <v>-100%</v>
      </c>
      <c r="R3" s="77"/>
      <c r="T3" s="24" t="s">
        <v>37</v>
      </c>
      <c r="U3" s="25" t="s">
        <v>36</v>
      </c>
      <c r="V3" s="26">
        <f t="shared" ref="V3:V11" si="0">COUNTIF(N:N,U3)</f>
        <v>0</v>
      </c>
      <c r="W3" s="26" t="s">
        <v>38</v>
      </c>
      <c r="X3" s="26" t="s">
        <v>39</v>
      </c>
    </row>
    <row r="4" spans="1:24" x14ac:dyDescent="0.25">
      <c r="A4" s="12">
        <f t="shared" ref="A4:A67" si="1">ROW()-2</f>
        <v>2</v>
      </c>
      <c r="B4" s="54" t="s">
        <v>189</v>
      </c>
      <c r="C4" s="57">
        <v>43144</v>
      </c>
      <c r="D4" s="57">
        <v>43150</v>
      </c>
      <c r="E4" s="57">
        <v>43151</v>
      </c>
      <c r="F4" s="54" t="s">
        <v>40</v>
      </c>
      <c r="G4" s="56">
        <v>2250</v>
      </c>
      <c r="H4" s="54" t="s">
        <v>60</v>
      </c>
      <c r="I4" s="54" t="s">
        <v>184</v>
      </c>
      <c r="J4" s="54" t="s">
        <v>184</v>
      </c>
      <c r="K4" s="54" t="s">
        <v>191</v>
      </c>
      <c r="L4" s="54" t="s">
        <v>184</v>
      </c>
      <c r="M4" s="54" t="s">
        <v>196</v>
      </c>
      <c r="N4" s="188" t="s">
        <v>47</v>
      </c>
      <c r="O4" s="57">
        <v>43159</v>
      </c>
      <c r="P4" s="55"/>
      <c r="Q4" s="180" t="str">
        <f t="shared" ref="Q4:Q67" si="2">IF(ISERROR(CONCATENATE(ROUND((IF(ISBLANK(P4),0,P4)-IF(ISBLANK(G4),0,G4))/IF(ISBLANK(G4),0,G4),4)*100,"%")),"",CONCATENATE(ROUND((IF(ISBLANK(P4),0,P4)-IF(ISBLANK(G4),0,G4))/IF(ISBLANK(G4),0,G4),4)*100,"%"))</f>
        <v>-100%</v>
      </c>
      <c r="R4" s="54"/>
      <c r="T4" s="27" t="s">
        <v>42</v>
      </c>
      <c r="U4" s="28" t="s">
        <v>43</v>
      </c>
      <c r="V4" s="26">
        <f t="shared" si="0"/>
        <v>2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54" t="s">
        <v>192</v>
      </c>
      <c r="C5" s="57">
        <v>43145</v>
      </c>
      <c r="D5" s="57">
        <v>43151</v>
      </c>
      <c r="E5" s="57">
        <v>43152</v>
      </c>
      <c r="F5" s="54" t="s">
        <v>40</v>
      </c>
      <c r="G5" s="56">
        <v>1780</v>
      </c>
      <c r="H5" s="54" t="s">
        <v>46</v>
      </c>
      <c r="I5" s="54" t="s">
        <v>191</v>
      </c>
      <c r="J5" s="54" t="s">
        <v>184</v>
      </c>
      <c r="K5" s="54" t="s">
        <v>196</v>
      </c>
      <c r="L5" s="54" t="s">
        <v>184</v>
      </c>
      <c r="M5" s="54" t="s">
        <v>196</v>
      </c>
      <c r="N5" s="54" t="s">
        <v>53</v>
      </c>
      <c r="O5" s="57">
        <v>43161</v>
      </c>
      <c r="P5" s="55"/>
      <c r="Q5" s="180" t="str">
        <f t="shared" si="2"/>
        <v>-100%</v>
      </c>
      <c r="R5" s="54"/>
      <c r="T5" s="27" t="s">
        <v>48</v>
      </c>
      <c r="U5" s="28" t="s">
        <v>49</v>
      </c>
      <c r="V5" s="26">
        <f t="shared" si="0"/>
        <v>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54" t="s">
        <v>193</v>
      </c>
      <c r="C6" s="57">
        <v>43159</v>
      </c>
      <c r="D6" s="57">
        <v>43165</v>
      </c>
      <c r="E6" s="57">
        <v>43166</v>
      </c>
      <c r="F6" s="54" t="s">
        <v>40</v>
      </c>
      <c r="G6" s="56"/>
      <c r="H6" s="54" t="s">
        <v>41</v>
      </c>
      <c r="I6" s="54" t="s">
        <v>191</v>
      </c>
      <c r="J6" s="54" t="s">
        <v>184</v>
      </c>
      <c r="K6" s="54" t="s">
        <v>191</v>
      </c>
      <c r="L6" s="54" t="s">
        <v>184</v>
      </c>
      <c r="M6" s="54" t="s">
        <v>191</v>
      </c>
      <c r="N6" s="188" t="s">
        <v>47</v>
      </c>
      <c r="O6" s="57">
        <v>43174</v>
      </c>
      <c r="P6" s="55"/>
      <c r="Q6" s="180" t="str">
        <f t="shared" si="2"/>
        <v/>
      </c>
      <c r="R6" s="54"/>
      <c r="T6" s="27" t="s">
        <v>35</v>
      </c>
      <c r="U6" s="28" t="s">
        <v>54</v>
      </c>
      <c r="V6" s="26">
        <f t="shared" si="0"/>
        <v>0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54" t="s">
        <v>194</v>
      </c>
      <c r="C7" s="57">
        <v>43159</v>
      </c>
      <c r="D7" s="57">
        <v>43165</v>
      </c>
      <c r="E7" s="57">
        <v>43166</v>
      </c>
      <c r="F7" s="54"/>
      <c r="G7" s="56"/>
      <c r="H7" s="54" t="s">
        <v>52</v>
      </c>
      <c r="I7" s="54" t="s">
        <v>184</v>
      </c>
      <c r="J7" s="54" t="s">
        <v>191</v>
      </c>
      <c r="K7" s="54" t="s">
        <v>191</v>
      </c>
      <c r="L7" s="54" t="s">
        <v>184</v>
      </c>
      <c r="M7" s="54" t="s">
        <v>190</v>
      </c>
      <c r="N7" s="54" t="s">
        <v>62</v>
      </c>
      <c r="O7" s="57">
        <v>43175</v>
      </c>
      <c r="P7" s="55"/>
      <c r="Q7" s="180" t="str">
        <f t="shared" si="2"/>
        <v/>
      </c>
      <c r="R7" s="54"/>
      <c r="T7" s="28" t="s">
        <v>57</v>
      </c>
      <c r="U7" s="28" t="s">
        <v>58</v>
      </c>
      <c r="V7" s="26">
        <f t="shared" si="0"/>
        <v>0</v>
      </c>
      <c r="W7" s="28" t="s">
        <v>59</v>
      </c>
    </row>
    <row r="8" spans="1:24" x14ac:dyDescent="0.25">
      <c r="A8" s="12">
        <f t="shared" si="1"/>
        <v>6</v>
      </c>
      <c r="B8" s="54" t="s">
        <v>195</v>
      </c>
      <c r="C8" s="57">
        <v>43159</v>
      </c>
      <c r="D8" s="57">
        <v>43165</v>
      </c>
      <c r="E8" s="57">
        <v>43166</v>
      </c>
      <c r="F8" s="54" t="s">
        <v>40</v>
      </c>
      <c r="G8" s="56"/>
      <c r="H8" s="54" t="s">
        <v>41</v>
      </c>
      <c r="I8" s="54" t="s">
        <v>184</v>
      </c>
      <c r="J8" s="54" t="s">
        <v>184</v>
      </c>
      <c r="K8" s="54" t="s">
        <v>191</v>
      </c>
      <c r="L8" s="54" t="s">
        <v>184</v>
      </c>
      <c r="M8" s="54" t="s">
        <v>191</v>
      </c>
      <c r="N8" s="54" t="s">
        <v>53</v>
      </c>
      <c r="O8" s="57">
        <v>43175</v>
      </c>
      <c r="P8" s="55"/>
      <c r="Q8" s="180" t="str">
        <f t="shared" si="2"/>
        <v/>
      </c>
      <c r="R8" s="54"/>
      <c r="T8" s="28" t="s">
        <v>174</v>
      </c>
      <c r="U8" s="28" t="s">
        <v>62</v>
      </c>
      <c r="V8" s="26">
        <f t="shared" si="0"/>
        <v>2</v>
      </c>
      <c r="W8" s="29" t="s">
        <v>63</v>
      </c>
    </row>
    <row r="9" spans="1:24" x14ac:dyDescent="0.25">
      <c r="A9" s="12">
        <f t="shared" si="1"/>
        <v>7</v>
      </c>
      <c r="B9" s="54"/>
      <c r="C9" s="57"/>
      <c r="D9" s="57"/>
      <c r="E9" s="57"/>
      <c r="F9" s="54"/>
      <c r="G9" s="56"/>
      <c r="H9" s="54"/>
      <c r="I9" s="54"/>
      <c r="J9" s="54"/>
      <c r="K9" s="54"/>
      <c r="L9" s="54"/>
      <c r="M9" s="54"/>
      <c r="N9" s="54"/>
      <c r="O9" s="57"/>
      <c r="P9" s="55"/>
      <c r="Q9" s="180" t="str">
        <f t="shared" si="2"/>
        <v/>
      </c>
      <c r="R9" s="54"/>
      <c r="T9" s="28" t="s">
        <v>173</v>
      </c>
      <c r="U9" s="28" t="s">
        <v>53</v>
      </c>
      <c r="V9" s="28">
        <f t="shared" si="0"/>
        <v>2</v>
      </c>
    </row>
    <row r="10" spans="1:24" x14ac:dyDescent="0.25">
      <c r="A10" s="12">
        <f t="shared" si="1"/>
        <v>8</v>
      </c>
      <c r="B10" s="54"/>
      <c r="C10" s="57"/>
      <c r="D10" s="57"/>
      <c r="E10" s="57"/>
      <c r="F10" s="54"/>
      <c r="G10" s="56"/>
      <c r="H10" s="54"/>
      <c r="I10" s="54"/>
      <c r="J10" s="54"/>
      <c r="K10" s="54"/>
      <c r="L10" s="54"/>
      <c r="M10" s="54"/>
      <c r="N10" s="54"/>
      <c r="O10" s="57"/>
      <c r="P10" s="55"/>
      <c r="Q10" s="180" t="str">
        <f t="shared" si="2"/>
        <v/>
      </c>
      <c r="R10" s="54"/>
      <c r="T10" s="29" t="s">
        <v>61</v>
      </c>
      <c r="U10" s="31" t="s">
        <v>138</v>
      </c>
      <c r="V10" s="31">
        <f t="shared" si="0"/>
        <v>0</v>
      </c>
    </row>
    <row r="11" spans="1:24" x14ac:dyDescent="0.25">
      <c r="A11" s="12">
        <f t="shared" si="1"/>
        <v>9</v>
      </c>
      <c r="B11" s="54"/>
      <c r="C11" s="57"/>
      <c r="D11" s="57"/>
      <c r="E11" s="57"/>
      <c r="F11" s="54"/>
      <c r="G11" s="56"/>
      <c r="H11" s="54"/>
      <c r="I11" s="54"/>
      <c r="J11" s="54"/>
      <c r="K11" s="54"/>
      <c r="L11" s="54"/>
      <c r="M11" s="54"/>
      <c r="N11" s="54"/>
      <c r="O11" s="57"/>
      <c r="P11" s="55"/>
      <c r="Q11" s="180" t="str">
        <f t="shared" si="2"/>
        <v/>
      </c>
      <c r="R11" s="54"/>
      <c r="U11" s="29" t="s">
        <v>64</v>
      </c>
      <c r="V11" s="29">
        <f t="shared" si="0"/>
        <v>0</v>
      </c>
    </row>
    <row r="12" spans="1:24" x14ac:dyDescent="0.25">
      <c r="A12" s="12">
        <f t="shared" si="1"/>
        <v>10</v>
      </c>
      <c r="B12" s="54"/>
      <c r="C12" s="57"/>
      <c r="D12" s="57"/>
      <c r="E12" s="57"/>
      <c r="F12" s="54"/>
      <c r="G12" s="56"/>
      <c r="H12" s="54"/>
      <c r="I12" s="54"/>
      <c r="J12" s="54"/>
      <c r="K12" s="54"/>
      <c r="L12" s="54"/>
      <c r="M12" s="54"/>
      <c r="N12" s="188"/>
      <c r="O12" s="57"/>
      <c r="P12" s="55"/>
      <c r="Q12" s="180" t="str">
        <f t="shared" si="2"/>
        <v/>
      </c>
      <c r="R12" s="54"/>
    </row>
    <row r="13" spans="1:24" x14ac:dyDescent="0.25">
      <c r="A13" s="12">
        <f t="shared" si="1"/>
        <v>11</v>
      </c>
      <c r="B13" s="54"/>
      <c r="C13" s="57"/>
      <c r="D13" s="57"/>
      <c r="E13" s="57"/>
      <c r="F13" s="54"/>
      <c r="G13" s="56"/>
      <c r="H13" s="54"/>
      <c r="I13" s="54"/>
      <c r="J13" s="54"/>
      <c r="K13" s="54"/>
      <c r="L13" s="54"/>
      <c r="M13" s="54"/>
      <c r="N13" s="54"/>
      <c r="O13" s="57"/>
      <c r="P13" s="55"/>
      <c r="Q13" s="180" t="str">
        <f t="shared" si="2"/>
        <v/>
      </c>
      <c r="R13" s="54"/>
    </row>
    <row r="14" spans="1:24" x14ac:dyDescent="0.25">
      <c r="A14" s="12">
        <f t="shared" si="1"/>
        <v>12</v>
      </c>
      <c r="B14" s="54"/>
      <c r="C14" s="57"/>
      <c r="D14" s="57"/>
      <c r="E14" s="57"/>
      <c r="F14" s="54"/>
      <c r="G14" s="56"/>
      <c r="H14" s="54"/>
      <c r="I14" s="54"/>
      <c r="J14" s="54"/>
      <c r="K14" s="54"/>
      <c r="L14" s="54"/>
      <c r="M14" s="54"/>
      <c r="N14" s="54"/>
      <c r="O14" s="57"/>
      <c r="P14" s="55"/>
      <c r="Q14" s="180" t="str">
        <f t="shared" si="2"/>
        <v/>
      </c>
      <c r="R14" s="54"/>
    </row>
    <row r="15" spans="1:24" x14ac:dyDescent="0.25">
      <c r="A15" s="12">
        <f t="shared" si="1"/>
        <v>13</v>
      </c>
      <c r="B15" s="54"/>
      <c r="C15" s="57"/>
      <c r="D15" s="57"/>
      <c r="E15" s="57"/>
      <c r="F15" s="54"/>
      <c r="G15" s="56"/>
      <c r="H15" s="54"/>
      <c r="I15" s="54"/>
      <c r="J15" s="54"/>
      <c r="K15" s="54"/>
      <c r="L15" s="54"/>
      <c r="M15" s="54"/>
      <c r="N15" s="54"/>
      <c r="O15" s="57"/>
      <c r="P15" s="55"/>
      <c r="Q15" s="180" t="str">
        <f t="shared" si="2"/>
        <v/>
      </c>
      <c r="R15" s="54"/>
      <c r="T15" s="12" t="s">
        <v>65</v>
      </c>
    </row>
    <row r="16" spans="1:24" x14ac:dyDescent="0.25">
      <c r="A16" s="12">
        <f t="shared" si="1"/>
        <v>14</v>
      </c>
      <c r="B16" s="54"/>
      <c r="C16" s="57"/>
      <c r="D16" s="57"/>
      <c r="E16" s="57"/>
      <c r="F16" s="54"/>
      <c r="G16" s="189"/>
      <c r="H16" s="54"/>
      <c r="I16" s="54"/>
      <c r="J16" s="54"/>
      <c r="K16" s="188"/>
      <c r="L16" s="54"/>
      <c r="M16" s="54"/>
      <c r="N16" s="54"/>
      <c r="O16" s="57"/>
      <c r="P16" s="55"/>
      <c r="Q16" s="180" t="str">
        <f t="shared" si="2"/>
        <v/>
      </c>
      <c r="R16" s="54"/>
      <c r="T16" s="12" t="s">
        <v>66</v>
      </c>
    </row>
    <row r="17" spans="1:20" x14ac:dyDescent="0.25">
      <c r="A17" s="12">
        <f t="shared" si="1"/>
        <v>15</v>
      </c>
      <c r="B17" s="54"/>
      <c r="C17" s="57"/>
      <c r="D17" s="57"/>
      <c r="E17" s="57"/>
      <c r="F17" s="54"/>
      <c r="G17" s="56"/>
      <c r="H17" s="54"/>
      <c r="I17" s="54"/>
      <c r="J17" s="54"/>
      <c r="K17" s="188"/>
      <c r="L17" s="54"/>
      <c r="M17" s="54"/>
      <c r="N17" s="54"/>
      <c r="O17" s="57"/>
      <c r="P17" s="55"/>
      <c r="Q17" s="180" t="str">
        <f t="shared" si="2"/>
        <v/>
      </c>
      <c r="R17" s="54"/>
      <c r="T17" s="30" t="s">
        <v>67</v>
      </c>
    </row>
    <row r="18" spans="1:20" x14ac:dyDescent="0.25">
      <c r="A18" s="12">
        <f t="shared" si="1"/>
        <v>16</v>
      </c>
      <c r="B18" s="54"/>
      <c r="C18" s="57"/>
      <c r="D18" s="57"/>
      <c r="E18" s="57"/>
      <c r="F18" s="54"/>
      <c r="G18" s="56"/>
      <c r="H18" s="54"/>
      <c r="I18" s="54"/>
      <c r="J18" s="54"/>
      <c r="K18" s="54"/>
      <c r="L18" s="54"/>
      <c r="M18" s="54"/>
      <c r="N18" s="54"/>
      <c r="O18" s="57"/>
      <c r="P18" s="55"/>
      <c r="Q18" s="180" t="str">
        <f t="shared" si="2"/>
        <v/>
      </c>
      <c r="R18" s="54"/>
    </row>
    <row r="19" spans="1:20" x14ac:dyDescent="0.25">
      <c r="A19" s="12">
        <f t="shared" si="1"/>
        <v>17</v>
      </c>
      <c r="B19" s="54"/>
      <c r="C19" s="57"/>
      <c r="D19" s="57"/>
      <c r="E19" s="57"/>
      <c r="F19" s="54"/>
      <c r="G19" s="56"/>
      <c r="H19" s="54"/>
      <c r="I19" s="54"/>
      <c r="J19" s="54"/>
      <c r="K19" s="54"/>
      <c r="L19" s="54"/>
      <c r="M19" s="54"/>
      <c r="N19" s="54"/>
      <c r="O19" s="57"/>
      <c r="P19" s="55"/>
      <c r="Q19" s="180" t="str">
        <f t="shared" si="2"/>
        <v/>
      </c>
      <c r="R19" s="54"/>
      <c r="T19" s="14" t="s">
        <v>68</v>
      </c>
    </row>
    <row r="20" spans="1:20" x14ac:dyDescent="0.25">
      <c r="A20" s="12">
        <f t="shared" si="1"/>
        <v>18</v>
      </c>
      <c r="B20" s="54"/>
      <c r="C20" s="57"/>
      <c r="D20" s="57"/>
      <c r="E20" s="57"/>
      <c r="F20" s="54"/>
      <c r="G20" s="56"/>
      <c r="H20" s="54"/>
      <c r="I20" s="54"/>
      <c r="J20" s="54"/>
      <c r="K20" s="54"/>
      <c r="L20" s="54"/>
      <c r="M20" s="54"/>
      <c r="N20" s="54"/>
      <c r="O20" s="57"/>
      <c r="P20" s="55"/>
      <c r="Q20" s="180" t="str">
        <f t="shared" si="2"/>
        <v/>
      </c>
      <c r="R20" s="54"/>
      <c r="T20" s="134" t="s">
        <v>167</v>
      </c>
    </row>
    <row r="21" spans="1:20" x14ac:dyDescent="0.25">
      <c r="A21" s="12">
        <f t="shared" si="1"/>
        <v>19</v>
      </c>
      <c r="B21" s="54"/>
      <c r="C21" s="57"/>
      <c r="D21" s="57"/>
      <c r="E21" s="57"/>
      <c r="F21" s="54"/>
      <c r="G21" s="56"/>
      <c r="H21" s="54"/>
      <c r="I21" s="54"/>
      <c r="J21" s="54"/>
      <c r="K21" s="54"/>
      <c r="L21" s="54"/>
      <c r="M21" s="54"/>
      <c r="N21" s="54"/>
      <c r="O21" s="57"/>
      <c r="P21" s="55"/>
      <c r="Q21" s="180" t="str">
        <f t="shared" si="2"/>
        <v/>
      </c>
      <c r="R21" s="54"/>
    </row>
    <row r="22" spans="1:20" x14ac:dyDescent="0.25">
      <c r="A22" s="12">
        <f t="shared" si="1"/>
        <v>20</v>
      </c>
      <c r="B22" s="54"/>
      <c r="C22" s="57"/>
      <c r="D22" s="57"/>
      <c r="E22" s="57"/>
      <c r="F22" s="54"/>
      <c r="G22" s="56"/>
      <c r="H22" s="54"/>
      <c r="I22" s="54"/>
      <c r="J22" s="54"/>
      <c r="K22" s="54"/>
      <c r="L22" s="54"/>
      <c r="M22" s="54"/>
      <c r="N22" s="188"/>
      <c r="O22" s="57"/>
      <c r="P22" s="55"/>
      <c r="Q22" s="180" t="str">
        <f t="shared" si="2"/>
        <v/>
      </c>
      <c r="R22" s="54"/>
      <c r="T22" s="12" t="s">
        <v>69</v>
      </c>
    </row>
    <row r="23" spans="1:20" x14ac:dyDescent="0.25">
      <c r="A23" s="12">
        <f t="shared" si="1"/>
        <v>21</v>
      </c>
      <c r="B23" s="180"/>
      <c r="C23" s="190"/>
      <c r="D23" s="190"/>
      <c r="E23" s="57"/>
      <c r="F23" s="54"/>
      <c r="G23" s="191"/>
      <c r="H23" s="180"/>
      <c r="I23" s="54"/>
      <c r="J23" s="54"/>
      <c r="K23" s="54"/>
      <c r="L23" s="54"/>
      <c r="M23" s="54"/>
      <c r="N23" s="180"/>
      <c r="O23" s="190"/>
      <c r="P23" s="192"/>
      <c r="Q23" s="180" t="str">
        <f t="shared" si="2"/>
        <v/>
      </c>
      <c r="R23" s="180"/>
      <c r="T23" s="134" t="s">
        <v>132</v>
      </c>
    </row>
    <row r="24" spans="1:20" x14ac:dyDescent="0.25">
      <c r="A24" s="12">
        <f t="shared" si="1"/>
        <v>22</v>
      </c>
      <c r="B24" s="180"/>
      <c r="C24" s="57"/>
      <c r="D24" s="57"/>
      <c r="E24" s="190"/>
      <c r="F24" s="54"/>
      <c r="G24" s="193"/>
      <c r="H24" s="180"/>
      <c r="I24" s="54"/>
      <c r="J24" s="54"/>
      <c r="K24" s="188"/>
      <c r="L24" s="54"/>
      <c r="M24" s="54"/>
      <c r="N24" s="180"/>
      <c r="O24" s="190"/>
      <c r="P24" s="192"/>
      <c r="Q24" s="180" t="str">
        <f t="shared" si="2"/>
        <v/>
      </c>
      <c r="R24" s="54"/>
    </row>
    <row r="25" spans="1:20" x14ac:dyDescent="0.25">
      <c r="A25" s="12">
        <f t="shared" si="1"/>
        <v>23</v>
      </c>
      <c r="B25" s="54"/>
      <c r="C25" s="57"/>
      <c r="D25" s="57"/>
      <c r="E25" s="57"/>
      <c r="F25" s="54"/>
      <c r="G25" s="56"/>
      <c r="H25" s="54"/>
      <c r="I25" s="54"/>
      <c r="J25" s="54"/>
      <c r="K25" s="54"/>
      <c r="L25" s="54"/>
      <c r="M25" s="54"/>
      <c r="N25" s="188"/>
      <c r="O25" s="190"/>
      <c r="P25" s="55"/>
      <c r="Q25" s="180" t="str">
        <f t="shared" si="2"/>
        <v/>
      </c>
      <c r="R25" s="54"/>
    </row>
    <row r="26" spans="1:20" x14ac:dyDescent="0.25">
      <c r="A26" s="12">
        <f t="shared" si="1"/>
        <v>24</v>
      </c>
      <c r="B26" s="54"/>
      <c r="C26" s="57"/>
      <c r="D26" s="57"/>
      <c r="E26" s="190"/>
      <c r="F26" s="54"/>
      <c r="G26" s="56"/>
      <c r="H26" s="54"/>
      <c r="I26" s="54"/>
      <c r="J26" s="54"/>
      <c r="K26" s="54"/>
      <c r="L26" s="54"/>
      <c r="M26" s="54"/>
      <c r="N26" s="188"/>
      <c r="O26" s="190"/>
      <c r="P26" s="55"/>
      <c r="Q26" s="180" t="str">
        <f t="shared" si="2"/>
        <v/>
      </c>
      <c r="R26" s="54"/>
    </row>
    <row r="27" spans="1:20" x14ac:dyDescent="0.25">
      <c r="A27" s="12">
        <f t="shared" si="1"/>
        <v>25</v>
      </c>
      <c r="B27" s="180"/>
      <c r="C27" s="57"/>
      <c r="D27" s="57"/>
      <c r="E27" s="190"/>
      <c r="F27" s="54"/>
      <c r="G27" s="191"/>
      <c r="H27" s="180"/>
      <c r="I27" s="54"/>
      <c r="J27" s="54"/>
      <c r="K27" s="54"/>
      <c r="L27" s="54"/>
      <c r="M27" s="54"/>
      <c r="N27" s="194"/>
      <c r="O27" s="190"/>
      <c r="P27" s="192"/>
      <c r="Q27" s="180" t="str">
        <f t="shared" si="2"/>
        <v/>
      </c>
      <c r="R27" s="180"/>
    </row>
    <row r="28" spans="1:20" x14ac:dyDescent="0.25">
      <c r="A28" s="12">
        <f t="shared" si="1"/>
        <v>26</v>
      </c>
      <c r="B28" s="54"/>
      <c r="C28" s="57"/>
      <c r="D28" s="57"/>
      <c r="E28" s="190"/>
      <c r="F28" s="54"/>
      <c r="G28" s="56"/>
      <c r="H28" s="54"/>
      <c r="I28" s="54"/>
      <c r="J28" s="54"/>
      <c r="K28" s="54"/>
      <c r="L28" s="54"/>
      <c r="M28" s="54"/>
      <c r="N28" s="54"/>
      <c r="O28" s="190"/>
      <c r="P28" s="55"/>
      <c r="Q28" s="180" t="str">
        <f t="shared" si="2"/>
        <v/>
      </c>
      <c r="R28" s="54"/>
    </row>
    <row r="29" spans="1:20" x14ac:dyDescent="0.25">
      <c r="A29" s="12">
        <f t="shared" si="1"/>
        <v>27</v>
      </c>
      <c r="B29" s="54"/>
      <c r="C29" s="57"/>
      <c r="D29" s="57"/>
      <c r="E29" s="57"/>
      <c r="F29" s="54"/>
      <c r="G29" s="189"/>
      <c r="H29" s="54"/>
      <c r="I29" s="54"/>
      <c r="J29" s="54"/>
      <c r="K29" s="54"/>
      <c r="L29" s="54"/>
      <c r="M29" s="54"/>
      <c r="N29" s="54"/>
      <c r="O29" s="190"/>
      <c r="P29" s="55"/>
      <c r="Q29" s="180" t="str">
        <f t="shared" si="2"/>
        <v/>
      </c>
      <c r="R29" s="54"/>
    </row>
    <row r="30" spans="1:20" x14ac:dyDescent="0.25">
      <c r="A30" s="12">
        <f t="shared" si="1"/>
        <v>28</v>
      </c>
      <c r="B30" s="180"/>
      <c r="C30" s="190"/>
      <c r="D30" s="190"/>
      <c r="E30" s="190"/>
      <c r="F30" s="54"/>
      <c r="G30" s="191"/>
      <c r="H30" s="54"/>
      <c r="I30" s="54"/>
      <c r="J30" s="54"/>
      <c r="K30" s="54"/>
      <c r="L30" s="54"/>
      <c r="M30" s="54"/>
      <c r="N30" s="194"/>
      <c r="O30" s="190"/>
      <c r="P30" s="192"/>
      <c r="Q30" s="180" t="str">
        <f t="shared" si="2"/>
        <v/>
      </c>
      <c r="R30" s="180"/>
    </row>
    <row r="31" spans="1:20" x14ac:dyDescent="0.25">
      <c r="A31" s="12">
        <f t="shared" si="1"/>
        <v>29</v>
      </c>
      <c r="B31" s="54"/>
      <c r="C31" s="190"/>
      <c r="D31" s="190"/>
      <c r="E31" s="190"/>
      <c r="F31" s="54"/>
      <c r="G31" s="56"/>
      <c r="H31" s="54"/>
      <c r="I31" s="54"/>
      <c r="J31" s="54"/>
      <c r="K31" s="54"/>
      <c r="L31" s="54"/>
      <c r="M31" s="54"/>
      <c r="N31" s="188"/>
      <c r="O31" s="190"/>
      <c r="P31" s="55"/>
      <c r="Q31" s="180" t="str">
        <f t="shared" si="2"/>
        <v/>
      </c>
      <c r="R31" s="54"/>
    </row>
    <row r="32" spans="1:20" x14ac:dyDescent="0.25">
      <c r="A32" s="12">
        <f t="shared" si="1"/>
        <v>30</v>
      </c>
      <c r="B32" s="180"/>
      <c r="C32" s="190"/>
      <c r="D32" s="190"/>
      <c r="E32" s="190"/>
      <c r="F32" s="54"/>
      <c r="G32" s="191"/>
      <c r="H32" s="54"/>
      <c r="I32" s="180"/>
      <c r="J32" s="180"/>
      <c r="K32" s="180"/>
      <c r="L32" s="180"/>
      <c r="M32" s="180"/>
      <c r="N32" s="194"/>
      <c r="O32" s="190"/>
      <c r="P32" s="192"/>
      <c r="Q32" s="180" t="str">
        <f t="shared" si="2"/>
        <v/>
      </c>
      <c r="R32" s="180"/>
    </row>
    <row r="33" spans="1:18" x14ac:dyDescent="0.25">
      <c r="A33" s="12">
        <f t="shared" si="1"/>
        <v>31</v>
      </c>
      <c r="B33" s="54"/>
      <c r="C33" s="57"/>
      <c r="D33" s="57"/>
      <c r="E33" s="57"/>
      <c r="F33" s="54"/>
      <c r="G33" s="56"/>
      <c r="H33" s="54"/>
      <c r="I33" s="180"/>
      <c r="J33" s="180"/>
      <c r="K33" s="180"/>
      <c r="L33" s="180"/>
      <c r="M33" s="180"/>
      <c r="N33" s="188"/>
      <c r="O33" s="57"/>
      <c r="P33" s="55"/>
      <c r="Q33" s="180" t="str">
        <f t="shared" si="2"/>
        <v/>
      </c>
      <c r="R33" s="54"/>
    </row>
    <row r="34" spans="1:18" x14ac:dyDescent="0.25">
      <c r="A34" s="12">
        <f t="shared" si="1"/>
        <v>32</v>
      </c>
      <c r="B34" s="54"/>
      <c r="C34" s="57"/>
      <c r="D34" s="57"/>
      <c r="E34" s="57"/>
      <c r="F34" s="54"/>
      <c r="G34" s="56"/>
      <c r="H34" s="54"/>
      <c r="I34" s="180"/>
      <c r="J34" s="180"/>
      <c r="K34" s="180"/>
      <c r="L34" s="180"/>
      <c r="M34" s="180"/>
      <c r="N34" s="54"/>
      <c r="O34" s="57"/>
      <c r="P34" s="55"/>
      <c r="Q34" s="180" t="str">
        <f t="shared" si="2"/>
        <v/>
      </c>
      <c r="R34" s="54"/>
    </row>
    <row r="35" spans="1:18" x14ac:dyDescent="0.25">
      <c r="A35" s="12">
        <f t="shared" si="1"/>
        <v>33</v>
      </c>
      <c r="B35" s="54"/>
      <c r="C35" s="57"/>
      <c r="D35" s="57"/>
      <c r="E35" s="57"/>
      <c r="F35" s="54"/>
      <c r="G35" s="56"/>
      <c r="H35" s="54"/>
      <c r="I35" s="180"/>
      <c r="J35" s="180"/>
      <c r="K35" s="180"/>
      <c r="L35" s="180"/>
      <c r="M35" s="180"/>
      <c r="N35" s="54"/>
      <c r="O35" s="57"/>
      <c r="P35" s="55"/>
      <c r="Q35" s="180" t="str">
        <f t="shared" si="2"/>
        <v/>
      </c>
      <c r="R35" s="54"/>
    </row>
    <row r="36" spans="1:18" x14ac:dyDescent="0.25">
      <c r="A36" s="12">
        <f t="shared" si="1"/>
        <v>34</v>
      </c>
      <c r="B36" s="180"/>
      <c r="C36" s="190"/>
      <c r="D36" s="190"/>
      <c r="E36" s="190"/>
      <c r="F36" s="54"/>
      <c r="G36" s="191"/>
      <c r="H36" s="54"/>
      <c r="I36" s="180"/>
      <c r="J36" s="180"/>
      <c r="K36" s="180"/>
      <c r="L36" s="180"/>
      <c r="M36" s="180"/>
      <c r="N36" s="180"/>
      <c r="O36" s="190"/>
      <c r="P36" s="192"/>
      <c r="Q36" s="180" t="str">
        <f t="shared" si="2"/>
        <v/>
      </c>
      <c r="R36" s="180"/>
    </row>
    <row r="37" spans="1:18" x14ac:dyDescent="0.25">
      <c r="A37" s="12">
        <f t="shared" si="1"/>
        <v>35</v>
      </c>
      <c r="B37" s="54"/>
      <c r="C37" s="190"/>
      <c r="D37" s="190"/>
      <c r="E37" s="190"/>
      <c r="F37" s="54"/>
      <c r="G37" s="56"/>
      <c r="H37" s="54"/>
      <c r="I37" s="180"/>
      <c r="J37" s="180"/>
      <c r="K37" s="180"/>
      <c r="L37" s="180"/>
      <c r="M37" s="180"/>
      <c r="N37" s="54"/>
      <c r="O37" s="190"/>
      <c r="P37" s="55"/>
      <c r="Q37" s="180" t="str">
        <f t="shared" si="2"/>
        <v/>
      </c>
      <c r="R37" s="54"/>
    </row>
    <row r="38" spans="1:18" x14ac:dyDescent="0.25">
      <c r="A38" s="12">
        <f t="shared" si="1"/>
        <v>36</v>
      </c>
      <c r="B38" s="180"/>
      <c r="C38" s="190"/>
      <c r="D38" s="190"/>
      <c r="E38" s="190"/>
      <c r="F38" s="54"/>
      <c r="G38" s="191"/>
      <c r="H38" s="54"/>
      <c r="I38" s="180"/>
      <c r="J38" s="180"/>
      <c r="K38" s="180"/>
      <c r="L38" s="180"/>
      <c r="M38" s="180"/>
      <c r="N38" s="194"/>
      <c r="O38" s="190"/>
      <c r="P38" s="192"/>
      <c r="Q38" s="180" t="str">
        <f t="shared" si="2"/>
        <v/>
      </c>
      <c r="R38" s="180"/>
    </row>
    <row r="39" spans="1:18" x14ac:dyDescent="0.25">
      <c r="A39" s="12">
        <f t="shared" si="1"/>
        <v>37</v>
      </c>
      <c r="B39" s="54"/>
      <c r="C39" s="57"/>
      <c r="D39" s="57"/>
      <c r="E39" s="57"/>
      <c r="F39" s="54"/>
      <c r="G39" s="56"/>
      <c r="H39" s="54"/>
      <c r="I39" s="54"/>
      <c r="J39" s="180"/>
      <c r="K39" s="180"/>
      <c r="L39" s="180"/>
      <c r="M39" s="54"/>
      <c r="N39" s="54"/>
      <c r="O39" s="57"/>
      <c r="P39" s="55"/>
      <c r="Q39" s="180" t="str">
        <f t="shared" si="2"/>
        <v/>
      </c>
      <c r="R39" s="54"/>
    </row>
    <row r="40" spans="1:18" x14ac:dyDescent="0.25">
      <c r="A40" s="12">
        <f t="shared" si="1"/>
        <v>38</v>
      </c>
      <c r="B40" s="54"/>
      <c r="C40" s="57"/>
      <c r="D40" s="57"/>
      <c r="E40" s="57"/>
      <c r="F40" s="54"/>
      <c r="G40" s="56"/>
      <c r="H40" s="54"/>
      <c r="I40" s="54"/>
      <c r="J40" s="180"/>
      <c r="K40" s="180"/>
      <c r="L40" s="180"/>
      <c r="M40" s="54"/>
      <c r="N40" s="54"/>
      <c r="O40" s="57"/>
      <c r="P40" s="55"/>
      <c r="Q40" s="180" t="str">
        <f t="shared" si="2"/>
        <v/>
      </c>
      <c r="R40" s="54"/>
    </row>
    <row r="41" spans="1:18" x14ac:dyDescent="0.25">
      <c r="A41" s="12">
        <f t="shared" si="1"/>
        <v>39</v>
      </c>
      <c r="B41" s="54"/>
      <c r="C41" s="57"/>
      <c r="D41" s="57"/>
      <c r="E41" s="57"/>
      <c r="F41" s="54"/>
      <c r="G41" s="56"/>
      <c r="H41" s="54"/>
      <c r="I41" s="54"/>
      <c r="J41" s="180"/>
      <c r="K41" s="54"/>
      <c r="L41" s="180"/>
      <c r="M41" s="54"/>
      <c r="N41" s="54"/>
      <c r="O41" s="57"/>
      <c r="P41" s="55"/>
      <c r="Q41" s="180" t="str">
        <f t="shared" si="2"/>
        <v/>
      </c>
      <c r="R41" s="54"/>
    </row>
    <row r="42" spans="1:18" x14ac:dyDescent="0.25">
      <c r="A42" s="12">
        <f t="shared" si="1"/>
        <v>40</v>
      </c>
      <c r="B42" s="180"/>
      <c r="C42" s="57"/>
      <c r="D42" s="57"/>
      <c r="E42" s="57"/>
      <c r="F42" s="54"/>
      <c r="G42" s="191"/>
      <c r="H42" s="54"/>
      <c r="I42" s="54"/>
      <c r="J42" s="180"/>
      <c r="K42" s="54"/>
      <c r="L42" s="180"/>
      <c r="M42" s="54"/>
      <c r="N42" s="180"/>
      <c r="O42" s="57"/>
      <c r="P42" s="192"/>
      <c r="Q42" s="180" t="str">
        <f t="shared" si="2"/>
        <v/>
      </c>
      <c r="R42" s="180"/>
    </row>
    <row r="43" spans="1:18" x14ac:dyDescent="0.25">
      <c r="A43" s="12">
        <f t="shared" si="1"/>
        <v>41</v>
      </c>
      <c r="B43" s="54"/>
      <c r="C43" s="57"/>
      <c r="D43" s="57"/>
      <c r="E43" s="57"/>
      <c r="F43" s="54"/>
      <c r="G43" s="56"/>
      <c r="H43" s="54"/>
      <c r="I43" s="54"/>
      <c r="J43" s="54"/>
      <c r="K43" s="54"/>
      <c r="L43" s="54"/>
      <c r="M43" s="54"/>
      <c r="N43" s="188"/>
      <c r="O43" s="57"/>
      <c r="P43" s="55"/>
      <c r="Q43" s="180" t="str">
        <f t="shared" si="2"/>
        <v/>
      </c>
      <c r="R43" s="54"/>
    </row>
    <row r="44" spans="1:18" x14ac:dyDescent="0.25">
      <c r="A44" s="12">
        <f t="shared" si="1"/>
        <v>42</v>
      </c>
      <c r="B44" s="180"/>
      <c r="C44" s="190"/>
      <c r="D44" s="190"/>
      <c r="E44" s="190"/>
      <c r="F44" s="54"/>
      <c r="G44" s="191"/>
      <c r="H44" s="54"/>
      <c r="I44" s="54"/>
      <c r="J44" s="54"/>
      <c r="K44" s="54"/>
      <c r="L44" s="54"/>
      <c r="M44" s="54"/>
      <c r="N44" s="180"/>
      <c r="O44" s="190"/>
      <c r="P44" s="192"/>
      <c r="Q44" s="180" t="str">
        <f t="shared" si="2"/>
        <v/>
      </c>
      <c r="R44" s="180"/>
    </row>
    <row r="45" spans="1:18" x14ac:dyDescent="0.25">
      <c r="A45" s="12">
        <f t="shared" si="1"/>
        <v>43</v>
      </c>
      <c r="B45" s="54"/>
      <c r="C45" s="57"/>
      <c r="D45" s="57"/>
      <c r="E45" s="57"/>
      <c r="F45" s="54"/>
      <c r="G45" s="56"/>
      <c r="H45" s="54"/>
      <c r="I45" s="54"/>
      <c r="J45" s="54"/>
      <c r="K45" s="54"/>
      <c r="L45" s="54"/>
      <c r="M45" s="54"/>
      <c r="N45" s="54"/>
      <c r="O45" s="57"/>
      <c r="P45" s="55"/>
      <c r="Q45" s="180" t="str">
        <f t="shared" si="2"/>
        <v/>
      </c>
      <c r="R45" s="54"/>
    </row>
    <row r="46" spans="1:18" x14ac:dyDescent="0.25">
      <c r="A46" s="12">
        <f t="shared" si="1"/>
        <v>44</v>
      </c>
      <c r="B46" s="180"/>
      <c r="C46" s="190"/>
      <c r="D46" s="190"/>
      <c r="E46" s="190"/>
      <c r="F46" s="54"/>
      <c r="G46" s="191"/>
      <c r="H46" s="54"/>
      <c r="I46" s="180"/>
      <c r="J46" s="54"/>
      <c r="K46" s="54"/>
      <c r="L46" s="54"/>
      <c r="M46" s="54"/>
      <c r="N46" s="180"/>
      <c r="O46" s="190"/>
      <c r="P46" s="192"/>
      <c r="Q46" s="180" t="str">
        <f t="shared" si="2"/>
        <v/>
      </c>
      <c r="R46" s="180"/>
    </row>
    <row r="47" spans="1:18" x14ac:dyDescent="0.25">
      <c r="A47" s="12">
        <f t="shared" si="1"/>
        <v>45</v>
      </c>
      <c r="B47" s="54"/>
      <c r="C47" s="57"/>
      <c r="D47" s="190"/>
      <c r="E47" s="190"/>
      <c r="F47" s="54"/>
      <c r="G47" s="56"/>
      <c r="H47" s="54"/>
      <c r="I47" s="54"/>
      <c r="J47" s="54"/>
      <c r="K47" s="54"/>
      <c r="L47" s="54"/>
      <c r="M47" s="54"/>
      <c r="N47" s="188"/>
      <c r="O47" s="190"/>
      <c r="P47" s="55"/>
      <c r="Q47" s="180" t="str">
        <f t="shared" si="2"/>
        <v/>
      </c>
      <c r="R47" s="54"/>
    </row>
    <row r="48" spans="1:18" x14ac:dyDescent="0.25">
      <c r="A48" s="12">
        <f t="shared" si="1"/>
        <v>46</v>
      </c>
      <c r="B48" s="180"/>
      <c r="C48" s="57"/>
      <c r="D48" s="190"/>
      <c r="E48" s="190"/>
      <c r="F48" s="54"/>
      <c r="G48" s="191"/>
      <c r="H48" s="54"/>
      <c r="I48" s="54"/>
      <c r="J48" s="54"/>
      <c r="K48" s="54"/>
      <c r="L48" s="54"/>
      <c r="M48" s="54"/>
      <c r="N48" s="180"/>
      <c r="O48" s="190"/>
      <c r="P48" s="192"/>
      <c r="Q48" s="180" t="str">
        <f t="shared" si="2"/>
        <v/>
      </c>
      <c r="R48" s="180"/>
    </row>
    <row r="49" spans="1:18" x14ac:dyDescent="0.25">
      <c r="A49" s="12">
        <f t="shared" si="1"/>
        <v>47</v>
      </c>
      <c r="B49" s="180"/>
      <c r="C49" s="190"/>
      <c r="D49" s="190"/>
      <c r="E49" s="190"/>
      <c r="F49" s="54"/>
      <c r="G49" s="191"/>
      <c r="H49" s="54"/>
      <c r="I49" s="54"/>
      <c r="J49" s="54"/>
      <c r="K49" s="54"/>
      <c r="L49" s="54"/>
      <c r="M49" s="54"/>
      <c r="N49" s="194"/>
      <c r="O49" s="190"/>
      <c r="P49" s="192"/>
      <c r="Q49" s="180" t="str">
        <f t="shared" si="2"/>
        <v/>
      </c>
      <c r="R49" s="180"/>
    </row>
    <row r="50" spans="1:18" x14ac:dyDescent="0.25">
      <c r="A50" s="12">
        <f t="shared" si="1"/>
        <v>48</v>
      </c>
      <c r="B50" s="180"/>
      <c r="C50" s="190"/>
      <c r="D50" s="190"/>
      <c r="E50" s="190"/>
      <c r="F50" s="54"/>
      <c r="G50" s="191"/>
      <c r="H50" s="54"/>
      <c r="I50" s="180"/>
      <c r="J50" s="180"/>
      <c r="K50" s="54"/>
      <c r="L50" s="180"/>
      <c r="M50" s="54"/>
      <c r="N50" s="194"/>
      <c r="O50" s="190"/>
      <c r="P50" s="192"/>
      <c r="Q50" s="180" t="str">
        <f t="shared" si="2"/>
        <v/>
      </c>
      <c r="R50" s="180"/>
    </row>
    <row r="51" spans="1:18" x14ac:dyDescent="0.25">
      <c r="A51" s="12">
        <f t="shared" si="1"/>
        <v>49</v>
      </c>
      <c r="B51" s="180"/>
      <c r="C51" s="190"/>
      <c r="D51" s="190"/>
      <c r="E51" s="190"/>
      <c r="F51" s="54"/>
      <c r="G51" s="191"/>
      <c r="H51" s="54"/>
      <c r="I51" s="180"/>
      <c r="J51" s="180"/>
      <c r="K51" s="180"/>
      <c r="L51" s="180"/>
      <c r="M51" s="54"/>
      <c r="N51" s="180"/>
      <c r="O51" s="190"/>
      <c r="P51" s="192"/>
      <c r="Q51" s="180" t="str">
        <f t="shared" si="2"/>
        <v/>
      </c>
      <c r="R51" s="180"/>
    </row>
    <row r="52" spans="1:18" x14ac:dyDescent="0.25">
      <c r="A52" s="12">
        <f t="shared" si="1"/>
        <v>50</v>
      </c>
      <c r="B52" s="180"/>
      <c r="C52" s="190"/>
      <c r="D52" s="190"/>
      <c r="E52" s="190"/>
      <c r="F52" s="54"/>
      <c r="G52" s="195"/>
      <c r="H52" s="54"/>
      <c r="I52" s="180"/>
      <c r="J52" s="180"/>
      <c r="K52" s="180"/>
      <c r="L52" s="180"/>
      <c r="M52" s="180"/>
      <c r="N52" s="180"/>
      <c r="O52" s="190"/>
      <c r="P52" s="192"/>
      <c r="Q52" s="180" t="str">
        <f t="shared" si="2"/>
        <v/>
      </c>
      <c r="R52" s="54"/>
    </row>
    <row r="53" spans="1:18" x14ac:dyDescent="0.25">
      <c r="A53" s="12">
        <f t="shared" si="1"/>
        <v>51</v>
      </c>
      <c r="B53" s="180"/>
      <c r="C53" s="190"/>
      <c r="D53" s="190"/>
      <c r="E53" s="190"/>
      <c r="F53" s="54"/>
      <c r="G53" s="191"/>
      <c r="H53" s="54"/>
      <c r="I53" s="180"/>
      <c r="J53" s="180"/>
      <c r="K53" s="180"/>
      <c r="L53" s="180"/>
      <c r="M53" s="180"/>
      <c r="N53" s="194"/>
      <c r="O53" s="190"/>
      <c r="P53" s="192"/>
      <c r="Q53" s="180" t="str">
        <f t="shared" si="2"/>
        <v/>
      </c>
      <c r="R53" s="196"/>
    </row>
    <row r="54" spans="1:18" x14ac:dyDescent="0.25">
      <c r="A54" s="12">
        <f t="shared" si="1"/>
        <v>52</v>
      </c>
      <c r="B54" s="180"/>
      <c r="C54" s="190"/>
      <c r="D54" s="190"/>
      <c r="E54" s="190"/>
      <c r="F54" s="54"/>
      <c r="G54" s="191"/>
      <c r="H54" s="54"/>
      <c r="I54" s="54"/>
      <c r="J54" s="54"/>
      <c r="K54" s="54"/>
      <c r="L54" s="54"/>
      <c r="M54" s="180"/>
      <c r="N54" s="180"/>
      <c r="O54" s="190"/>
      <c r="P54" s="192"/>
      <c r="Q54" s="180" t="str">
        <f t="shared" si="2"/>
        <v/>
      </c>
      <c r="R54" s="180"/>
    </row>
    <row r="55" spans="1:18" x14ac:dyDescent="0.25">
      <c r="A55" s="12">
        <f t="shared" si="1"/>
        <v>53</v>
      </c>
      <c r="B55" s="180"/>
      <c r="C55" s="190"/>
      <c r="D55" s="190"/>
      <c r="E55" s="190"/>
      <c r="F55" s="54"/>
      <c r="G55" s="191"/>
      <c r="H55" s="54"/>
      <c r="I55" s="180"/>
      <c r="J55" s="180"/>
      <c r="K55" s="54"/>
      <c r="L55" s="180"/>
      <c r="M55" s="180"/>
      <c r="N55" s="194"/>
      <c r="O55" s="190"/>
      <c r="P55" s="192"/>
      <c r="Q55" s="180" t="str">
        <f t="shared" si="2"/>
        <v/>
      </c>
      <c r="R55" s="180"/>
    </row>
    <row r="56" spans="1:18" x14ac:dyDescent="0.25">
      <c r="A56" s="12">
        <f t="shared" si="1"/>
        <v>54</v>
      </c>
      <c r="B56" s="180"/>
      <c r="C56" s="190"/>
      <c r="D56" s="190"/>
      <c r="E56" s="190"/>
      <c r="F56" s="54"/>
      <c r="G56" s="191"/>
      <c r="H56" s="54"/>
      <c r="I56" s="180"/>
      <c r="J56" s="180"/>
      <c r="K56" s="54"/>
      <c r="L56" s="180"/>
      <c r="M56" s="180"/>
      <c r="N56" s="180"/>
      <c r="O56" s="190"/>
      <c r="P56" s="192"/>
      <c r="Q56" s="180" t="str">
        <f t="shared" si="2"/>
        <v/>
      </c>
      <c r="R56" s="180"/>
    </row>
    <row r="57" spans="1:18" x14ac:dyDescent="0.25">
      <c r="A57" s="12">
        <f t="shared" si="1"/>
        <v>55</v>
      </c>
      <c r="B57" s="180"/>
      <c r="C57" s="190"/>
      <c r="D57" s="190"/>
      <c r="E57" s="190"/>
      <c r="F57" s="54"/>
      <c r="G57" s="191"/>
      <c r="H57" s="54"/>
      <c r="I57" s="180"/>
      <c r="J57" s="180"/>
      <c r="K57" s="54"/>
      <c r="L57" s="180"/>
      <c r="M57" s="180"/>
      <c r="N57" s="180"/>
      <c r="O57" s="190"/>
      <c r="P57" s="192"/>
      <c r="Q57" s="180" t="str">
        <f t="shared" si="2"/>
        <v/>
      </c>
      <c r="R57" s="180"/>
    </row>
    <row r="58" spans="1:18" x14ac:dyDescent="0.25">
      <c r="A58" s="12">
        <f t="shared" si="1"/>
        <v>56</v>
      </c>
      <c r="B58" s="180"/>
      <c r="C58" s="190"/>
      <c r="D58" s="190"/>
      <c r="E58" s="190"/>
      <c r="F58" s="54"/>
      <c r="G58" s="191"/>
      <c r="H58" s="54"/>
      <c r="I58" s="180"/>
      <c r="J58" s="180"/>
      <c r="K58" s="180"/>
      <c r="L58" s="180"/>
      <c r="M58" s="54"/>
      <c r="N58" s="180"/>
      <c r="O58" s="190"/>
      <c r="P58" s="192"/>
      <c r="Q58" s="180" t="str">
        <f t="shared" si="2"/>
        <v/>
      </c>
      <c r="R58" s="180"/>
    </row>
    <row r="59" spans="1:18" x14ac:dyDescent="0.25">
      <c r="A59" s="12">
        <f t="shared" si="1"/>
        <v>57</v>
      </c>
      <c r="B59" s="180"/>
      <c r="C59" s="190"/>
      <c r="D59" s="190"/>
      <c r="E59" s="190"/>
      <c r="F59" s="54"/>
      <c r="G59" s="191"/>
      <c r="H59" s="54"/>
      <c r="I59" s="180"/>
      <c r="J59" s="180"/>
      <c r="K59" s="54"/>
      <c r="L59" s="180"/>
      <c r="M59" s="54"/>
      <c r="N59" s="180"/>
      <c r="O59" s="190"/>
      <c r="P59" s="192"/>
      <c r="Q59" s="180" t="str">
        <f t="shared" si="2"/>
        <v/>
      </c>
      <c r="R59" s="180"/>
    </row>
    <row r="60" spans="1:18" x14ac:dyDescent="0.25">
      <c r="A60" s="12">
        <f t="shared" si="1"/>
        <v>58</v>
      </c>
      <c r="B60" s="180"/>
      <c r="C60" s="190"/>
      <c r="D60" s="190"/>
      <c r="E60" s="190"/>
      <c r="F60" s="54"/>
      <c r="G60" s="191"/>
      <c r="H60" s="54"/>
      <c r="I60" s="180"/>
      <c r="J60" s="180"/>
      <c r="K60" s="180"/>
      <c r="L60" s="180"/>
      <c r="M60" s="54"/>
      <c r="N60" s="180"/>
      <c r="O60" s="190"/>
      <c r="P60" s="192"/>
      <c r="Q60" s="180" t="str">
        <f t="shared" si="2"/>
        <v/>
      </c>
      <c r="R60" s="180"/>
    </row>
    <row r="61" spans="1:18" x14ac:dyDescent="0.25">
      <c r="A61" s="12">
        <f t="shared" si="1"/>
        <v>59</v>
      </c>
      <c r="B61" s="180"/>
      <c r="C61" s="180"/>
      <c r="D61" s="180"/>
      <c r="E61" s="180"/>
      <c r="F61" s="54"/>
      <c r="G61" s="191"/>
      <c r="H61" s="54"/>
      <c r="I61" s="180"/>
      <c r="J61" s="180"/>
      <c r="K61" s="180"/>
      <c r="L61" s="180"/>
      <c r="M61" s="180"/>
      <c r="N61" s="194"/>
      <c r="O61" s="190"/>
      <c r="P61" s="192"/>
      <c r="Q61" s="180" t="str">
        <f t="shared" si="2"/>
        <v/>
      </c>
      <c r="R61" s="180"/>
    </row>
    <row r="62" spans="1:18" x14ac:dyDescent="0.25">
      <c r="A62" s="12">
        <f t="shared" si="1"/>
        <v>60</v>
      </c>
      <c r="B62" s="180"/>
      <c r="C62" s="190"/>
      <c r="D62" s="190"/>
      <c r="E62" s="190"/>
      <c r="F62" s="54"/>
      <c r="G62" s="191"/>
      <c r="H62" s="54"/>
      <c r="I62" s="180"/>
      <c r="J62" s="180"/>
      <c r="K62" s="180"/>
      <c r="L62" s="180"/>
      <c r="M62" s="180"/>
      <c r="N62" s="180"/>
      <c r="O62" s="190"/>
      <c r="P62" s="192"/>
      <c r="Q62" s="180" t="str">
        <f t="shared" si="2"/>
        <v/>
      </c>
      <c r="R62" s="180"/>
    </row>
    <row r="63" spans="1:18" x14ac:dyDescent="0.25">
      <c r="A63" s="12">
        <f t="shared" si="1"/>
        <v>61</v>
      </c>
      <c r="B63" s="180"/>
      <c r="C63" s="190"/>
      <c r="D63" s="190"/>
      <c r="E63" s="190"/>
      <c r="F63" s="54"/>
      <c r="G63" s="191"/>
      <c r="H63" s="54"/>
      <c r="I63" s="180"/>
      <c r="J63" s="180"/>
      <c r="K63" s="180"/>
      <c r="L63" s="180"/>
      <c r="M63" s="180"/>
      <c r="N63" s="180"/>
      <c r="O63" s="190"/>
      <c r="P63" s="192"/>
      <c r="Q63" s="180" t="str">
        <f t="shared" si="2"/>
        <v/>
      </c>
      <c r="R63" s="180"/>
    </row>
    <row r="64" spans="1:18" x14ac:dyDescent="0.25">
      <c r="A64" s="12">
        <f t="shared" si="1"/>
        <v>62</v>
      </c>
      <c r="B64" s="180"/>
      <c r="C64" s="190"/>
      <c r="D64" s="190"/>
      <c r="E64" s="190"/>
      <c r="F64" s="54"/>
      <c r="G64" s="191"/>
      <c r="H64" s="54"/>
      <c r="I64" s="180"/>
      <c r="J64" s="180"/>
      <c r="K64" s="180"/>
      <c r="L64" s="180"/>
      <c r="M64" s="180"/>
      <c r="N64" s="180"/>
      <c r="O64" s="190"/>
      <c r="P64" s="192"/>
      <c r="Q64" s="180" t="str">
        <f t="shared" si="2"/>
        <v/>
      </c>
      <c r="R64" s="180"/>
    </row>
    <row r="65" spans="1:18" x14ac:dyDescent="0.25">
      <c r="A65" s="12">
        <f t="shared" si="1"/>
        <v>63</v>
      </c>
      <c r="B65" s="180"/>
      <c r="C65" s="190"/>
      <c r="D65" s="190"/>
      <c r="E65" s="190"/>
      <c r="F65" s="54"/>
      <c r="G65" s="191"/>
      <c r="H65" s="54"/>
      <c r="I65" s="180"/>
      <c r="J65" s="180"/>
      <c r="K65" s="180"/>
      <c r="L65" s="180"/>
      <c r="M65" s="180"/>
      <c r="N65" s="194"/>
      <c r="O65" s="190"/>
      <c r="P65" s="192"/>
      <c r="Q65" s="180" t="str">
        <f t="shared" si="2"/>
        <v/>
      </c>
      <c r="R65" s="180"/>
    </row>
    <row r="66" spans="1:18" x14ac:dyDescent="0.25">
      <c r="A66" s="12">
        <f t="shared" si="1"/>
        <v>64</v>
      </c>
      <c r="B66" s="180"/>
      <c r="C66" s="190"/>
      <c r="D66" s="190"/>
      <c r="E66" s="190"/>
      <c r="F66" s="54"/>
      <c r="G66" s="191"/>
      <c r="H66" s="54"/>
      <c r="I66" s="180"/>
      <c r="J66" s="180"/>
      <c r="K66" s="180"/>
      <c r="L66" s="180"/>
      <c r="M66" s="180"/>
      <c r="N66" s="194"/>
      <c r="O66" s="190"/>
      <c r="P66" s="192"/>
      <c r="Q66" s="180" t="str">
        <f t="shared" si="2"/>
        <v/>
      </c>
      <c r="R66" s="180"/>
    </row>
    <row r="67" spans="1:18" x14ac:dyDescent="0.25">
      <c r="A67" s="12">
        <f t="shared" si="1"/>
        <v>65</v>
      </c>
      <c r="B67" s="180"/>
      <c r="C67" s="190"/>
      <c r="D67" s="190"/>
      <c r="E67" s="190"/>
      <c r="F67" s="54"/>
      <c r="G67" s="191"/>
      <c r="H67" s="54"/>
      <c r="I67" s="180"/>
      <c r="J67" s="180"/>
      <c r="K67" s="180"/>
      <c r="L67" s="180"/>
      <c r="M67" s="180"/>
      <c r="N67" s="180"/>
      <c r="O67" s="190"/>
      <c r="P67" s="192"/>
      <c r="Q67" s="180" t="str">
        <f t="shared" si="2"/>
        <v/>
      </c>
      <c r="R67" s="180"/>
    </row>
    <row r="68" spans="1:18" x14ac:dyDescent="0.25">
      <c r="A68" s="12">
        <f t="shared" ref="A68:A105" si="3">ROW()-2</f>
        <v>66</v>
      </c>
      <c r="B68" s="180"/>
      <c r="C68" s="190"/>
      <c r="D68" s="190"/>
      <c r="E68" s="190"/>
      <c r="F68" s="54"/>
      <c r="G68" s="191"/>
      <c r="H68" s="54"/>
      <c r="I68" s="180"/>
      <c r="J68" s="180"/>
      <c r="K68" s="180"/>
      <c r="L68" s="180"/>
      <c r="M68" s="180"/>
      <c r="N68" s="180"/>
      <c r="O68" s="190"/>
      <c r="P68" s="192"/>
      <c r="Q68" s="180" t="str">
        <f t="shared" ref="Q68:Q105" si="4">IF(ISERROR(CONCATENATE(ROUND((IF(ISBLANK(P68),0,P68)-IF(ISBLANK(G68),0,G68))/IF(ISBLANK(G68),0,G68),4)*100,"%")),"",CONCATENATE(ROUND((IF(ISBLANK(P68),0,P68)-IF(ISBLANK(G68),0,G68))/IF(ISBLANK(G68),0,G68),4)*100,"%"))</f>
        <v/>
      </c>
      <c r="R68" s="180"/>
    </row>
    <row r="69" spans="1:18" x14ac:dyDescent="0.25">
      <c r="A69" s="12">
        <f t="shared" si="3"/>
        <v>67</v>
      </c>
      <c r="B69" s="180"/>
      <c r="C69" s="190"/>
      <c r="D69" s="190"/>
      <c r="E69" s="190"/>
      <c r="F69" s="54"/>
      <c r="G69" s="191"/>
      <c r="H69" s="54"/>
      <c r="I69" s="180"/>
      <c r="J69" s="180"/>
      <c r="K69" s="180"/>
      <c r="L69" s="180"/>
      <c r="M69" s="180"/>
      <c r="N69" s="194"/>
      <c r="O69" s="190"/>
      <c r="P69" s="192"/>
      <c r="Q69" s="180" t="str">
        <f t="shared" si="4"/>
        <v/>
      </c>
      <c r="R69" s="180"/>
    </row>
    <row r="70" spans="1:18" x14ac:dyDescent="0.25">
      <c r="A70" s="12">
        <f t="shared" si="3"/>
        <v>68</v>
      </c>
      <c r="B70" s="180"/>
      <c r="C70" s="190"/>
      <c r="D70" s="190"/>
      <c r="E70" s="190"/>
      <c r="F70" s="54"/>
      <c r="G70" s="191"/>
      <c r="H70" s="54"/>
      <c r="I70" s="180"/>
      <c r="J70" s="180"/>
      <c r="K70" s="180"/>
      <c r="L70" s="180"/>
      <c r="M70" s="180"/>
      <c r="N70" s="194"/>
      <c r="O70" s="190"/>
      <c r="P70" s="192"/>
      <c r="Q70" s="180" t="str">
        <f t="shared" si="4"/>
        <v/>
      </c>
      <c r="R70" s="180"/>
    </row>
    <row r="71" spans="1:18" x14ac:dyDescent="0.25">
      <c r="A71" s="12">
        <f t="shared" si="3"/>
        <v>69</v>
      </c>
      <c r="B71" s="180"/>
      <c r="C71" s="190"/>
      <c r="D71" s="190"/>
      <c r="E71" s="190"/>
      <c r="F71" s="54"/>
      <c r="G71" s="191"/>
      <c r="H71" s="54"/>
      <c r="I71" s="180"/>
      <c r="J71" s="180"/>
      <c r="K71" s="194"/>
      <c r="L71" s="180"/>
      <c r="M71" s="180"/>
      <c r="N71" s="194"/>
      <c r="O71" s="190"/>
      <c r="P71" s="192"/>
      <c r="Q71" s="180" t="str">
        <f t="shared" si="4"/>
        <v/>
      </c>
      <c r="R71" s="180"/>
    </row>
    <row r="72" spans="1:18" x14ac:dyDescent="0.25">
      <c r="A72" s="12">
        <f t="shared" si="3"/>
        <v>70</v>
      </c>
      <c r="B72" s="180"/>
      <c r="C72" s="190"/>
      <c r="D72" s="190"/>
      <c r="E72" s="190"/>
      <c r="F72" s="54"/>
      <c r="G72" s="191"/>
      <c r="H72" s="54"/>
      <c r="I72" s="180"/>
      <c r="J72" s="180"/>
      <c r="K72" s="180"/>
      <c r="L72" s="180"/>
      <c r="M72" s="180"/>
      <c r="N72" s="194"/>
      <c r="O72" s="190"/>
      <c r="P72" s="192"/>
      <c r="Q72" s="180" t="str">
        <f t="shared" si="4"/>
        <v/>
      </c>
      <c r="R72" s="180"/>
    </row>
    <row r="73" spans="1:18" x14ac:dyDescent="0.25">
      <c r="A73" s="12">
        <f t="shared" si="3"/>
        <v>71</v>
      </c>
      <c r="B73" s="180"/>
      <c r="C73" s="190"/>
      <c r="D73" s="190"/>
      <c r="E73" s="190"/>
      <c r="F73" s="54"/>
      <c r="G73" s="191"/>
      <c r="H73" s="54"/>
      <c r="I73" s="180"/>
      <c r="J73" s="180"/>
      <c r="K73" s="180"/>
      <c r="L73" s="180"/>
      <c r="M73" s="180"/>
      <c r="N73" s="180"/>
      <c r="O73" s="190"/>
      <c r="P73" s="192"/>
      <c r="Q73" s="180" t="str">
        <f t="shared" si="4"/>
        <v/>
      </c>
      <c r="R73" s="180"/>
    </row>
    <row r="74" spans="1:18" x14ac:dyDescent="0.25">
      <c r="A74" s="12">
        <f t="shared" si="3"/>
        <v>72</v>
      </c>
      <c r="B74" s="180"/>
      <c r="C74" s="190"/>
      <c r="D74" s="190"/>
      <c r="E74" s="190"/>
      <c r="F74" s="54"/>
      <c r="G74" s="191"/>
      <c r="H74" s="54"/>
      <c r="I74" s="180"/>
      <c r="J74" s="180"/>
      <c r="K74" s="180"/>
      <c r="L74" s="180"/>
      <c r="M74" s="180"/>
      <c r="N74" s="180"/>
      <c r="O74" s="190"/>
      <c r="P74" s="192"/>
      <c r="Q74" s="180" t="str">
        <f t="shared" si="4"/>
        <v/>
      </c>
      <c r="R74" s="180"/>
    </row>
    <row r="75" spans="1:18" x14ac:dyDescent="0.25">
      <c r="A75" s="12">
        <f t="shared" si="3"/>
        <v>73</v>
      </c>
      <c r="B75" s="180"/>
      <c r="C75" s="190"/>
      <c r="D75" s="190"/>
      <c r="E75" s="190"/>
      <c r="F75" s="54"/>
      <c r="G75" s="195"/>
      <c r="H75" s="54"/>
      <c r="I75" s="180"/>
      <c r="J75" s="180"/>
      <c r="K75" s="180"/>
      <c r="L75" s="180"/>
      <c r="M75" s="180"/>
      <c r="N75" s="180"/>
      <c r="O75" s="190"/>
      <c r="P75" s="192"/>
      <c r="Q75" s="180" t="str">
        <f t="shared" si="4"/>
        <v/>
      </c>
      <c r="R75" s="180"/>
    </row>
    <row r="76" spans="1:18" x14ac:dyDescent="0.25">
      <c r="A76" s="12">
        <f t="shared" si="3"/>
        <v>74</v>
      </c>
      <c r="B76" s="180"/>
      <c r="C76" s="190"/>
      <c r="D76" s="190"/>
      <c r="E76" s="190"/>
      <c r="F76" s="54"/>
      <c r="G76" s="191"/>
      <c r="H76" s="54"/>
      <c r="I76" s="180"/>
      <c r="J76" s="180"/>
      <c r="K76" s="180"/>
      <c r="L76" s="180"/>
      <c r="M76" s="180"/>
      <c r="N76" s="194"/>
      <c r="O76" s="190"/>
      <c r="P76" s="192"/>
      <c r="Q76" s="180" t="str">
        <f t="shared" si="4"/>
        <v/>
      </c>
      <c r="R76" s="180"/>
    </row>
    <row r="77" spans="1:18" x14ac:dyDescent="0.25">
      <c r="A77" s="12">
        <f t="shared" si="3"/>
        <v>75</v>
      </c>
      <c r="B77" s="180"/>
      <c r="C77" s="190"/>
      <c r="D77" s="190"/>
      <c r="E77" s="190"/>
      <c r="F77" s="54"/>
      <c r="G77" s="191"/>
      <c r="H77" s="54"/>
      <c r="I77" s="180"/>
      <c r="J77" s="180"/>
      <c r="K77" s="180"/>
      <c r="L77" s="180"/>
      <c r="M77" s="180"/>
      <c r="N77" s="194"/>
      <c r="O77" s="190"/>
      <c r="P77" s="192"/>
      <c r="Q77" s="180" t="str">
        <f t="shared" si="4"/>
        <v/>
      </c>
      <c r="R77" s="180"/>
    </row>
    <row r="78" spans="1:18" x14ac:dyDescent="0.25">
      <c r="A78" s="12">
        <f t="shared" si="3"/>
        <v>76</v>
      </c>
      <c r="B78" s="180"/>
      <c r="C78" s="190"/>
      <c r="D78" s="190"/>
      <c r="E78" s="190"/>
      <c r="F78" s="54"/>
      <c r="G78" s="191"/>
      <c r="H78" s="54"/>
      <c r="I78" s="180"/>
      <c r="J78" s="180"/>
      <c r="K78" s="180"/>
      <c r="L78" s="180"/>
      <c r="M78" s="180"/>
      <c r="N78" s="180"/>
      <c r="O78" s="190"/>
      <c r="P78" s="192"/>
      <c r="Q78" s="180" t="str">
        <f t="shared" si="4"/>
        <v/>
      </c>
      <c r="R78" s="180"/>
    </row>
    <row r="79" spans="1:18" x14ac:dyDescent="0.25">
      <c r="A79" s="12">
        <f t="shared" si="3"/>
        <v>77</v>
      </c>
      <c r="B79" s="180"/>
      <c r="C79" s="190"/>
      <c r="D79" s="190"/>
      <c r="E79" s="190"/>
      <c r="F79" s="54"/>
      <c r="G79" s="191"/>
      <c r="H79" s="54"/>
      <c r="I79" s="180"/>
      <c r="J79" s="180"/>
      <c r="K79" s="180"/>
      <c r="L79" s="180"/>
      <c r="M79" s="180"/>
      <c r="N79" s="180"/>
      <c r="O79" s="190"/>
      <c r="P79" s="192"/>
      <c r="Q79" s="180" t="str">
        <f t="shared" si="4"/>
        <v/>
      </c>
      <c r="R79" s="180"/>
    </row>
    <row r="80" spans="1:18" x14ac:dyDescent="0.25">
      <c r="A80" s="12">
        <f t="shared" si="3"/>
        <v>78</v>
      </c>
      <c r="B80" s="180"/>
      <c r="C80" s="190"/>
      <c r="D80" s="190"/>
      <c r="E80" s="190"/>
      <c r="F80" s="54"/>
      <c r="G80" s="191"/>
      <c r="H80" s="54"/>
      <c r="I80" s="180"/>
      <c r="J80" s="180"/>
      <c r="K80" s="180"/>
      <c r="L80" s="180"/>
      <c r="M80" s="180"/>
      <c r="N80" s="180"/>
      <c r="O80" s="190"/>
      <c r="P80" s="192"/>
      <c r="Q80" s="180" t="str">
        <f t="shared" si="4"/>
        <v/>
      </c>
      <c r="R80" s="180"/>
    </row>
    <row r="81" spans="1:18" x14ac:dyDescent="0.25">
      <c r="A81" s="12">
        <f t="shared" si="3"/>
        <v>79</v>
      </c>
      <c r="B81" s="180"/>
      <c r="C81" s="190"/>
      <c r="D81" s="190"/>
      <c r="E81" s="190"/>
      <c r="F81" s="54"/>
      <c r="G81" s="191"/>
      <c r="H81" s="54"/>
      <c r="I81" s="180"/>
      <c r="J81" s="180"/>
      <c r="K81" s="180"/>
      <c r="L81" s="180"/>
      <c r="M81" s="180"/>
      <c r="N81" s="180"/>
      <c r="O81" s="190"/>
      <c r="P81" s="192"/>
      <c r="Q81" s="180" t="str">
        <f t="shared" si="4"/>
        <v/>
      </c>
      <c r="R81" s="180"/>
    </row>
    <row r="82" spans="1:18" x14ac:dyDescent="0.25">
      <c r="A82" s="12">
        <f t="shared" si="3"/>
        <v>80</v>
      </c>
      <c r="B82" s="180"/>
      <c r="C82" s="190"/>
      <c r="D82" s="190"/>
      <c r="E82" s="190"/>
      <c r="F82" s="54"/>
      <c r="G82" s="191"/>
      <c r="H82" s="54"/>
      <c r="I82" s="180"/>
      <c r="J82" s="180"/>
      <c r="K82" s="180"/>
      <c r="L82" s="180"/>
      <c r="M82" s="180"/>
      <c r="N82" s="194"/>
      <c r="O82" s="190"/>
      <c r="P82" s="192"/>
      <c r="Q82" s="180" t="str">
        <f t="shared" si="4"/>
        <v/>
      </c>
      <c r="R82" s="180"/>
    </row>
    <row r="83" spans="1:18" x14ac:dyDescent="0.25">
      <c r="A83" s="12">
        <f t="shared" si="3"/>
        <v>81</v>
      </c>
      <c r="B83" s="180"/>
      <c r="C83" s="190"/>
      <c r="D83" s="190"/>
      <c r="E83" s="190"/>
      <c r="F83" s="54"/>
      <c r="G83" s="191"/>
      <c r="H83" s="54"/>
      <c r="I83" s="180"/>
      <c r="J83" s="180"/>
      <c r="K83" s="180"/>
      <c r="L83" s="180"/>
      <c r="M83" s="180"/>
      <c r="N83" s="194"/>
      <c r="O83" s="190"/>
      <c r="P83" s="192"/>
      <c r="Q83" s="180" t="str">
        <f t="shared" si="4"/>
        <v/>
      </c>
      <c r="R83" s="180"/>
    </row>
    <row r="84" spans="1:18" x14ac:dyDescent="0.25">
      <c r="A84" s="12">
        <f t="shared" si="3"/>
        <v>82</v>
      </c>
      <c r="B84" s="180"/>
      <c r="C84" s="190"/>
      <c r="D84" s="190"/>
      <c r="E84" s="190"/>
      <c r="F84" s="54"/>
      <c r="G84" s="191"/>
      <c r="H84" s="54"/>
      <c r="I84" s="180"/>
      <c r="J84" s="180"/>
      <c r="K84" s="180"/>
      <c r="L84" s="180"/>
      <c r="M84" s="180"/>
      <c r="N84" s="194"/>
      <c r="O84" s="190"/>
      <c r="P84" s="192"/>
      <c r="Q84" s="180" t="str">
        <f t="shared" si="4"/>
        <v/>
      </c>
      <c r="R84" s="180"/>
    </row>
    <row r="85" spans="1:18" x14ac:dyDescent="0.25">
      <c r="A85" s="12">
        <f t="shared" si="3"/>
        <v>83</v>
      </c>
      <c r="B85" s="180"/>
      <c r="C85" s="190"/>
      <c r="D85" s="190"/>
      <c r="E85" s="190"/>
      <c r="F85" s="54"/>
      <c r="G85" s="191"/>
      <c r="H85" s="54"/>
      <c r="I85" s="180"/>
      <c r="J85" s="180"/>
      <c r="K85" s="180"/>
      <c r="L85" s="180"/>
      <c r="M85" s="180"/>
      <c r="N85" s="180"/>
      <c r="O85" s="190"/>
      <c r="P85" s="192"/>
      <c r="Q85" s="180" t="str">
        <f t="shared" si="4"/>
        <v/>
      </c>
      <c r="R85" s="180"/>
    </row>
    <row r="86" spans="1:18" x14ac:dyDescent="0.25">
      <c r="A86" s="12">
        <f t="shared" si="3"/>
        <v>84</v>
      </c>
      <c r="B86" s="180"/>
      <c r="C86" s="190"/>
      <c r="D86" s="190"/>
      <c r="E86" s="190"/>
      <c r="F86" s="54"/>
      <c r="G86" s="191"/>
      <c r="H86" s="54"/>
      <c r="I86" s="180"/>
      <c r="J86" s="180"/>
      <c r="K86" s="180"/>
      <c r="L86" s="180"/>
      <c r="M86" s="180"/>
      <c r="N86" s="180"/>
      <c r="O86" s="190"/>
      <c r="P86" s="192"/>
      <c r="Q86" s="180" t="str">
        <f t="shared" si="4"/>
        <v/>
      </c>
      <c r="R86" s="180"/>
    </row>
    <row r="87" spans="1:18" x14ac:dyDescent="0.25">
      <c r="A87" s="12">
        <f t="shared" si="3"/>
        <v>85</v>
      </c>
      <c r="B87" s="180"/>
      <c r="C87" s="190"/>
      <c r="D87" s="190"/>
      <c r="E87" s="190"/>
      <c r="F87" s="54"/>
      <c r="G87" s="191"/>
      <c r="H87" s="54"/>
      <c r="I87" s="180"/>
      <c r="J87" s="180"/>
      <c r="K87" s="180"/>
      <c r="L87" s="180"/>
      <c r="M87" s="180"/>
      <c r="N87" s="180"/>
      <c r="O87" s="190"/>
      <c r="P87" s="192"/>
      <c r="Q87" s="180" t="str">
        <f t="shared" si="4"/>
        <v/>
      </c>
      <c r="R87" s="180"/>
    </row>
    <row r="88" spans="1:18" x14ac:dyDescent="0.25">
      <c r="A88" s="12">
        <f t="shared" si="3"/>
        <v>86</v>
      </c>
      <c r="B88" s="180"/>
      <c r="C88" s="190"/>
      <c r="D88" s="190"/>
      <c r="E88" s="190"/>
      <c r="F88" s="54"/>
      <c r="G88" s="191"/>
      <c r="H88" s="54"/>
      <c r="I88" s="180"/>
      <c r="J88" s="180"/>
      <c r="K88" s="180"/>
      <c r="L88" s="180"/>
      <c r="M88" s="180"/>
      <c r="N88" s="180"/>
      <c r="O88" s="190"/>
      <c r="P88" s="192"/>
      <c r="Q88" s="180" t="str">
        <f t="shared" si="4"/>
        <v/>
      </c>
      <c r="R88" s="180"/>
    </row>
    <row r="89" spans="1:18" x14ac:dyDescent="0.25">
      <c r="A89" s="12">
        <f t="shared" si="3"/>
        <v>87</v>
      </c>
      <c r="B89" s="180"/>
      <c r="C89" s="190"/>
      <c r="D89" s="190"/>
      <c r="E89" s="190"/>
      <c r="F89" s="54"/>
      <c r="G89" s="191"/>
      <c r="H89" s="54"/>
      <c r="I89" s="180"/>
      <c r="J89" s="180"/>
      <c r="K89" s="180"/>
      <c r="L89" s="180"/>
      <c r="M89" s="180"/>
      <c r="N89" s="194"/>
      <c r="O89" s="190"/>
      <c r="P89" s="192"/>
      <c r="Q89" s="180" t="str">
        <f t="shared" si="4"/>
        <v/>
      </c>
      <c r="R89" s="180"/>
    </row>
    <row r="90" spans="1:18" x14ac:dyDescent="0.25">
      <c r="A90" s="12">
        <f t="shared" si="3"/>
        <v>88</v>
      </c>
      <c r="B90" s="180"/>
      <c r="C90" s="190"/>
      <c r="D90" s="190"/>
      <c r="E90" s="190"/>
      <c r="F90" s="54"/>
      <c r="G90" s="191"/>
      <c r="H90" s="54"/>
      <c r="I90" s="180"/>
      <c r="J90" s="180"/>
      <c r="K90" s="180"/>
      <c r="L90" s="180"/>
      <c r="M90" s="180"/>
      <c r="N90" s="180"/>
      <c r="O90" s="190"/>
      <c r="P90" s="192"/>
      <c r="Q90" s="180" t="str">
        <f t="shared" si="4"/>
        <v/>
      </c>
      <c r="R90" s="180"/>
    </row>
    <row r="91" spans="1:18" x14ac:dyDescent="0.25">
      <c r="A91" s="12">
        <f t="shared" si="3"/>
        <v>89</v>
      </c>
      <c r="B91" s="31"/>
      <c r="C91" s="32"/>
      <c r="D91" s="32"/>
      <c r="E91" s="32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5"/>
      <c r="Q91" s="180" t="str">
        <f t="shared" si="4"/>
        <v/>
      </c>
      <c r="R91" s="31"/>
    </row>
    <row r="92" spans="1:18" x14ac:dyDescent="0.25">
      <c r="A92" s="12">
        <f t="shared" si="3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5"/>
      <c r="Q92" s="180" t="str">
        <f t="shared" si="4"/>
        <v/>
      </c>
      <c r="R92" s="31"/>
    </row>
    <row r="93" spans="1:18" x14ac:dyDescent="0.25">
      <c r="A93" s="12">
        <f t="shared" si="3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5"/>
      <c r="Q93" s="180" t="str">
        <f t="shared" si="4"/>
        <v/>
      </c>
      <c r="R93" s="31"/>
    </row>
    <row r="94" spans="1:18" x14ac:dyDescent="0.25">
      <c r="A94" s="12">
        <f t="shared" si="3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5"/>
      <c r="Q94" s="180" t="str">
        <f t="shared" si="4"/>
        <v/>
      </c>
      <c r="R94" s="31"/>
    </row>
    <row r="95" spans="1:18" x14ac:dyDescent="0.25">
      <c r="A95" s="12">
        <f t="shared" si="3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5"/>
      <c r="Q95" s="180" t="str">
        <f t="shared" si="4"/>
        <v/>
      </c>
      <c r="R95" s="31"/>
    </row>
    <row r="96" spans="1:18" x14ac:dyDescent="0.25">
      <c r="A96" s="12">
        <f t="shared" si="3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5"/>
      <c r="Q96" s="180" t="str">
        <f t="shared" si="4"/>
        <v/>
      </c>
      <c r="R96" s="31"/>
    </row>
    <row r="97" spans="1:18" x14ac:dyDescent="0.25">
      <c r="A97" s="12">
        <f t="shared" si="3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5"/>
      <c r="Q97" s="180" t="str">
        <f t="shared" si="4"/>
        <v/>
      </c>
      <c r="R97" s="31"/>
    </row>
    <row r="98" spans="1:18" x14ac:dyDescent="0.25">
      <c r="A98" s="12">
        <f t="shared" si="3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5"/>
      <c r="Q98" s="180" t="str">
        <f t="shared" si="4"/>
        <v/>
      </c>
      <c r="R98" s="31"/>
    </row>
    <row r="99" spans="1:18" x14ac:dyDescent="0.25">
      <c r="A99" s="12">
        <f t="shared" si="3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5"/>
      <c r="Q99" s="180" t="str">
        <f t="shared" si="4"/>
        <v/>
      </c>
      <c r="R99" s="31"/>
    </row>
    <row r="100" spans="1:18" x14ac:dyDescent="0.25">
      <c r="A100" s="12">
        <f t="shared" si="3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5"/>
      <c r="Q100" s="180" t="str">
        <f t="shared" si="4"/>
        <v/>
      </c>
      <c r="R100" s="31"/>
    </row>
    <row r="101" spans="1:18" x14ac:dyDescent="0.25">
      <c r="A101" s="12">
        <f t="shared" si="3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5"/>
      <c r="Q101" s="180" t="str">
        <f t="shared" si="4"/>
        <v/>
      </c>
      <c r="R101" s="31"/>
    </row>
    <row r="102" spans="1:18" x14ac:dyDescent="0.25">
      <c r="A102" s="12">
        <f t="shared" si="3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5"/>
      <c r="Q102" s="180" t="str">
        <f t="shared" si="4"/>
        <v/>
      </c>
      <c r="R102" s="31"/>
    </row>
    <row r="103" spans="1:18" x14ac:dyDescent="0.25">
      <c r="A103" s="12">
        <f t="shared" si="3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5"/>
      <c r="Q103" s="180" t="str">
        <f t="shared" si="4"/>
        <v/>
      </c>
      <c r="R103" s="31"/>
    </row>
    <row r="104" spans="1:18" x14ac:dyDescent="0.25">
      <c r="A104" s="12">
        <f t="shared" si="3"/>
        <v>102</v>
      </c>
      <c r="B104" s="31"/>
      <c r="C104" s="31"/>
      <c r="D104" s="31"/>
      <c r="E104" s="31"/>
      <c r="F104" s="28"/>
      <c r="G104" s="33"/>
      <c r="H104" s="28"/>
      <c r="I104" s="31"/>
      <c r="J104" s="31"/>
      <c r="K104" s="31"/>
      <c r="L104" s="31"/>
      <c r="M104" s="31"/>
      <c r="N104" s="31"/>
      <c r="O104" s="32"/>
      <c r="P104" s="35"/>
      <c r="Q104" s="180" t="str">
        <f t="shared" si="4"/>
        <v/>
      </c>
      <c r="R104" s="31"/>
    </row>
    <row r="105" spans="1:18" x14ac:dyDescent="0.25">
      <c r="A105" s="12">
        <f t="shared" si="3"/>
        <v>103</v>
      </c>
      <c r="B105" s="31"/>
      <c r="C105" s="31"/>
      <c r="D105" s="31"/>
      <c r="E105" s="31"/>
      <c r="F105" s="28"/>
      <c r="G105" s="33"/>
      <c r="H105" s="28"/>
      <c r="I105" s="31"/>
      <c r="J105" s="31"/>
      <c r="K105" s="31"/>
      <c r="L105" s="31"/>
      <c r="M105" s="31"/>
      <c r="N105" s="31"/>
      <c r="O105" s="32"/>
      <c r="P105" s="35"/>
      <c r="Q105" s="180" t="str">
        <f t="shared" si="4"/>
        <v/>
      </c>
      <c r="R105" s="31"/>
    </row>
  </sheetData>
  <mergeCells count="1">
    <mergeCell ref="A1:B1"/>
  </mergeCells>
  <phoneticPr fontId="2"/>
  <conditionalFormatting sqref="H2:H1048576">
    <cfRule type="cellIs" dxfId="44" priority="7" operator="lessThan">
      <formula>"D"</formula>
    </cfRule>
    <cfRule type="cellIs" dxfId="43" priority="8" operator="equal">
      <formula>"D"</formula>
    </cfRule>
  </conditionalFormatting>
  <conditionalFormatting sqref="A1:G1 I1:XFD1 A76:D76 A77:B78 F76:P76 G77:P78 A2:XFD2 A106:XFD1048576 A79:P105 Q3:XFD105 A3:P75">
    <cfRule type="expression" dxfId="42" priority="6">
      <formula>CELL("ROW")=ROW()</formula>
    </cfRule>
  </conditionalFormatting>
  <conditionalFormatting sqref="E76">
    <cfRule type="expression" dxfId="41" priority="5">
      <formula>CELL("ROW")=ROW()</formula>
    </cfRule>
  </conditionalFormatting>
  <conditionalFormatting sqref="C77:D77 F77">
    <cfRule type="expression" dxfId="40" priority="4">
      <formula>CELL("ROW")=ROW()</formula>
    </cfRule>
  </conditionalFormatting>
  <conditionalFormatting sqref="E77">
    <cfRule type="expression" dxfId="39" priority="3">
      <formula>CELL("ROW")=ROW()</formula>
    </cfRule>
  </conditionalFormatting>
  <conditionalFormatting sqref="C78:D78 F78">
    <cfRule type="expression" dxfId="38" priority="2">
      <formula>CELL("ROW")=ROW()</formula>
    </cfRule>
  </conditionalFormatting>
  <conditionalFormatting sqref="E78">
    <cfRule type="expression" dxfId="37" priority="1">
      <formula>CELL("ROW")=ROW()</formula>
    </cfRule>
  </conditionalFormatting>
  <dataValidations count="3">
    <dataValidation type="list" allowBlank="1" showInputMessage="1" showErrorMessage="1" sqref="H3:H105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5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W14"/>
  <sheetViews>
    <sheetView zoomScale="70" zoomScaleNormal="70" workbookViewId="0">
      <pane xSplit="2" ySplit="2" topLeftCell="C3" activePane="bottomRight" state="frozen"/>
      <selection activeCell="U183" sqref="U183"/>
      <selection pane="topRight" activeCell="U183" sqref="U183"/>
      <selection pane="bottomLeft" activeCell="U183" sqref="U183"/>
      <selection pane="bottomRight" activeCell="H21" sqref="H21"/>
    </sheetView>
  </sheetViews>
  <sheetFormatPr defaultColWidth="8" defaultRowHeight="15.75" x14ac:dyDescent="0.25"/>
  <cols>
    <col min="1" max="1" width="5" style="70" bestFit="1" customWidth="1"/>
    <col min="2" max="2" width="24.109375" style="12" bestFit="1" customWidth="1"/>
    <col min="3" max="3" width="8.33203125" style="18" bestFit="1" customWidth="1"/>
    <col min="4" max="5" width="12.6640625" style="15" bestFit="1" customWidth="1"/>
    <col min="6" max="6" width="10.5546875" style="17" customWidth="1"/>
    <col min="7" max="7" width="9.5546875" style="18" customWidth="1"/>
    <col min="8" max="8" width="12.21875" style="71" bestFit="1" customWidth="1"/>
    <col min="9" max="9" width="8.33203125" style="37" bestFit="1" customWidth="1"/>
    <col min="10" max="10" width="8.33203125" style="37" customWidth="1"/>
    <col min="11" max="11" width="9.88671875" style="12" customWidth="1"/>
    <col min="12" max="12" width="8.33203125" style="12" bestFit="1" customWidth="1"/>
    <col min="13" max="13" width="11.109375" style="12" bestFit="1" customWidth="1"/>
    <col min="14" max="15" width="6.6640625" style="12" bestFit="1" customWidth="1"/>
    <col min="16" max="16" width="12.109375" style="72" bestFit="1" customWidth="1"/>
    <col min="17" max="17" width="13.21875" style="12" bestFit="1" customWidth="1"/>
    <col min="18" max="19" width="10.21875" style="15" bestFit="1" customWidth="1"/>
    <col min="20" max="20" width="8.6640625" style="15" customWidth="1"/>
    <col min="21" max="21" width="10.21875" style="15" bestFit="1" customWidth="1"/>
    <col min="22" max="22" width="10" style="39" bestFit="1" customWidth="1"/>
    <col min="23" max="23" width="11.6640625" style="39" bestFit="1" customWidth="1"/>
    <col min="24" max="25" width="8" style="39"/>
    <col min="26" max="26" width="11.88671875" style="39" bestFit="1" customWidth="1"/>
    <col min="27" max="27" width="7.6640625" style="39" bestFit="1" customWidth="1"/>
    <col min="28" max="28" width="8.33203125" style="39" bestFit="1" customWidth="1"/>
    <col min="29" max="16384" width="8" style="39"/>
  </cols>
  <sheetData>
    <row r="1" spans="1:23" ht="17.25" customHeight="1" x14ac:dyDescent="0.25">
      <c r="A1" s="210" t="s">
        <v>70</v>
      </c>
      <c r="B1" s="210"/>
      <c r="E1" s="36" t="s">
        <v>71</v>
      </c>
      <c r="F1" s="39"/>
      <c r="G1" s="39"/>
      <c r="H1" s="182" t="s">
        <v>72</v>
      </c>
      <c r="J1" s="39"/>
      <c r="K1" s="39"/>
      <c r="L1" s="39"/>
      <c r="M1" s="39"/>
      <c r="O1" s="39"/>
      <c r="P1" s="39"/>
      <c r="Q1" s="39"/>
      <c r="R1" s="39"/>
      <c r="S1" s="141" t="s">
        <v>73</v>
      </c>
      <c r="T1" s="38"/>
    </row>
    <row r="2" spans="1:23" ht="16.5" thickBot="1" x14ac:dyDescent="0.3">
      <c r="A2" s="109" t="s">
        <v>23</v>
      </c>
      <c r="B2" s="109" t="s">
        <v>17</v>
      </c>
      <c r="C2" s="110" t="s">
        <v>22</v>
      </c>
      <c r="D2" s="111" t="s">
        <v>74</v>
      </c>
      <c r="E2" s="111" t="s">
        <v>75</v>
      </c>
      <c r="F2" s="112" t="s">
        <v>29</v>
      </c>
      <c r="G2" s="110" t="s">
        <v>30</v>
      </c>
      <c r="H2" s="113" t="s">
        <v>77</v>
      </c>
      <c r="I2" s="114" t="s">
        <v>78</v>
      </c>
      <c r="J2" s="114" t="s">
        <v>34</v>
      </c>
      <c r="K2" s="109" t="s">
        <v>79</v>
      </c>
      <c r="L2" s="109" t="s">
        <v>80</v>
      </c>
      <c r="M2" s="109" t="s">
        <v>81</v>
      </c>
      <c r="N2" s="109" t="s">
        <v>82</v>
      </c>
      <c r="O2" s="109" t="s">
        <v>83</v>
      </c>
      <c r="P2" s="115" t="s">
        <v>84</v>
      </c>
      <c r="Q2" s="40" t="s">
        <v>85</v>
      </c>
      <c r="R2" s="15" t="s">
        <v>86</v>
      </c>
      <c r="S2" s="15" t="s">
        <v>87</v>
      </c>
      <c r="T2" s="15" t="s">
        <v>88</v>
      </c>
      <c r="U2" s="15" t="s">
        <v>89</v>
      </c>
      <c r="W2" s="183" t="s">
        <v>188</v>
      </c>
    </row>
    <row r="3" spans="1:23" ht="16.5" thickTop="1" x14ac:dyDescent="0.25">
      <c r="A3" s="41"/>
      <c r="B3" s="197" t="s">
        <v>186</v>
      </c>
      <c r="C3" s="198"/>
      <c r="D3" s="199"/>
      <c r="E3" s="199"/>
      <c r="F3" s="200"/>
      <c r="G3" s="198"/>
      <c r="H3" s="201"/>
      <c r="I3" s="202"/>
      <c r="J3" s="126" t="s">
        <v>90</v>
      </c>
      <c r="K3" s="127">
        <f>(1585*8+1085*2)/10</f>
        <v>1485</v>
      </c>
      <c r="L3" s="127">
        <v>1000</v>
      </c>
      <c r="M3" s="127"/>
      <c r="N3" s="137"/>
      <c r="O3" s="137"/>
      <c r="P3" s="138"/>
      <c r="Q3" s="123"/>
      <c r="R3" s="45">
        <f>582+272</f>
        <v>854</v>
      </c>
      <c r="S3" s="45">
        <f>46+21</f>
        <v>67</v>
      </c>
      <c r="T3" s="45"/>
      <c r="U3" s="45"/>
      <c r="V3" s="19"/>
      <c r="W3" s="123">
        <v>42983</v>
      </c>
    </row>
    <row r="4" spans="1:23" x14ac:dyDescent="0.25">
      <c r="A4" s="41"/>
      <c r="B4" s="197"/>
      <c r="C4" s="198"/>
      <c r="D4" s="199"/>
      <c r="E4" s="199"/>
      <c r="F4" s="200"/>
      <c r="G4" s="198"/>
      <c r="H4" s="201"/>
      <c r="I4" s="202"/>
      <c r="J4" s="142" t="s">
        <v>45</v>
      </c>
      <c r="K4" s="127">
        <v>1212</v>
      </c>
      <c r="L4" s="127">
        <v>400</v>
      </c>
      <c r="M4" s="127"/>
      <c r="N4" s="137"/>
      <c r="O4" s="137"/>
      <c r="P4" s="138"/>
      <c r="Q4" s="123"/>
      <c r="R4" s="45">
        <v>400</v>
      </c>
      <c r="S4" s="45">
        <v>32</v>
      </c>
      <c r="T4" s="45"/>
      <c r="U4" s="45"/>
      <c r="V4" s="19"/>
      <c r="W4" s="123">
        <v>42929</v>
      </c>
    </row>
    <row r="5" spans="1:23" x14ac:dyDescent="0.25">
      <c r="A5" s="41"/>
      <c r="B5" s="197" t="s">
        <v>185</v>
      </c>
      <c r="C5" s="198"/>
      <c r="D5" s="199"/>
      <c r="E5" s="199"/>
      <c r="F5" s="200"/>
      <c r="G5" s="198"/>
      <c r="H5" s="201"/>
      <c r="I5" s="202"/>
      <c r="J5" s="126" t="s">
        <v>90</v>
      </c>
      <c r="K5" s="127">
        <v>350</v>
      </c>
      <c r="L5" s="127">
        <v>1500</v>
      </c>
      <c r="M5" s="127"/>
      <c r="N5" s="137"/>
      <c r="O5" s="137"/>
      <c r="P5" s="138"/>
      <c r="Q5" s="123"/>
      <c r="R5" s="15">
        <v>487</v>
      </c>
      <c r="S5" s="15">
        <v>38</v>
      </c>
      <c r="T5" s="120"/>
      <c r="U5" s="120"/>
      <c r="V5" s="19"/>
      <c r="W5" s="123">
        <v>42926</v>
      </c>
    </row>
    <row r="6" spans="1:23" x14ac:dyDescent="0.25">
      <c r="A6" s="54"/>
      <c r="B6" s="203" t="s">
        <v>187</v>
      </c>
      <c r="C6" s="204"/>
      <c r="D6" s="205"/>
      <c r="E6" s="205"/>
      <c r="F6" s="206"/>
      <c r="G6" s="204"/>
      <c r="H6" s="207"/>
      <c r="I6" s="208"/>
      <c r="J6" s="44" t="s">
        <v>91</v>
      </c>
      <c r="K6" s="42">
        <v>603</v>
      </c>
      <c r="L6" s="42">
        <v>500</v>
      </c>
      <c r="M6" s="42"/>
      <c r="N6" s="42"/>
      <c r="O6" s="42"/>
      <c r="P6" s="43"/>
      <c r="Q6" s="17"/>
      <c r="R6" s="15">
        <v>350</v>
      </c>
      <c r="S6" s="15">
        <v>28</v>
      </c>
      <c r="V6" s="61"/>
      <c r="W6" s="17">
        <v>42880</v>
      </c>
    </row>
    <row r="7" spans="1:23" x14ac:dyDescent="0.25">
      <c r="A7" s="46"/>
      <c r="B7" s="47" t="str">
        <f>IPO監視一覧!B3</f>
        <v>Ｍマート</v>
      </c>
      <c r="C7" s="48">
        <f>IPO監視一覧!G3</f>
        <v>1240</v>
      </c>
      <c r="D7" s="49">
        <v>200000</v>
      </c>
      <c r="E7" s="49">
        <v>50000</v>
      </c>
      <c r="F7" s="50">
        <f>IPO監視一覧!O3</f>
        <v>43154</v>
      </c>
      <c r="G7" s="48">
        <f>IPO監視一覧!P3</f>
        <v>0</v>
      </c>
      <c r="H7" s="51">
        <f>(G7-C7)*100*0.79685</f>
        <v>-98809.4</v>
      </c>
      <c r="I7" s="52">
        <f ca="1">NETWORKDAYS(F7,TODAY())</f>
        <v>-8</v>
      </c>
      <c r="J7" s="58"/>
      <c r="K7" s="26"/>
      <c r="L7" s="26"/>
      <c r="M7" s="26"/>
      <c r="N7" s="26"/>
      <c r="O7" s="26"/>
      <c r="P7" s="53">
        <f t="shared" ref="P7" si="0">(M7-K7)*L7-O7-N7</f>
        <v>0</v>
      </c>
    </row>
    <row r="8" spans="1:23" x14ac:dyDescent="0.25">
      <c r="A8" s="46"/>
      <c r="B8" s="47" t="str">
        <f>IPO監視一覧!B4</f>
        <v>ジェイテックコーポレーション</v>
      </c>
      <c r="C8" s="48">
        <f>IPO監視一覧!G4</f>
        <v>2250</v>
      </c>
      <c r="D8" s="49">
        <v>200000</v>
      </c>
      <c r="E8" s="49">
        <v>50000</v>
      </c>
      <c r="F8" s="50">
        <f>IPO監視一覧!O4</f>
        <v>43159</v>
      </c>
      <c r="G8" s="48">
        <f>IPO監視一覧!P4</f>
        <v>0</v>
      </c>
      <c r="H8" s="51">
        <f t="shared" ref="H8:H11" si="1">(G8-C8)*100*0.79685</f>
        <v>-179291.25</v>
      </c>
      <c r="I8" s="52">
        <f t="shared" ref="I8:I11" ca="1" si="2">NETWORKDAYS(F8,TODAY())</f>
        <v>-11</v>
      </c>
      <c r="J8" s="58"/>
      <c r="K8" s="26"/>
      <c r="L8" s="26"/>
      <c r="M8" s="26"/>
      <c r="N8" s="26"/>
      <c r="O8" s="26"/>
      <c r="P8" s="53">
        <f t="shared" ref="P8:P12" si="3">(M8-K8)*L8-O8-N8</f>
        <v>0</v>
      </c>
    </row>
    <row r="9" spans="1:23" x14ac:dyDescent="0.25">
      <c r="A9" s="46"/>
      <c r="B9" s="47" t="str">
        <f>IPO監視一覧!B5</f>
        <v>ＳＥＲＩＯＨＤ</v>
      </c>
      <c r="C9" s="48">
        <f>IPO監視一覧!G5</f>
        <v>1780</v>
      </c>
      <c r="D9" s="49">
        <v>200000</v>
      </c>
      <c r="E9" s="49">
        <v>50000</v>
      </c>
      <c r="F9" s="50">
        <f>IPO監視一覧!O5</f>
        <v>43161</v>
      </c>
      <c r="G9" s="48">
        <f>IPO監視一覧!P5</f>
        <v>0</v>
      </c>
      <c r="H9" s="51">
        <f t="shared" si="1"/>
        <v>-141839.29999999999</v>
      </c>
      <c r="I9" s="52">
        <f t="shared" ca="1" si="2"/>
        <v>-13</v>
      </c>
      <c r="J9" s="58"/>
      <c r="K9" s="26"/>
      <c r="L9" s="26"/>
      <c r="M9" s="26"/>
      <c r="N9" s="26"/>
      <c r="O9" s="26"/>
      <c r="P9" s="53">
        <f t="shared" si="3"/>
        <v>0</v>
      </c>
    </row>
    <row r="10" spans="1:23" x14ac:dyDescent="0.25">
      <c r="A10" s="46"/>
      <c r="B10" s="47" t="str">
        <f>IPO監視一覧!B6</f>
        <v>神戸天然物化学</v>
      </c>
      <c r="C10" s="48">
        <f>IPO監視一覧!G6</f>
        <v>0</v>
      </c>
      <c r="D10" s="49">
        <v>200000</v>
      </c>
      <c r="E10" s="49">
        <v>50000</v>
      </c>
      <c r="F10" s="50">
        <f>IPO監視一覧!O6</f>
        <v>43174</v>
      </c>
      <c r="G10" s="48">
        <f>IPO監視一覧!P6</f>
        <v>0</v>
      </c>
      <c r="H10" s="51">
        <f t="shared" si="1"/>
        <v>0</v>
      </c>
      <c r="I10" s="52">
        <f t="shared" ca="1" si="2"/>
        <v>-22</v>
      </c>
      <c r="J10" s="58"/>
      <c r="K10" s="26"/>
      <c r="L10" s="26"/>
      <c r="M10" s="26"/>
      <c r="N10" s="26"/>
      <c r="O10" s="26"/>
      <c r="P10" s="53">
        <f t="shared" si="3"/>
        <v>0</v>
      </c>
    </row>
    <row r="11" spans="1:23" x14ac:dyDescent="0.25">
      <c r="A11" s="46"/>
      <c r="B11" s="47" t="str">
        <f>IPO監視一覧!B7</f>
        <v>日総工産</v>
      </c>
      <c r="C11" s="48">
        <f>IPO監視一覧!G7</f>
        <v>0</v>
      </c>
      <c r="D11" s="49">
        <v>200000</v>
      </c>
      <c r="E11" s="49">
        <v>50000</v>
      </c>
      <c r="F11" s="50">
        <f>IPO監視一覧!O7</f>
        <v>43175</v>
      </c>
      <c r="G11" s="48">
        <f>IPO監視一覧!P7</f>
        <v>0</v>
      </c>
      <c r="H11" s="51">
        <f t="shared" si="1"/>
        <v>0</v>
      </c>
      <c r="I11" s="52">
        <f t="shared" ca="1" si="2"/>
        <v>-23</v>
      </c>
      <c r="J11" s="58"/>
      <c r="K11" s="26"/>
      <c r="L11" s="26"/>
      <c r="M11" s="26"/>
      <c r="N11" s="26"/>
      <c r="O11" s="26"/>
      <c r="P11" s="53">
        <f t="shared" si="3"/>
        <v>0</v>
      </c>
    </row>
    <row r="12" spans="1:23" x14ac:dyDescent="0.25">
      <c r="A12" s="46"/>
      <c r="B12" s="47" t="str">
        <f>IPO監視一覧!B8</f>
        <v>フェイスネットワーク</v>
      </c>
      <c r="C12" s="48">
        <f>IPO監視一覧!G8</f>
        <v>0</v>
      </c>
      <c r="D12" s="49">
        <v>200000</v>
      </c>
      <c r="E12" s="49">
        <v>50000</v>
      </c>
      <c r="F12" s="50">
        <f>IPO監視一覧!O8</f>
        <v>43175</v>
      </c>
      <c r="G12" s="48">
        <f>IPO監視一覧!P8</f>
        <v>0</v>
      </c>
      <c r="H12" s="51">
        <f>(G12-C12)*100*0.79685</f>
        <v>0</v>
      </c>
      <c r="I12" s="52">
        <f ca="1">NETWORKDAYS(F12,TODAY())</f>
        <v>-23</v>
      </c>
      <c r="J12" s="58"/>
      <c r="K12" s="26"/>
      <c r="L12" s="26"/>
      <c r="M12" s="26"/>
      <c r="N12" s="26"/>
      <c r="O12" s="26"/>
      <c r="P12" s="53">
        <f t="shared" si="3"/>
        <v>0</v>
      </c>
    </row>
    <row r="13" spans="1:23" x14ac:dyDescent="0.25">
      <c r="A13" s="54">
        <f>IPO監視一覧!H98</f>
        <v>0</v>
      </c>
      <c r="B13" s="63">
        <f>IPO監視一覧!B98</f>
        <v>0</v>
      </c>
      <c r="C13" s="64">
        <f>IPO監視一覧!G98</f>
        <v>0</v>
      </c>
      <c r="D13" s="65"/>
      <c r="E13" s="65"/>
      <c r="F13" s="66">
        <f>IPO監視一覧!O98</f>
        <v>0</v>
      </c>
      <c r="G13" s="64">
        <f>IPO監視一覧!P98</f>
        <v>0</v>
      </c>
      <c r="H13" s="67">
        <f>IF((G13-C13)&gt;0,(G13-C13)*100*0.79685,(G13-C13)*100)</f>
        <v>0</v>
      </c>
      <c r="I13" s="68">
        <f t="shared" ref="I13:I14" ca="1" si="4">NETWORKDAYS(F13,TODAY())</f>
        <v>30818</v>
      </c>
      <c r="J13" s="68"/>
      <c r="K13" s="69"/>
      <c r="L13" s="69"/>
      <c r="M13" s="69"/>
      <c r="N13" s="69"/>
      <c r="O13" s="69"/>
      <c r="P13" s="59">
        <f t="shared" ref="P13:P14" si="5">(M13-K13)*L13-O13-N13</f>
        <v>0</v>
      </c>
      <c r="Q13" s="39"/>
      <c r="R13" s="39"/>
      <c r="S13" s="39"/>
      <c r="T13" s="39"/>
      <c r="U13" s="39"/>
    </row>
    <row r="14" spans="1:23" x14ac:dyDescent="0.25">
      <c r="A14" s="54">
        <f>IPO監視一覧!H99</f>
        <v>0</v>
      </c>
      <c r="B14" s="63">
        <f>IPO監視一覧!B99</f>
        <v>0</v>
      </c>
      <c r="C14" s="64">
        <f>IPO監視一覧!G99</f>
        <v>0</v>
      </c>
      <c r="D14" s="65"/>
      <c r="E14" s="65"/>
      <c r="F14" s="66">
        <f>IPO監視一覧!O99</f>
        <v>0</v>
      </c>
      <c r="G14" s="64">
        <f>IPO監視一覧!P99</f>
        <v>0</v>
      </c>
      <c r="H14" s="67">
        <f>IF((G14-C14)&gt;0,(G14-C14)*100*0.79685,(G14-C14)*100)</f>
        <v>0</v>
      </c>
      <c r="I14" s="68">
        <f t="shared" ca="1" si="4"/>
        <v>30818</v>
      </c>
      <c r="J14" s="68"/>
      <c r="K14" s="69"/>
      <c r="L14" s="69"/>
      <c r="M14" s="69"/>
      <c r="N14" s="69"/>
      <c r="O14" s="69"/>
      <c r="P14" s="59">
        <f t="shared" si="5"/>
        <v>0</v>
      </c>
      <c r="Q14" s="39"/>
      <c r="R14" s="39"/>
      <c r="S14" s="39"/>
      <c r="T14" s="39"/>
      <c r="U14" s="39"/>
    </row>
  </sheetData>
  <mergeCells count="1">
    <mergeCell ref="A1:B1"/>
  </mergeCells>
  <phoneticPr fontId="2"/>
  <dataValidations count="1">
    <dataValidation type="list" allowBlank="1" showInputMessage="1" showErrorMessage="1" sqref="J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J6:J14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B17"/>
  <sheetViews>
    <sheetView zoomScale="85" zoomScaleNormal="85" workbookViewId="0">
      <pane ySplit="2" topLeftCell="A3" activePane="bottomLeft" state="frozen"/>
      <selection activeCell="F62" sqref="F62"/>
      <selection pane="bottomLeft" activeCell="J31" sqref="J31"/>
    </sheetView>
  </sheetViews>
  <sheetFormatPr defaultColWidth="8" defaultRowHeight="15.75" x14ac:dyDescent="0.25"/>
  <cols>
    <col min="1" max="1" width="3.21875" style="39" customWidth="1"/>
    <col min="2" max="2" width="26.21875" style="39" bestFit="1" customWidth="1"/>
    <col min="3" max="3" width="12.6640625" style="73" bestFit="1" customWidth="1"/>
    <col min="4" max="7" width="8.109375" style="15" bestFit="1" customWidth="1"/>
    <col min="8" max="8" width="1.77734375" style="39" customWidth="1"/>
    <col min="9" max="10" width="8.88671875" style="74" bestFit="1" customWidth="1"/>
    <col min="11" max="11" width="8.88671875" style="75" bestFit="1" customWidth="1"/>
    <col min="12" max="12" width="1.77734375" style="12" customWidth="1"/>
    <col min="13" max="14" width="9.77734375" style="12" hidden="1" customWidth="1"/>
    <col min="15" max="15" width="8" style="39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9" customWidth="1"/>
    <col min="23" max="23" width="8" style="39"/>
    <col min="24" max="24" width="9.5546875" style="12" bestFit="1" customWidth="1"/>
    <col min="25" max="26" width="8" style="39"/>
    <col min="27" max="27" width="9.77734375" style="39" bestFit="1" customWidth="1"/>
    <col min="28" max="16384" width="8" style="39"/>
  </cols>
  <sheetData>
    <row r="1" spans="1:28" ht="16.5" thickBot="1" x14ac:dyDescent="0.3">
      <c r="A1" s="39" t="s">
        <v>92</v>
      </c>
      <c r="F1" s="15" t="s">
        <v>93</v>
      </c>
      <c r="I1" s="211" t="s">
        <v>94</v>
      </c>
      <c r="J1" s="211"/>
      <c r="K1" s="211"/>
      <c r="M1" s="212" t="s">
        <v>95</v>
      </c>
      <c r="N1" s="212"/>
      <c r="P1" s="40" t="s">
        <v>96</v>
      </c>
      <c r="Y1" s="12" t="s">
        <v>168</v>
      </c>
      <c r="Z1" s="174" t="s">
        <v>170</v>
      </c>
      <c r="AA1" s="175" t="s">
        <v>171</v>
      </c>
      <c r="AB1" s="176" t="s">
        <v>172</v>
      </c>
    </row>
    <row r="2" spans="1:28" ht="16.5" thickBot="1" x14ac:dyDescent="0.3">
      <c r="B2" s="109" t="s">
        <v>17</v>
      </c>
      <c r="C2" s="111" t="s">
        <v>76</v>
      </c>
      <c r="D2" s="117" t="s">
        <v>97</v>
      </c>
      <c r="E2" s="117" t="s">
        <v>98</v>
      </c>
      <c r="F2" s="117" t="s">
        <v>99</v>
      </c>
      <c r="G2" s="117" t="s">
        <v>100</v>
      </c>
      <c r="I2" s="118" t="s">
        <v>96</v>
      </c>
      <c r="J2" s="118" t="s">
        <v>101</v>
      </c>
      <c r="K2" s="119" t="s">
        <v>102</v>
      </c>
      <c r="M2" s="118" t="s">
        <v>96</v>
      </c>
      <c r="N2" s="118" t="s">
        <v>101</v>
      </c>
      <c r="O2" s="75"/>
      <c r="Q2" s="135" t="s">
        <v>169</v>
      </c>
      <c r="R2" s="135" t="s">
        <v>129</v>
      </c>
      <c r="T2" s="135" t="s">
        <v>130</v>
      </c>
      <c r="W2" s="135" t="s">
        <v>127</v>
      </c>
      <c r="Z2" s="177">
        <f ca="1">COUNTIF($Q:$Q,Z1)/(COUNTIF($Q:$Q,Z1)+COUNTIF($Q:$Q,AA1)+(COUNTIF($Q:$Q,AB1)-COUNTIF(C:C,0)))</f>
        <v>0</v>
      </c>
      <c r="AA2" s="178">
        <f ca="1">1-Z2-AB2</f>
        <v>0</v>
      </c>
      <c r="AB2" s="179">
        <f ca="1">(COUNTIF($Q:$Q,AB1)-COUNTIF(C:C,0))/(COUNTIF($Q:$Q,Z1)+COUNTIF($Q:$Q,AA1)+(COUNTIF($Q:$Q,AB1)-COUNTIF(C:C,0)))</f>
        <v>1</v>
      </c>
    </row>
    <row r="3" spans="1:28" ht="16.5" thickTop="1" x14ac:dyDescent="0.25">
      <c r="B3" s="54" t="str">
        <f>セカンダリ投資分析!B3</f>
        <v>リミックスポイント</v>
      </c>
      <c r="C3" s="107">
        <f>株価一覧!H2</f>
        <v>14612100</v>
      </c>
      <c r="D3" s="15">
        <f ca="1">OFFSET(終値履歴!A3,0,COUNTA(終値履歴!G3:'終値履歴'!XFD3)+2,1,-1)</f>
        <v>0</v>
      </c>
      <c r="E3" s="15">
        <f ca="1">OFFSET(終値履歴!A3,0,COUNTA(終値履歴!G3:'終値履歴'!XFD3)+3,1,-1)</f>
        <v>0</v>
      </c>
      <c r="F3" s="15">
        <f ca="1">OFFSET(終値履歴!A3,0,COUNTA(終値履歴!G3:'終値履歴'!XFD3)+4,1,-1)</f>
        <v>0</v>
      </c>
      <c r="G3" s="15">
        <f ca="1">OFFSET(終値履歴!A3,0,COUNTA(終値履歴!G3:'終値履歴'!XFD3)+5,1,-1)</f>
        <v>0</v>
      </c>
      <c r="I3" s="74" t="e">
        <f t="shared" ref="I3:I5" ca="1" si="0">(G3-F3)/F3</f>
        <v>#DIV/0!</v>
      </c>
      <c r="J3" s="74" t="e">
        <f t="shared" ref="J3:J5" ca="1" si="1">(G3-E3)/E3</f>
        <v>#DIV/0!</v>
      </c>
      <c r="K3" s="74" t="e">
        <f t="shared" ref="K3:K5" ca="1" si="2">(G3-D3)/D3</f>
        <v>#DIV/0!</v>
      </c>
      <c r="M3" s="74" t="e">
        <f t="shared" ref="M3:M5" ca="1" si="3">(F3-E3)/E3</f>
        <v>#DIV/0!</v>
      </c>
      <c r="N3" s="74" t="e">
        <f t="shared" ref="N3:N5" ca="1" si="4">(F3-D3)/D3</f>
        <v>#DIV/0!</v>
      </c>
      <c r="P3" s="71">
        <f t="shared" ref="P3:P5" ca="1" si="5">IF(G3-F3 &gt; 0,CONCATENATE("＋",G3-F3),G3-F3)</f>
        <v>0</v>
      </c>
      <c r="Q3" s="12" t="str">
        <f t="shared" ref="Q3:Q5" ca="1" si="6">IF(AND(G3&lt;=T3,G3&lt;=R3),"割安",IF(AND(G3&gt;T3,G3&lt;=R3),"普通",IF(AND(G3&lt;=T3,G3&gt;R3),"普通","割高")))</f>
        <v>割安</v>
      </c>
      <c r="R3" s="21">
        <f>終値履歴!D57</f>
        <v>0</v>
      </c>
      <c r="S3" s="125" t="e">
        <f ca="1">(G3-R3)/E3</f>
        <v>#DIV/0!</v>
      </c>
      <c r="T3" s="21">
        <f>終値履歴!E57</f>
        <v>0</v>
      </c>
      <c r="U3" s="125" t="e">
        <f ca="1">(G3-T3)/G3</f>
        <v>#DIV/0!</v>
      </c>
      <c r="W3" s="21">
        <f>終値履歴!F57</f>
        <v>0</v>
      </c>
      <c r="X3" s="125" t="e">
        <f ca="1">(G3-W3)/G3</f>
        <v>#DIV/0!</v>
      </c>
    </row>
    <row r="4" spans="1:28" x14ac:dyDescent="0.25">
      <c r="B4" s="54" t="str">
        <f>セカンダリ投資分析!B5</f>
        <v>トレイダーズHD</v>
      </c>
      <c r="C4" s="107">
        <f>株価一覧!H3</f>
        <v>2452700</v>
      </c>
      <c r="D4" s="15">
        <f ca="1">OFFSET(終値履歴!A4,0,COUNTA(終値履歴!G4:'終値履歴'!XFD4)+2,1,-1)</f>
        <v>0</v>
      </c>
      <c r="E4" s="15">
        <f ca="1">OFFSET(終値履歴!A4,0,COUNTA(終値履歴!G4:'終値履歴'!XFD4)+3,1,-1)</f>
        <v>0</v>
      </c>
      <c r="F4" s="15">
        <f ca="1">OFFSET(終値履歴!A4,0,COUNTA(終値履歴!G4:'終値履歴'!XFD4)+4,1,-1)</f>
        <v>0</v>
      </c>
      <c r="G4" s="15">
        <f ca="1">OFFSET(終値履歴!A4,0,COUNTA(終値履歴!G4:'終値履歴'!XFD4)+5,1,-1)</f>
        <v>0</v>
      </c>
      <c r="I4" s="74" t="e">
        <f t="shared" ca="1" si="0"/>
        <v>#DIV/0!</v>
      </c>
      <c r="J4" s="74" t="e">
        <f t="shared" ca="1" si="1"/>
        <v>#DIV/0!</v>
      </c>
      <c r="K4" s="74" t="e">
        <f t="shared" ca="1" si="2"/>
        <v>#DIV/0!</v>
      </c>
      <c r="M4" s="74" t="e">
        <f t="shared" ca="1" si="3"/>
        <v>#DIV/0!</v>
      </c>
      <c r="N4" s="74" t="e">
        <f t="shared" ca="1" si="4"/>
        <v>#DIV/0!</v>
      </c>
      <c r="P4" s="71">
        <f t="shared" ca="1" si="5"/>
        <v>0</v>
      </c>
      <c r="Q4" s="12" t="str">
        <f t="shared" ca="1" si="6"/>
        <v>割安</v>
      </c>
      <c r="R4" s="21">
        <f>終値履歴!D58</f>
        <v>0</v>
      </c>
      <c r="S4" s="125" t="e">
        <f t="shared" ref="S3:S5" ca="1" si="7">(G4-R4)/E4</f>
        <v>#DIV/0!</v>
      </c>
      <c r="T4" s="21">
        <f>終値履歴!E58</f>
        <v>0</v>
      </c>
      <c r="U4" s="125" t="e">
        <f t="shared" ref="U3:U5" ca="1" si="8">(G4-T4)/G4</f>
        <v>#DIV/0!</v>
      </c>
      <c r="W4" s="21">
        <f>終値履歴!F58</f>
        <v>0</v>
      </c>
      <c r="X4" s="125" t="e">
        <f t="shared" ref="X3:X5" ca="1" si="9">(G4-W4)/G4</f>
        <v>#DIV/0!</v>
      </c>
    </row>
    <row r="5" spans="1:28" x14ac:dyDescent="0.25">
      <c r="B5" s="54" t="str">
        <f>セカンダリ投資分析!B6</f>
        <v>ソレイジア・ファーマ</v>
      </c>
      <c r="C5" s="107">
        <f>株価一覧!H4</f>
        <v>3114500</v>
      </c>
      <c r="D5" s="15">
        <f ca="1">OFFSET(終値履歴!A5,0,COUNTA(終値履歴!G5:'終値履歴'!XFD5)+2,1,-1)</f>
        <v>0</v>
      </c>
      <c r="E5" s="15">
        <f ca="1">OFFSET(終値履歴!A5,0,COUNTA(終値履歴!G5:'終値履歴'!XFD5)+3,1,-1)</f>
        <v>0</v>
      </c>
      <c r="F5" s="15">
        <f ca="1">OFFSET(終値履歴!A5,0,COUNTA(終値履歴!G5:'終値履歴'!XFD5)+4,1,-1)</f>
        <v>0</v>
      </c>
      <c r="G5" s="15">
        <f ca="1">OFFSET(終値履歴!A5,0,COUNTA(終値履歴!G5:'終値履歴'!XFD5)+5,1,-1)</f>
        <v>0</v>
      </c>
      <c r="I5" s="74" t="e">
        <f t="shared" ca="1" si="0"/>
        <v>#DIV/0!</v>
      </c>
      <c r="J5" s="74" t="e">
        <f t="shared" ca="1" si="1"/>
        <v>#DIV/0!</v>
      </c>
      <c r="K5" s="74" t="e">
        <f t="shared" ca="1" si="2"/>
        <v>#DIV/0!</v>
      </c>
      <c r="M5" s="74" t="e">
        <f t="shared" ca="1" si="3"/>
        <v>#DIV/0!</v>
      </c>
      <c r="N5" s="74" t="e">
        <f t="shared" ca="1" si="4"/>
        <v>#DIV/0!</v>
      </c>
      <c r="P5" s="71">
        <f t="shared" ca="1" si="5"/>
        <v>0</v>
      </c>
      <c r="Q5" s="12" t="str">
        <f t="shared" ca="1" si="6"/>
        <v>割安</v>
      </c>
      <c r="R5" s="21">
        <f>終値履歴!D59</f>
        <v>0</v>
      </c>
      <c r="S5" s="125" t="e">
        <f t="shared" ca="1" si="7"/>
        <v>#DIV/0!</v>
      </c>
      <c r="T5" s="21">
        <f>終値履歴!E59</f>
        <v>0</v>
      </c>
      <c r="U5" s="125" t="e">
        <f t="shared" ca="1" si="8"/>
        <v>#DIV/0!</v>
      </c>
      <c r="W5" s="21">
        <f>終値履歴!F59</f>
        <v>0</v>
      </c>
      <c r="X5" s="125" t="e">
        <f t="shared" ca="1" si="9"/>
        <v>#DIV/0!</v>
      </c>
    </row>
    <row r="6" spans="1:28" x14ac:dyDescent="0.25">
      <c r="B6" s="108" t="str">
        <f>IPO監視一覧!B3</f>
        <v>Ｍマート</v>
      </c>
      <c r="C6" s="107">
        <f>株価一覧!H5</f>
        <v>0</v>
      </c>
      <c r="D6" s="15" t="e">
        <f ca="1">OFFSET(終値履歴!A6,0,COUNTA(終値履歴!G6:'終値履歴'!XFD6)+2,1,-1)</f>
        <v>#REF!</v>
      </c>
      <c r="E6" s="15" t="e">
        <f ca="1">OFFSET(終値履歴!A6,0,COUNTA(終値履歴!G6:'終値履歴'!XFD6)+3,1,-1)</f>
        <v>#REF!</v>
      </c>
      <c r="F6" s="15">
        <f ca="1">OFFSET(終値履歴!A6,0,COUNTA(終値履歴!G6:'終値履歴'!XFD6)+4,1,-1)</f>
        <v>0</v>
      </c>
      <c r="G6" s="15">
        <f ca="1">OFFSET(終値履歴!A6,0,COUNTA(終値履歴!G6:'終値履歴'!XFD6)+5,1,-1)</f>
        <v>0</v>
      </c>
      <c r="I6" s="74" t="e">
        <f ca="1">(G6-F6)/F6</f>
        <v>#DIV/0!</v>
      </c>
      <c r="J6" s="74" t="e">
        <f ca="1">(G6-E6)/E6</f>
        <v>#REF!</v>
      </c>
      <c r="K6" s="74" t="e">
        <f ca="1">(G6-D6)/D6</f>
        <v>#REF!</v>
      </c>
      <c r="M6" s="74" t="e">
        <f ca="1">(F6-E6)/E6</f>
        <v>#REF!</v>
      </c>
      <c r="N6" s="74" t="e">
        <f ca="1">(F6-D6)/D6</f>
        <v>#REF!</v>
      </c>
      <c r="P6" s="71">
        <f ca="1">IF(G6-F6 &gt; 0,CONCATENATE("＋",G6-F6),G6-F6)</f>
        <v>0</v>
      </c>
      <c r="Q6" s="12" t="e">
        <f t="shared" ref="Q6:Q11" ca="1" si="10">IF(AND(G6&lt;=T6,G6&lt;=R6),"割安",IF(AND(G6&gt;T6,G6&lt;=R6),"普通",IF(AND(G6&lt;=T6,G6&gt;R6),"普通","割高")))</f>
        <v>#REF!</v>
      </c>
      <c r="R6" s="122" t="e">
        <f ca="1">終値履歴!D6</f>
        <v>#REF!</v>
      </c>
      <c r="S6" s="125" t="e">
        <f t="shared" ref="S6:S8" ca="1" si="11">(G6-R6)/E6</f>
        <v>#REF!</v>
      </c>
      <c r="T6" s="122" t="e">
        <f ca="1">終値履歴!E6</f>
        <v>#REF!</v>
      </c>
      <c r="U6" s="125" t="e">
        <f t="shared" ref="U6:U11" ca="1" si="12">(G6-T6)/G6</f>
        <v>#REF!</v>
      </c>
      <c r="W6" s="124" t="e">
        <f ca="1">終値履歴!F6</f>
        <v>#REF!</v>
      </c>
      <c r="X6" s="125" t="e">
        <f t="shared" ref="X6:X11" ca="1" si="13">(G6-W6)/G6</f>
        <v>#REF!</v>
      </c>
    </row>
    <row r="7" spans="1:28" x14ac:dyDescent="0.25">
      <c r="B7" s="34" t="str">
        <f>IPO監視一覧!B4</f>
        <v>ジェイテックコーポレーション</v>
      </c>
      <c r="C7" s="107">
        <f>株価一覧!H6</f>
        <v>0</v>
      </c>
      <c r="D7" s="15" t="e">
        <f ca="1">OFFSET(終値履歴!A7,0,COUNTA(終値履歴!G7:'終値履歴'!XFD7)+2,1,-1)</f>
        <v>#REF!</v>
      </c>
      <c r="E7" s="15" t="e">
        <f ca="1">OFFSET(終値履歴!A7,0,COUNTA(終値履歴!G7:'終値履歴'!XFD7)+3,1,-1)</f>
        <v>#REF!</v>
      </c>
      <c r="F7" s="15">
        <f ca="1">OFFSET(終値履歴!A7,0,COUNTA(終値履歴!G7:'終値履歴'!XFD7)+4,1,-1)</f>
        <v>0</v>
      </c>
      <c r="G7" s="15">
        <f ca="1">OFFSET(終値履歴!A7,0,COUNTA(終値履歴!G7:'終値履歴'!XFD7)+5,1,-1)</f>
        <v>0</v>
      </c>
      <c r="I7" s="74" t="e">
        <f t="shared" ref="I7:I11" ca="1" si="14">(G7-F7)/F7</f>
        <v>#DIV/0!</v>
      </c>
      <c r="J7" s="74" t="e">
        <f t="shared" ref="J7:J11" ca="1" si="15">(G7-E7)/E7</f>
        <v>#REF!</v>
      </c>
      <c r="K7" s="74" t="e">
        <f t="shared" ref="K7:K11" ca="1" si="16">(G7-D7)/D7</f>
        <v>#REF!</v>
      </c>
      <c r="M7" s="74" t="e">
        <f t="shared" ref="M7:M11" ca="1" si="17">(F7-E7)/E7</f>
        <v>#REF!</v>
      </c>
      <c r="N7" s="74" t="e">
        <f t="shared" ref="N7:N11" ca="1" si="18">(F7-D7)/D7</f>
        <v>#REF!</v>
      </c>
      <c r="P7" s="71">
        <f t="shared" ref="P7:P11" ca="1" si="19">IF(G7-F7 &gt; 0,CONCATENATE("＋",G7-F7),G7-F7)</f>
        <v>0</v>
      </c>
      <c r="Q7" s="12" t="e">
        <f t="shared" ca="1" si="10"/>
        <v>#REF!</v>
      </c>
      <c r="R7" s="122" t="e">
        <f ca="1">終値履歴!D7</f>
        <v>#REF!</v>
      </c>
      <c r="S7" s="125" t="e">
        <f t="shared" ca="1" si="11"/>
        <v>#REF!</v>
      </c>
      <c r="T7" s="122" t="e">
        <f ca="1">終値履歴!E7</f>
        <v>#REF!</v>
      </c>
      <c r="U7" s="125" t="e">
        <f t="shared" ca="1" si="12"/>
        <v>#REF!</v>
      </c>
      <c r="W7" s="124" t="e">
        <f ca="1">終値履歴!F7</f>
        <v>#REF!</v>
      </c>
      <c r="X7" s="125" t="e">
        <f t="shared" ca="1" si="13"/>
        <v>#REF!</v>
      </c>
    </row>
    <row r="8" spans="1:28" x14ac:dyDescent="0.25">
      <c r="B8" s="108" t="str">
        <f>IPO監視一覧!B5</f>
        <v>ＳＥＲＩＯＨＤ</v>
      </c>
      <c r="C8" s="107">
        <f>株価一覧!H7</f>
        <v>0</v>
      </c>
      <c r="D8" s="15" t="e">
        <f ca="1">OFFSET(終値履歴!A8,0,COUNTA(終値履歴!G8:'終値履歴'!XFD8)+2,1,-1)</f>
        <v>#REF!</v>
      </c>
      <c r="E8" s="15" t="e">
        <f ca="1">OFFSET(終値履歴!A8,0,COUNTA(終値履歴!G8:'終値履歴'!XFD8)+3,1,-1)</f>
        <v>#REF!</v>
      </c>
      <c r="F8" s="15">
        <f ca="1">OFFSET(終値履歴!A8,0,COUNTA(終値履歴!G8:'終値履歴'!XFD8)+4,1,-1)</f>
        <v>0</v>
      </c>
      <c r="G8" s="15">
        <f ca="1">OFFSET(終値履歴!A8,0,COUNTA(終値履歴!G8:'終値履歴'!XFD8)+5,1,-1)</f>
        <v>0</v>
      </c>
      <c r="I8" s="74" t="e">
        <f t="shared" ca="1" si="14"/>
        <v>#DIV/0!</v>
      </c>
      <c r="J8" s="74" t="e">
        <f t="shared" ca="1" si="15"/>
        <v>#REF!</v>
      </c>
      <c r="K8" s="74" t="e">
        <f t="shared" ca="1" si="16"/>
        <v>#REF!</v>
      </c>
      <c r="M8" s="74" t="e">
        <f t="shared" ca="1" si="17"/>
        <v>#REF!</v>
      </c>
      <c r="N8" s="74" t="e">
        <f t="shared" ca="1" si="18"/>
        <v>#REF!</v>
      </c>
      <c r="P8" s="71">
        <f t="shared" ca="1" si="19"/>
        <v>0</v>
      </c>
      <c r="Q8" s="12" t="e">
        <f t="shared" ca="1" si="10"/>
        <v>#REF!</v>
      </c>
      <c r="R8" s="122" t="e">
        <f ca="1">終値履歴!D8</f>
        <v>#REF!</v>
      </c>
      <c r="S8" s="125" t="e">
        <f t="shared" ca="1" si="11"/>
        <v>#REF!</v>
      </c>
      <c r="T8" s="122" t="e">
        <f ca="1">終値履歴!E8</f>
        <v>#REF!</v>
      </c>
      <c r="U8" s="125" t="e">
        <f t="shared" ca="1" si="12"/>
        <v>#REF!</v>
      </c>
      <c r="W8" s="124" t="e">
        <f ca="1">終値履歴!F8</f>
        <v>#REF!</v>
      </c>
      <c r="X8" s="125" t="e">
        <f t="shared" ca="1" si="13"/>
        <v>#REF!</v>
      </c>
    </row>
    <row r="9" spans="1:28" x14ac:dyDescent="0.25">
      <c r="B9" s="108" t="str">
        <f>IPO監視一覧!B6</f>
        <v>神戸天然物化学</v>
      </c>
      <c r="C9" s="107">
        <f>株価一覧!H8</f>
        <v>0</v>
      </c>
      <c r="D9" s="15" t="e">
        <f ca="1">OFFSET(終値履歴!A9,0,COUNTA(終値履歴!G9:'終値履歴'!XFD9)+2,1,-1)</f>
        <v>#REF!</v>
      </c>
      <c r="E9" s="15" t="e">
        <f ca="1">OFFSET(終値履歴!A9,0,COUNTA(終値履歴!G9:'終値履歴'!XFD9)+3,1,-1)</f>
        <v>#REF!</v>
      </c>
      <c r="F9" s="15">
        <f ca="1">OFFSET(終値履歴!A9,0,COUNTA(終値履歴!G9:'終値履歴'!XFD9)+4,1,-1)</f>
        <v>0</v>
      </c>
      <c r="G9" s="15">
        <f ca="1">OFFSET(終値履歴!A9,0,COUNTA(終値履歴!G9:'終値履歴'!XFD9)+5,1,-1)</f>
        <v>0</v>
      </c>
      <c r="I9" s="74" t="e">
        <f t="shared" ca="1" si="14"/>
        <v>#DIV/0!</v>
      </c>
      <c r="J9" s="74" t="e">
        <f t="shared" ca="1" si="15"/>
        <v>#REF!</v>
      </c>
      <c r="K9" s="74" t="e">
        <f t="shared" ca="1" si="16"/>
        <v>#REF!</v>
      </c>
      <c r="M9" s="74" t="e">
        <f t="shared" ca="1" si="17"/>
        <v>#REF!</v>
      </c>
      <c r="N9" s="74" t="e">
        <f t="shared" ca="1" si="18"/>
        <v>#REF!</v>
      </c>
      <c r="P9" s="71">
        <f t="shared" ca="1" si="19"/>
        <v>0</v>
      </c>
      <c r="Q9" s="12" t="e">
        <f t="shared" ca="1" si="10"/>
        <v>#REF!</v>
      </c>
      <c r="R9" s="122" t="e">
        <f ca="1">終値履歴!D9</f>
        <v>#REF!</v>
      </c>
      <c r="S9" s="125" t="e">
        <f ca="1">(G9-R9)/E9</f>
        <v>#REF!</v>
      </c>
      <c r="T9" s="122" t="e">
        <f ca="1">終値履歴!E9</f>
        <v>#REF!</v>
      </c>
      <c r="U9" s="125" t="e">
        <f t="shared" ca="1" si="12"/>
        <v>#REF!</v>
      </c>
      <c r="W9" s="124" t="e">
        <f ca="1">終値履歴!F9</f>
        <v>#REF!</v>
      </c>
      <c r="X9" s="125" t="e">
        <f t="shared" ca="1" si="13"/>
        <v>#REF!</v>
      </c>
    </row>
    <row r="10" spans="1:28" x14ac:dyDescent="0.25">
      <c r="B10" s="108" t="str">
        <f>IPO監視一覧!B7</f>
        <v>日総工産</v>
      </c>
      <c r="C10" s="107">
        <f>株価一覧!H9</f>
        <v>0</v>
      </c>
      <c r="D10" s="15" t="e">
        <f ca="1">OFFSET(終値履歴!A10,0,COUNTA(終値履歴!G10:'終値履歴'!XFD10)+2,1,-1)</f>
        <v>#REF!</v>
      </c>
      <c r="E10" s="15" t="e">
        <f ca="1">OFFSET(終値履歴!A10,0,COUNTA(終値履歴!G10:'終値履歴'!XFD10)+3,1,-1)</f>
        <v>#REF!</v>
      </c>
      <c r="F10" s="15">
        <f ca="1">OFFSET(終値履歴!A10,0,COUNTA(終値履歴!G10:'終値履歴'!XFD10)+4,1,-1)</f>
        <v>0</v>
      </c>
      <c r="G10" s="15">
        <f ca="1">OFFSET(終値履歴!A10,0,COUNTA(終値履歴!G10:'終値履歴'!XFD10)+5,1,-1)</f>
        <v>0</v>
      </c>
      <c r="I10" s="74" t="e">
        <f t="shared" ca="1" si="14"/>
        <v>#DIV/0!</v>
      </c>
      <c r="J10" s="74" t="e">
        <f t="shared" ca="1" si="15"/>
        <v>#REF!</v>
      </c>
      <c r="K10" s="74" t="e">
        <f t="shared" ca="1" si="16"/>
        <v>#REF!</v>
      </c>
      <c r="M10" s="74" t="e">
        <f t="shared" ca="1" si="17"/>
        <v>#REF!</v>
      </c>
      <c r="N10" s="74" t="e">
        <f t="shared" ca="1" si="18"/>
        <v>#REF!</v>
      </c>
      <c r="P10" s="71">
        <f t="shared" ca="1" si="19"/>
        <v>0</v>
      </c>
      <c r="Q10" s="12" t="e">
        <f t="shared" ca="1" si="10"/>
        <v>#REF!</v>
      </c>
      <c r="R10" s="122" t="e">
        <f ca="1">終値履歴!D10</f>
        <v>#REF!</v>
      </c>
      <c r="S10" s="125" t="e">
        <f t="shared" ref="S10:S11" ca="1" si="20">(G10-R10)/E10</f>
        <v>#REF!</v>
      </c>
      <c r="T10" s="122" t="e">
        <f ca="1">終値履歴!E10</f>
        <v>#REF!</v>
      </c>
      <c r="U10" s="125" t="e">
        <f t="shared" ca="1" si="12"/>
        <v>#REF!</v>
      </c>
      <c r="W10" s="124" t="e">
        <f ca="1">終値履歴!F10</f>
        <v>#REF!</v>
      </c>
      <c r="X10" s="125" t="e">
        <f t="shared" ca="1" si="13"/>
        <v>#REF!</v>
      </c>
    </row>
    <row r="11" spans="1:28" x14ac:dyDescent="0.25">
      <c r="B11" s="34" t="str">
        <f>IPO監視一覧!B8</f>
        <v>フェイスネットワーク</v>
      </c>
      <c r="C11" s="107">
        <f>株価一覧!H10</f>
        <v>0</v>
      </c>
      <c r="D11" s="15" t="e">
        <f ca="1">OFFSET(終値履歴!A11,0,COUNTA(終値履歴!G11:'終値履歴'!XFD11)+2,1,-1)</f>
        <v>#REF!</v>
      </c>
      <c r="E11" s="15" t="e">
        <f ca="1">OFFSET(終値履歴!A11,0,COUNTA(終値履歴!G11:'終値履歴'!XFD11)+3,1,-1)</f>
        <v>#REF!</v>
      </c>
      <c r="F11" s="15">
        <f ca="1">OFFSET(終値履歴!A11,0,COUNTA(終値履歴!G11:'終値履歴'!XFD11)+4,1,-1)</f>
        <v>0</v>
      </c>
      <c r="G11" s="15">
        <f ca="1">OFFSET(終値履歴!A11,0,COUNTA(終値履歴!G11:'終値履歴'!XFD11)+5,1,-1)</f>
        <v>0</v>
      </c>
      <c r="I11" s="74" t="e">
        <f t="shared" ca="1" si="14"/>
        <v>#DIV/0!</v>
      </c>
      <c r="J11" s="74" t="e">
        <f t="shared" ca="1" si="15"/>
        <v>#REF!</v>
      </c>
      <c r="K11" s="74" t="e">
        <f t="shared" ca="1" si="16"/>
        <v>#REF!</v>
      </c>
      <c r="M11" s="74" t="e">
        <f t="shared" ca="1" si="17"/>
        <v>#REF!</v>
      </c>
      <c r="N11" s="74" t="e">
        <f t="shared" ca="1" si="18"/>
        <v>#REF!</v>
      </c>
      <c r="P11" s="71">
        <f t="shared" ca="1" si="19"/>
        <v>0</v>
      </c>
      <c r="Q11" s="12" t="e">
        <f t="shared" ca="1" si="10"/>
        <v>#REF!</v>
      </c>
      <c r="R11" s="122" t="e">
        <f ca="1">終値履歴!D11</f>
        <v>#REF!</v>
      </c>
      <c r="S11" s="125" t="e">
        <f t="shared" ca="1" si="20"/>
        <v>#REF!</v>
      </c>
      <c r="T11" s="122" t="e">
        <f ca="1">終値履歴!E11</f>
        <v>#REF!</v>
      </c>
      <c r="U11" s="125" t="e">
        <f t="shared" ca="1" si="12"/>
        <v>#REF!</v>
      </c>
      <c r="W11" s="124" t="e">
        <f ca="1">終値履歴!F11</f>
        <v>#REF!</v>
      </c>
      <c r="X11" s="125" t="e">
        <f t="shared" ca="1" si="13"/>
        <v>#REF!</v>
      </c>
    </row>
    <row r="12" spans="1:28" x14ac:dyDescent="0.25">
      <c r="B12" s="63">
        <f>IPO監視一覧!B112</f>
        <v>0</v>
      </c>
      <c r="C12" s="76">
        <f>株価一覧!H123</f>
        <v>0</v>
      </c>
      <c r="D12" s="15">
        <f ca="1">OFFSET(終値履歴!A66,0,COUNTA(終値履歴!#REF!:'終値履歴'!WZO66)+2,1,-1)</f>
        <v>0</v>
      </c>
      <c r="E12" s="15">
        <f ca="1">OFFSET(終値履歴!A66,0,COUNTA(終値履歴!#REF!:'終値履歴'!WZO66)+3,1,-1)</f>
        <v>0</v>
      </c>
      <c r="F12" s="15">
        <f ca="1">OFFSET(終値履歴!A66,0,COUNTA(終値履歴!#REF!:'終値履歴'!WZO66)+4,1,-1)</f>
        <v>0</v>
      </c>
      <c r="G12" s="15">
        <f ca="1">OFFSET(終値履歴!A66,0,COUNTA(終値履歴!#REF!:'終値履歴'!WZO66)+5,1,-1)</f>
        <v>0</v>
      </c>
      <c r="I12" s="74" t="e">
        <f t="shared" ref="I12:I17" ca="1" si="21">(G12-F12)/F12</f>
        <v>#DIV/0!</v>
      </c>
      <c r="J12" s="74" t="e">
        <f t="shared" ref="J12:J17" ca="1" si="22">(G12-E12)/E12</f>
        <v>#DIV/0!</v>
      </c>
      <c r="K12" s="74" t="e">
        <f t="shared" ref="K12:K17" ca="1" si="23">(G12-D12)/D12</f>
        <v>#DIV/0!</v>
      </c>
      <c r="M12" s="74" t="e">
        <f t="shared" ref="M12:M17" ca="1" si="24">(F12-E12)/E12</f>
        <v>#DIV/0!</v>
      </c>
      <c r="N12" s="74" t="e">
        <f t="shared" ref="N12:N17" ca="1" si="25">(F12-D12)/D12</f>
        <v>#DIV/0!</v>
      </c>
      <c r="P12" s="71">
        <f t="shared" ref="P12:P17" ca="1" si="26">IF(G12-F12 &gt; 0,CONCATENATE("＋",G12-F12),G12-F12)</f>
        <v>0</v>
      </c>
      <c r="Q12" s="12" t="str">
        <f t="shared" ref="Q12:Q17" ca="1" si="27">IF(AND(G12&lt;=T12,G12&lt;=R12),"割安",IF(AND(G12&gt;T12,G12&lt;=R12),"普通",IF(AND(G12&lt;=T12,G12&gt;R12),"普通","割高")))</f>
        <v>割安</v>
      </c>
      <c r="R12" s="21">
        <f>終値履歴!D66</f>
        <v>0</v>
      </c>
      <c r="S12" s="125" t="e">
        <f t="shared" ref="S12:S17" ca="1" si="28">(G12-R12)/E12</f>
        <v>#DIV/0!</v>
      </c>
      <c r="T12" s="21">
        <f>終値履歴!E66</f>
        <v>0</v>
      </c>
      <c r="U12" s="125" t="e">
        <f t="shared" ref="U12:U17" ca="1" si="29">(G12-T12)/G12</f>
        <v>#DIV/0!</v>
      </c>
      <c r="W12" s="21">
        <f>終値履歴!F66</f>
        <v>0</v>
      </c>
      <c r="X12" s="125" t="e">
        <f t="shared" ref="X12:X17" ca="1" si="30">(G12-W12)/G12</f>
        <v>#DIV/0!</v>
      </c>
    </row>
    <row r="13" spans="1:28" x14ac:dyDescent="0.25">
      <c r="B13" s="63">
        <f>IPO監視一覧!B113</f>
        <v>0</v>
      </c>
      <c r="C13" s="76">
        <f>株価一覧!H124</f>
        <v>0</v>
      </c>
      <c r="D13" s="15">
        <f ca="1">OFFSET(終値履歴!A67,0,COUNTA(終値履歴!#REF!:'終値履歴'!WZO67)+2,1,-1)</f>
        <v>0</v>
      </c>
      <c r="E13" s="15">
        <f ca="1">OFFSET(終値履歴!A67,0,COUNTA(終値履歴!#REF!:'終値履歴'!WZO67)+3,1,-1)</f>
        <v>0</v>
      </c>
      <c r="F13" s="15">
        <f ca="1">OFFSET(終値履歴!A67,0,COUNTA(終値履歴!#REF!:'終値履歴'!WZO67)+4,1,-1)</f>
        <v>0</v>
      </c>
      <c r="G13" s="15">
        <f ca="1">OFFSET(終値履歴!A67,0,COUNTA(終値履歴!#REF!:'終値履歴'!WZO67)+5,1,-1)</f>
        <v>0</v>
      </c>
      <c r="I13" s="74" t="e">
        <f t="shared" ca="1" si="21"/>
        <v>#DIV/0!</v>
      </c>
      <c r="J13" s="74" t="e">
        <f t="shared" ca="1" si="22"/>
        <v>#DIV/0!</v>
      </c>
      <c r="K13" s="74" t="e">
        <f t="shared" ca="1" si="23"/>
        <v>#DIV/0!</v>
      </c>
      <c r="M13" s="74" t="e">
        <f t="shared" ca="1" si="24"/>
        <v>#DIV/0!</v>
      </c>
      <c r="N13" s="74" t="e">
        <f t="shared" ca="1" si="25"/>
        <v>#DIV/0!</v>
      </c>
      <c r="P13" s="71">
        <f t="shared" ca="1" si="26"/>
        <v>0</v>
      </c>
      <c r="Q13" s="12" t="str">
        <f t="shared" ca="1" si="27"/>
        <v>割安</v>
      </c>
      <c r="R13" s="21">
        <f>終値履歴!D67</f>
        <v>0</v>
      </c>
      <c r="S13" s="125" t="e">
        <f t="shared" ca="1" si="28"/>
        <v>#DIV/0!</v>
      </c>
      <c r="T13" s="21">
        <f>終値履歴!E67</f>
        <v>0</v>
      </c>
      <c r="U13" s="125" t="e">
        <f t="shared" ca="1" si="29"/>
        <v>#DIV/0!</v>
      </c>
      <c r="W13" s="21">
        <f>終値履歴!F67</f>
        <v>0</v>
      </c>
      <c r="X13" s="125" t="e">
        <f t="shared" ca="1" si="30"/>
        <v>#DIV/0!</v>
      </c>
    </row>
    <row r="14" spans="1:28" x14ac:dyDescent="0.25">
      <c r="B14" s="63">
        <f>IPO監視一覧!B114</f>
        <v>0</v>
      </c>
      <c r="C14" s="76">
        <f>株価一覧!H125</f>
        <v>0</v>
      </c>
      <c r="D14" s="15">
        <f ca="1">OFFSET(終値履歴!A68,0,COUNTA(終値履歴!#REF!:'終値履歴'!WZO68)+2,1,-1)</f>
        <v>0</v>
      </c>
      <c r="E14" s="15">
        <f ca="1">OFFSET(終値履歴!A68,0,COUNTA(終値履歴!#REF!:'終値履歴'!WZO68)+3,1,-1)</f>
        <v>0</v>
      </c>
      <c r="F14" s="15">
        <f ca="1">OFFSET(終値履歴!A68,0,COUNTA(終値履歴!#REF!:'終値履歴'!WZO68)+4,1,-1)</f>
        <v>0</v>
      </c>
      <c r="G14" s="15">
        <f ca="1">OFFSET(終値履歴!A68,0,COUNTA(終値履歴!#REF!:'終値履歴'!WZO68)+5,1,-1)</f>
        <v>0</v>
      </c>
      <c r="I14" s="74" t="e">
        <f t="shared" ca="1" si="21"/>
        <v>#DIV/0!</v>
      </c>
      <c r="J14" s="74" t="e">
        <f t="shared" ca="1" si="22"/>
        <v>#DIV/0!</v>
      </c>
      <c r="K14" s="74" t="e">
        <f t="shared" ca="1" si="23"/>
        <v>#DIV/0!</v>
      </c>
      <c r="M14" s="74" t="e">
        <f t="shared" ca="1" si="24"/>
        <v>#DIV/0!</v>
      </c>
      <c r="N14" s="74" t="e">
        <f t="shared" ca="1" si="25"/>
        <v>#DIV/0!</v>
      </c>
      <c r="P14" s="71">
        <f t="shared" ca="1" si="26"/>
        <v>0</v>
      </c>
      <c r="Q14" s="12" t="str">
        <f t="shared" ca="1" si="27"/>
        <v>割安</v>
      </c>
      <c r="R14" s="21">
        <f>終値履歴!D68</f>
        <v>0</v>
      </c>
      <c r="S14" s="125" t="e">
        <f t="shared" ca="1" si="28"/>
        <v>#DIV/0!</v>
      </c>
      <c r="T14" s="21">
        <f>終値履歴!E68</f>
        <v>0</v>
      </c>
      <c r="U14" s="125" t="e">
        <f t="shared" ca="1" si="29"/>
        <v>#DIV/0!</v>
      </c>
      <c r="W14" s="21">
        <f>終値履歴!F68</f>
        <v>0</v>
      </c>
      <c r="X14" s="125" t="e">
        <f t="shared" ca="1" si="30"/>
        <v>#DIV/0!</v>
      </c>
    </row>
    <row r="15" spans="1:28" x14ac:dyDescent="0.25">
      <c r="B15" s="63">
        <f>IPO監視一覧!B115</f>
        <v>0</v>
      </c>
      <c r="C15" s="76">
        <f>株価一覧!H126</f>
        <v>0</v>
      </c>
      <c r="D15" s="15">
        <f ca="1">OFFSET(終値履歴!A69,0,COUNTA(終値履歴!#REF!:'終値履歴'!WZO69)+2,1,-1)</f>
        <v>0</v>
      </c>
      <c r="E15" s="15">
        <f ca="1">OFFSET(終値履歴!A69,0,COUNTA(終値履歴!#REF!:'終値履歴'!WZO69)+3,1,-1)</f>
        <v>0</v>
      </c>
      <c r="F15" s="15">
        <f ca="1">OFFSET(終値履歴!A69,0,COUNTA(終値履歴!#REF!:'終値履歴'!WZO69)+4,1,-1)</f>
        <v>0</v>
      </c>
      <c r="G15" s="15">
        <f ca="1">OFFSET(終値履歴!A69,0,COUNTA(終値履歴!#REF!:'終値履歴'!WZO69)+5,1,-1)</f>
        <v>0</v>
      </c>
      <c r="I15" s="74" t="e">
        <f t="shared" ca="1" si="21"/>
        <v>#DIV/0!</v>
      </c>
      <c r="J15" s="74" t="e">
        <f t="shared" ca="1" si="22"/>
        <v>#DIV/0!</v>
      </c>
      <c r="K15" s="74" t="e">
        <f t="shared" ca="1" si="23"/>
        <v>#DIV/0!</v>
      </c>
      <c r="M15" s="74" t="e">
        <f t="shared" ca="1" si="24"/>
        <v>#DIV/0!</v>
      </c>
      <c r="N15" s="74" t="e">
        <f t="shared" ca="1" si="25"/>
        <v>#DIV/0!</v>
      </c>
      <c r="P15" s="71">
        <f t="shared" ca="1" si="26"/>
        <v>0</v>
      </c>
      <c r="Q15" s="12" t="str">
        <f t="shared" ca="1" si="27"/>
        <v>割安</v>
      </c>
      <c r="R15" s="21">
        <f>終値履歴!D69</f>
        <v>0</v>
      </c>
      <c r="S15" s="125" t="e">
        <f t="shared" ca="1" si="28"/>
        <v>#DIV/0!</v>
      </c>
      <c r="T15" s="21">
        <f>終値履歴!E69</f>
        <v>0</v>
      </c>
      <c r="U15" s="125" t="e">
        <f t="shared" ca="1" si="29"/>
        <v>#DIV/0!</v>
      </c>
      <c r="W15" s="21">
        <f>終値履歴!F69</f>
        <v>0</v>
      </c>
      <c r="X15" s="125" t="e">
        <f t="shared" ca="1" si="30"/>
        <v>#DIV/0!</v>
      </c>
    </row>
    <row r="16" spans="1:28" x14ac:dyDescent="0.25">
      <c r="B16" s="63">
        <f>IPO監視一覧!B116</f>
        <v>0</v>
      </c>
      <c r="C16" s="76">
        <f>株価一覧!H127</f>
        <v>0</v>
      </c>
      <c r="D16" s="15">
        <f ca="1">OFFSET(終値履歴!A70,0,COUNTA(終値履歴!#REF!:'終値履歴'!WZO70)+2,1,-1)</f>
        <v>0</v>
      </c>
      <c r="E16" s="15">
        <f ca="1">OFFSET(終値履歴!A70,0,COUNTA(終値履歴!#REF!:'終値履歴'!WZO70)+3,1,-1)</f>
        <v>0</v>
      </c>
      <c r="F16" s="15">
        <f ca="1">OFFSET(終値履歴!A70,0,COUNTA(終値履歴!#REF!:'終値履歴'!WZO70)+4,1,-1)</f>
        <v>0</v>
      </c>
      <c r="G16" s="15">
        <f ca="1">OFFSET(終値履歴!A70,0,COUNTA(終値履歴!#REF!:'終値履歴'!WZO70)+5,1,-1)</f>
        <v>0</v>
      </c>
      <c r="I16" s="74" t="e">
        <f t="shared" ca="1" si="21"/>
        <v>#DIV/0!</v>
      </c>
      <c r="J16" s="74" t="e">
        <f t="shared" ca="1" si="22"/>
        <v>#DIV/0!</v>
      </c>
      <c r="K16" s="74" t="e">
        <f t="shared" ca="1" si="23"/>
        <v>#DIV/0!</v>
      </c>
      <c r="M16" s="74" t="e">
        <f t="shared" ca="1" si="24"/>
        <v>#DIV/0!</v>
      </c>
      <c r="N16" s="74" t="e">
        <f t="shared" ca="1" si="25"/>
        <v>#DIV/0!</v>
      </c>
      <c r="P16" s="71">
        <f t="shared" ca="1" si="26"/>
        <v>0</v>
      </c>
      <c r="Q16" s="12" t="str">
        <f t="shared" ca="1" si="27"/>
        <v>割安</v>
      </c>
      <c r="R16" s="21">
        <f>終値履歴!D70</f>
        <v>0</v>
      </c>
      <c r="S16" s="125" t="e">
        <f t="shared" ca="1" si="28"/>
        <v>#DIV/0!</v>
      </c>
      <c r="T16" s="21">
        <f>終値履歴!E70</f>
        <v>0</v>
      </c>
      <c r="U16" s="125" t="e">
        <f t="shared" ca="1" si="29"/>
        <v>#DIV/0!</v>
      </c>
      <c r="W16" s="21">
        <f>終値履歴!F70</f>
        <v>0</v>
      </c>
      <c r="X16" s="125" t="e">
        <f t="shared" ca="1" si="30"/>
        <v>#DIV/0!</v>
      </c>
    </row>
    <row r="17" spans="2:24" x14ac:dyDescent="0.25">
      <c r="B17" s="63">
        <f>IPO監視一覧!B117</f>
        <v>0</v>
      </c>
      <c r="C17" s="76">
        <f>株価一覧!H128</f>
        <v>0</v>
      </c>
      <c r="D17" s="15">
        <f ca="1">OFFSET(終値履歴!A71,0,COUNTA(終値履歴!#REF!:'終値履歴'!WZO71)+2,1,-1)</f>
        <v>0</v>
      </c>
      <c r="E17" s="15">
        <f ca="1">OFFSET(終値履歴!A71,0,COUNTA(終値履歴!#REF!:'終値履歴'!WZO71)+3,1,-1)</f>
        <v>0</v>
      </c>
      <c r="F17" s="15">
        <f ca="1">OFFSET(終値履歴!A71,0,COUNTA(終値履歴!#REF!:'終値履歴'!WZO71)+4,1,-1)</f>
        <v>0</v>
      </c>
      <c r="G17" s="15">
        <f ca="1">OFFSET(終値履歴!A71,0,COUNTA(終値履歴!#REF!:'終値履歴'!WZO71)+5,1,-1)</f>
        <v>0</v>
      </c>
      <c r="I17" s="74" t="e">
        <f t="shared" ca="1" si="21"/>
        <v>#DIV/0!</v>
      </c>
      <c r="J17" s="74" t="e">
        <f t="shared" ca="1" si="22"/>
        <v>#DIV/0!</v>
      </c>
      <c r="K17" s="74" t="e">
        <f t="shared" ca="1" si="23"/>
        <v>#DIV/0!</v>
      </c>
      <c r="M17" s="74" t="e">
        <f t="shared" ca="1" si="24"/>
        <v>#DIV/0!</v>
      </c>
      <c r="N17" s="74" t="e">
        <f t="shared" ca="1" si="25"/>
        <v>#DIV/0!</v>
      </c>
      <c r="P17" s="71">
        <f t="shared" ca="1" si="26"/>
        <v>0</v>
      </c>
      <c r="Q17" s="12" t="str">
        <f t="shared" ca="1" si="27"/>
        <v>割安</v>
      </c>
      <c r="R17" s="21">
        <f>終値履歴!D71</f>
        <v>0</v>
      </c>
      <c r="S17" s="125" t="e">
        <f t="shared" ca="1" si="28"/>
        <v>#DIV/0!</v>
      </c>
      <c r="T17" s="21">
        <f>終値履歴!E71</f>
        <v>0</v>
      </c>
      <c r="U17" s="125" t="e">
        <f t="shared" ca="1" si="29"/>
        <v>#DIV/0!</v>
      </c>
      <c r="W17" s="21">
        <f>終値履歴!F71</f>
        <v>0</v>
      </c>
      <c r="X17" s="125" t="e">
        <f t="shared" ca="1" si="30"/>
        <v>#DIV/0!</v>
      </c>
    </row>
  </sheetData>
  <mergeCells count="2">
    <mergeCell ref="I1:K1"/>
    <mergeCell ref="M1:N1"/>
  </mergeCells>
  <phoneticPr fontId="2"/>
  <conditionalFormatting sqref="O2">
    <cfRule type="cellIs" dxfId="36" priority="140" operator="lessThan">
      <formula>-0.1</formula>
    </cfRule>
  </conditionalFormatting>
  <conditionalFormatting sqref="O2">
    <cfRule type="cellIs" dxfId="35" priority="139" operator="lessThan">
      <formula>-0.1</formula>
    </cfRule>
  </conditionalFormatting>
  <conditionalFormatting sqref="I6:N1048576">
    <cfRule type="cellIs" dxfId="34" priority="138" operator="lessThan">
      <formula>-0.07</formula>
    </cfRule>
  </conditionalFormatting>
  <conditionalFormatting sqref="I6:N1048576">
    <cfRule type="cellIs" dxfId="33" priority="137" operator="greaterThan">
      <formula>0</formula>
    </cfRule>
  </conditionalFormatting>
  <conditionalFormatting sqref="C2 C12:C1048576">
    <cfRule type="cellIs" dxfId="32" priority="135" operator="lessThan">
      <formula>100000</formula>
    </cfRule>
    <cfRule type="cellIs" dxfId="31" priority="136" operator="lessThan">
      <formula>1000000</formula>
    </cfRule>
  </conditionalFormatting>
  <conditionalFormatting sqref="P6:P1048576">
    <cfRule type="cellIs" dxfId="30" priority="134" operator="greaterThan">
      <formula>0</formula>
    </cfRule>
  </conditionalFormatting>
  <conditionalFormatting sqref="P1:P2 P6:P1048576">
    <cfRule type="cellIs" dxfId="29" priority="133" operator="lessThan">
      <formula>0</formula>
    </cfRule>
  </conditionalFormatting>
  <conditionalFormatting sqref="U1:U2 S12:S1048576 U6:U1048576">
    <cfRule type="cellIs" dxfId="28" priority="131" operator="greaterThan">
      <formula>0.04</formula>
    </cfRule>
    <cfRule type="cellIs" dxfId="27" priority="132" operator="lessThan">
      <formula>0</formula>
    </cfRule>
  </conditionalFormatting>
  <conditionalFormatting sqref="B6:B1048576">
    <cfRule type="expression" dxfId="26" priority="129">
      <formula>$U6&gt;=0.1</formula>
    </cfRule>
    <cfRule type="expression" dxfId="25" priority="130">
      <formula>$G6&gt;$T6</formula>
    </cfRule>
  </conditionalFormatting>
  <conditionalFormatting sqref="X6:X1048576">
    <cfRule type="cellIs" dxfId="24" priority="127" operator="greaterThan">
      <formula>0.1</formula>
    </cfRule>
  </conditionalFormatting>
  <conditionalFormatting sqref="T6:XFD11 B12:XFD1048576 B6:B11 H6:Q11">
    <cfRule type="expression" dxfId="23" priority="115">
      <formula>CELL("ROW")=ROW()</formula>
    </cfRule>
  </conditionalFormatting>
  <conditionalFormatting sqref="V1:V1048576 Q1:Q1048576 L1:L1048576 O1:O1048576 Y1:Y1048576 H1:H1048576 A1:A1048576">
    <cfRule type="expression" dxfId="22" priority="114">
      <formula>CELL("ROW")=ROW()</formula>
    </cfRule>
  </conditionalFormatting>
  <conditionalFormatting sqref="S1:S2 S6:S11">
    <cfRule type="cellIs" dxfId="21" priority="112" operator="greaterThan">
      <formula>0.04</formula>
    </cfRule>
    <cfRule type="cellIs" dxfId="20" priority="113" operator="lessThan">
      <formula>0</formula>
    </cfRule>
  </conditionalFormatting>
  <conditionalFormatting sqref="R6:S11">
    <cfRule type="expression" dxfId="19" priority="109">
      <formula>CELL("ROW")=ROW()</formula>
    </cfRule>
  </conditionalFormatting>
  <conditionalFormatting sqref="Q1:Q2 Q6:Q1048576">
    <cfRule type="cellIs" dxfId="18" priority="107" operator="equal">
      <formula>"割安"</formula>
    </cfRule>
    <cfRule type="cellIs" dxfId="17" priority="108" operator="equal">
      <formula>"普通"</formula>
    </cfRule>
  </conditionalFormatting>
  <conditionalFormatting sqref="I3:N5">
    <cfRule type="cellIs" dxfId="16" priority="19" operator="lessThan">
      <formula>-0.07</formula>
    </cfRule>
  </conditionalFormatting>
  <conditionalFormatting sqref="I3:N5">
    <cfRule type="cellIs" dxfId="15" priority="18" operator="greaterThan">
      <formula>0</formula>
    </cfRule>
  </conditionalFormatting>
  <conditionalFormatting sqref="P3:P5">
    <cfRule type="cellIs" dxfId="14" priority="15" operator="greaterThan">
      <formula>0</formula>
    </cfRule>
  </conditionalFormatting>
  <conditionalFormatting sqref="P3:P5">
    <cfRule type="cellIs" dxfId="13" priority="14" operator="lessThan">
      <formula>0</formula>
    </cfRule>
  </conditionalFormatting>
  <conditionalFormatting sqref="S3:S5 U3:U5">
    <cfRule type="cellIs" dxfId="12" priority="12" operator="greaterThan">
      <formula>0.04</formula>
    </cfRule>
    <cfRule type="cellIs" dxfId="11" priority="13" operator="lessThan">
      <formula>0</formula>
    </cfRule>
  </conditionalFormatting>
  <conditionalFormatting sqref="X3:X5">
    <cfRule type="cellIs" dxfId="10" priority="9" operator="greaterThan">
      <formula>0.1</formula>
    </cfRule>
  </conditionalFormatting>
  <conditionalFormatting sqref="D3:XFD5 D6:G11">
    <cfRule type="expression" dxfId="9" priority="8">
      <formula>CELL("ROW")=ROW()</formula>
    </cfRule>
  </conditionalFormatting>
  <conditionalFormatting sqref="V3:V5 Q3:Q5 L3:L5 O3:O5 Y3:Y5 H3:H5 A3:A5">
    <cfRule type="expression" dxfId="8" priority="7">
      <formula>CELL("ROW")=ROW()</formula>
    </cfRule>
  </conditionalFormatting>
  <conditionalFormatting sqref="Q3:Q5">
    <cfRule type="cellIs" dxfId="7" priority="5" operator="equal">
      <formula>"割安"</formula>
    </cfRule>
    <cfRule type="cellIs" dxfId="6" priority="6" operator="equal">
      <formula>"普通"</formula>
    </cfRule>
  </conditionalFormatting>
  <conditionalFormatting sqref="B3:B5">
    <cfRule type="expression" dxfId="5" priority="4">
      <formula>CELL("ROW")=ROW()</formula>
    </cfRule>
  </conditionalFormatting>
  <conditionalFormatting sqref="C3:C11">
    <cfRule type="cellIs" dxfId="4" priority="2" operator="lessThan">
      <formula>100000</formula>
    </cfRule>
    <cfRule type="cellIs" dxfId="3" priority="3" operator="lessThan">
      <formula>1000000</formula>
    </cfRule>
  </conditionalFormatting>
  <conditionalFormatting sqref="C3:C11">
    <cfRule type="expression" dxfId="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Q19"/>
  <sheetViews>
    <sheetView zoomScale="70" zoomScaleNormal="70" workbookViewId="0">
      <pane xSplit="6" ySplit="2" topLeftCell="G3" activePane="bottomRight" state="frozen"/>
      <selection activeCell="F62" sqref="F62"/>
      <selection pane="topRight" activeCell="F62" sqref="F62"/>
      <selection pane="bottomLeft" activeCell="F62" sqref="F62"/>
      <selection pane="bottomRight" activeCell="H32" sqref="H32"/>
    </sheetView>
  </sheetViews>
  <sheetFormatPr defaultColWidth="8" defaultRowHeight="15.75" x14ac:dyDescent="0.25"/>
  <cols>
    <col min="1" max="1" width="4.33203125" style="54" customWidth="1"/>
    <col min="2" max="2" width="26.21875" style="28" bestFit="1" customWidth="1"/>
    <col min="3" max="4" width="15" style="130" customWidth="1"/>
    <col min="5" max="6" width="13.77734375" style="130" customWidth="1"/>
    <col min="7" max="8" width="13" style="218" bestFit="1" customWidth="1"/>
    <col min="9" max="17" width="11.6640625" style="218" bestFit="1" customWidth="1"/>
    <col min="18" max="16384" width="8" style="218"/>
  </cols>
  <sheetData>
    <row r="1" spans="1:17" s="221" customFormat="1" x14ac:dyDescent="0.25">
      <c r="A1" s="220" t="s">
        <v>103</v>
      </c>
      <c r="B1" s="221" t="s">
        <v>104</v>
      </c>
      <c r="C1" s="222"/>
      <c r="D1" s="223"/>
      <c r="E1" s="222"/>
      <c r="F1" s="222"/>
    </row>
    <row r="2" spans="1:17" s="226" customFormat="1" ht="16.5" thickBot="1" x14ac:dyDescent="0.3">
      <c r="A2" s="109" t="s">
        <v>23</v>
      </c>
      <c r="B2" s="109" t="s">
        <v>17</v>
      </c>
      <c r="C2" s="109" t="s">
        <v>105</v>
      </c>
      <c r="D2" s="109" t="s">
        <v>128</v>
      </c>
      <c r="E2" s="109" t="s">
        <v>125</v>
      </c>
      <c r="F2" s="109" t="s">
        <v>126</v>
      </c>
      <c r="G2" s="225">
        <v>43145</v>
      </c>
      <c r="H2" s="225">
        <v>43146</v>
      </c>
      <c r="I2" s="225">
        <v>43147</v>
      </c>
      <c r="J2" s="225">
        <v>43148</v>
      </c>
      <c r="K2" s="225">
        <v>43149</v>
      </c>
      <c r="L2" s="225">
        <v>43150</v>
      </c>
      <c r="M2" s="225">
        <v>43151</v>
      </c>
      <c r="N2" s="225">
        <v>43152</v>
      </c>
      <c r="O2" s="225">
        <v>43153</v>
      </c>
      <c r="P2" s="225">
        <v>43154</v>
      </c>
      <c r="Q2" s="225">
        <v>43155</v>
      </c>
    </row>
    <row r="3" spans="1:17" s="219" customFormat="1" ht="16.5" thickTop="1" x14ac:dyDescent="0.25">
      <c r="A3" s="47" t="s">
        <v>133</v>
      </c>
      <c r="B3" s="47" t="str">
        <f>セカンダリ投資分析!B3</f>
        <v>リミックスポイント</v>
      </c>
      <c r="C3" s="217">
        <f>株価一覧!E2</f>
        <v>875</v>
      </c>
      <c r="D3" s="224">
        <f t="shared" ref="D3:D17" ca="1" si="0">AVERAGE(OFFSET(A3,0,COUNTA(G3:XFD3)+5,1,-5))</f>
        <v>0</v>
      </c>
      <c r="E3" s="224">
        <f ca="1">AVERAGE(OFFSET(A3,0,COUNTA(G3:XFD3)+5,1,-10))</f>
        <v>0</v>
      </c>
      <c r="F3" s="224">
        <f t="shared" ref="F3:F17" ca="1" si="1">MIN(OFFSET(B3,0,COUNTA(G3:XFD3)+5,1,-10))</f>
        <v>0</v>
      </c>
      <c r="G3" s="219">
        <v>875</v>
      </c>
      <c r="H3" s="219">
        <v>0</v>
      </c>
      <c r="I3" s="219">
        <v>0</v>
      </c>
      <c r="J3" s="219">
        <v>0</v>
      </c>
      <c r="K3" s="219">
        <v>0</v>
      </c>
      <c r="L3" s="219">
        <v>0</v>
      </c>
      <c r="M3" s="219">
        <v>0</v>
      </c>
      <c r="N3" s="219">
        <v>0</v>
      </c>
      <c r="O3" s="219">
        <v>0</v>
      </c>
      <c r="P3" s="219">
        <v>0</v>
      </c>
      <c r="Q3" s="219">
        <v>0</v>
      </c>
    </row>
    <row r="4" spans="1:17" x14ac:dyDescent="0.25">
      <c r="A4" s="54" t="s">
        <v>133</v>
      </c>
      <c r="B4" s="54" t="str">
        <f>セカンダリ投資分析!B5</f>
        <v>トレイダーズHD</v>
      </c>
      <c r="C4" s="217">
        <f>株価一覧!E3</f>
        <v>125</v>
      </c>
      <c r="D4" s="139">
        <f t="shared" ca="1" si="0"/>
        <v>0</v>
      </c>
      <c r="E4" s="128">
        <f t="shared" ref="E3:E17" ca="1" si="2">AVERAGE(OFFSET(A4,0,COUNTA(G4:XFD4)+5,1,-10))</f>
        <v>0</v>
      </c>
      <c r="F4" s="128">
        <f t="shared" ca="1" si="1"/>
        <v>0</v>
      </c>
      <c r="G4" s="218">
        <v>125</v>
      </c>
      <c r="H4" s="218">
        <v>0</v>
      </c>
      <c r="I4" s="218">
        <v>0</v>
      </c>
      <c r="J4" s="218">
        <v>0</v>
      </c>
      <c r="K4" s="218">
        <v>0</v>
      </c>
      <c r="L4" s="218">
        <v>0</v>
      </c>
      <c r="M4" s="218">
        <v>0</v>
      </c>
      <c r="N4" s="218">
        <v>0</v>
      </c>
      <c r="O4" s="218">
        <v>0</v>
      </c>
      <c r="P4" s="218">
        <v>0</v>
      </c>
      <c r="Q4" s="218">
        <v>0</v>
      </c>
    </row>
    <row r="5" spans="1:17" x14ac:dyDescent="0.25">
      <c r="A5" s="54" t="s">
        <v>133</v>
      </c>
      <c r="B5" s="54" t="str">
        <f>セカンダリ投資分析!B6</f>
        <v>ソレイジア・ファーマ</v>
      </c>
      <c r="C5" s="217">
        <f>株価一覧!E4</f>
        <v>290</v>
      </c>
      <c r="D5" s="139">
        <f t="shared" ca="1" si="0"/>
        <v>0</v>
      </c>
      <c r="E5" s="128">
        <f t="shared" ca="1" si="2"/>
        <v>0</v>
      </c>
      <c r="F5" s="128">
        <f t="shared" ca="1" si="1"/>
        <v>0</v>
      </c>
      <c r="G5" s="218">
        <v>290</v>
      </c>
      <c r="H5" s="218">
        <v>0</v>
      </c>
      <c r="I5" s="218">
        <v>0</v>
      </c>
      <c r="J5" s="218">
        <v>0</v>
      </c>
      <c r="K5" s="218">
        <v>0</v>
      </c>
      <c r="L5" s="218">
        <v>0</v>
      </c>
      <c r="M5" s="218">
        <v>0</v>
      </c>
      <c r="N5" s="218">
        <v>0</v>
      </c>
      <c r="O5" s="218">
        <v>0</v>
      </c>
      <c r="P5" s="218">
        <v>0</v>
      </c>
      <c r="Q5" s="218">
        <v>0</v>
      </c>
    </row>
    <row r="6" spans="1:17" s="219" customFormat="1" x14ac:dyDescent="0.25">
      <c r="A6" s="54" t="str">
        <f>IPO監視一覧!H3</f>
        <v>A</v>
      </c>
      <c r="B6" s="47" t="str">
        <f>IPO監視一覧!B3</f>
        <v>Ｍマート</v>
      </c>
      <c r="C6" s="217">
        <f>株価一覧!E5</f>
        <v>0</v>
      </c>
      <c r="D6" s="128">
        <f t="shared" ca="1" si="0"/>
        <v>0</v>
      </c>
      <c r="E6" s="128" t="e">
        <f t="shared" ca="1" si="2"/>
        <v>#REF!</v>
      </c>
      <c r="F6" s="128" t="e">
        <f t="shared" ca="1" si="1"/>
        <v>#REF!</v>
      </c>
      <c r="G6" s="219">
        <v>0</v>
      </c>
      <c r="H6" s="219">
        <v>0</v>
      </c>
    </row>
    <row r="7" spans="1:17" x14ac:dyDescent="0.25">
      <c r="A7" s="54" t="str">
        <f>IPO監視一覧!H4</f>
        <v>A</v>
      </c>
      <c r="B7" s="54" t="str">
        <f>IPO監視一覧!B4</f>
        <v>ジェイテックコーポレーション</v>
      </c>
      <c r="C7" s="217">
        <f>株価一覧!E6</f>
        <v>0</v>
      </c>
      <c r="D7" s="139">
        <f t="shared" ca="1" si="0"/>
        <v>0</v>
      </c>
      <c r="E7" s="128" t="e">
        <f t="shared" ca="1" si="2"/>
        <v>#REF!</v>
      </c>
      <c r="F7" s="128" t="e">
        <f t="shared" ca="1" si="1"/>
        <v>#REF!</v>
      </c>
      <c r="G7" s="218">
        <v>0</v>
      </c>
      <c r="H7" s="218">
        <v>0</v>
      </c>
    </row>
    <row r="8" spans="1:17" x14ac:dyDescent="0.25">
      <c r="A8" s="54" t="str">
        <f>IPO監視一覧!H5</f>
        <v>B</v>
      </c>
      <c r="B8" s="54" t="str">
        <f>IPO監視一覧!B5</f>
        <v>ＳＥＲＩＯＨＤ</v>
      </c>
      <c r="C8" s="217">
        <f>株価一覧!E7</f>
        <v>0</v>
      </c>
      <c r="D8" s="139">
        <f t="shared" ca="1" si="0"/>
        <v>0</v>
      </c>
      <c r="E8" s="128" t="e">
        <f t="shared" ca="1" si="2"/>
        <v>#REF!</v>
      </c>
      <c r="F8" s="128" t="e">
        <f t="shared" ca="1" si="1"/>
        <v>#REF!</v>
      </c>
      <c r="G8" s="218">
        <v>0</v>
      </c>
      <c r="H8" s="218">
        <v>0</v>
      </c>
    </row>
    <row r="9" spans="1:17" x14ac:dyDescent="0.25">
      <c r="A9" s="54" t="str">
        <f>IPO監視一覧!H6</f>
        <v>C</v>
      </c>
      <c r="B9" s="54" t="str">
        <f>IPO監視一覧!B6</f>
        <v>神戸天然物化学</v>
      </c>
      <c r="C9" s="217">
        <f>株価一覧!E8</f>
        <v>0</v>
      </c>
      <c r="D9" s="139">
        <f t="shared" ca="1" si="0"/>
        <v>0</v>
      </c>
      <c r="E9" s="128" t="e">
        <f t="shared" ca="1" si="2"/>
        <v>#REF!</v>
      </c>
      <c r="F9" s="128" t="e">
        <f t="shared" ca="1" si="1"/>
        <v>#REF!</v>
      </c>
      <c r="G9" s="218">
        <v>0</v>
      </c>
      <c r="H9" s="218">
        <v>0</v>
      </c>
    </row>
    <row r="10" spans="1:17" x14ac:dyDescent="0.25">
      <c r="A10" s="54" t="str">
        <f>IPO監視一覧!H7</f>
        <v>D</v>
      </c>
      <c r="B10" s="60" t="str">
        <f>IPO監視一覧!B7</f>
        <v>日総工産</v>
      </c>
      <c r="C10" s="217">
        <f>株価一覧!E9</f>
        <v>0</v>
      </c>
      <c r="D10" s="139">
        <f t="shared" ca="1" si="0"/>
        <v>0</v>
      </c>
      <c r="E10" s="128" t="e">
        <f t="shared" ca="1" si="2"/>
        <v>#REF!</v>
      </c>
      <c r="F10" s="128" t="e">
        <f t="shared" ca="1" si="1"/>
        <v>#REF!</v>
      </c>
      <c r="G10" s="218">
        <v>0</v>
      </c>
      <c r="H10" s="218">
        <v>0</v>
      </c>
    </row>
    <row r="11" spans="1:17" x14ac:dyDescent="0.25">
      <c r="A11" s="54" t="str">
        <f>IPO監視一覧!H8</f>
        <v>C</v>
      </c>
      <c r="B11" s="54" t="str">
        <f>IPO監視一覧!B8</f>
        <v>フェイスネットワーク</v>
      </c>
      <c r="C11" s="217">
        <f>株価一覧!E10</f>
        <v>0</v>
      </c>
      <c r="D11" s="139">
        <f t="shared" ca="1" si="0"/>
        <v>0</v>
      </c>
      <c r="E11" s="128" t="e">
        <f t="shared" ca="1" si="2"/>
        <v>#REF!</v>
      </c>
      <c r="F11" s="128" t="e">
        <f t="shared" ca="1" si="1"/>
        <v>#REF!</v>
      </c>
      <c r="G11" s="218">
        <v>0</v>
      </c>
      <c r="H11" s="218">
        <v>0</v>
      </c>
    </row>
    <row r="12" spans="1:17" x14ac:dyDescent="0.25">
      <c r="A12" s="54">
        <f>IPO監視一覧!H58</f>
        <v>0</v>
      </c>
      <c r="B12" s="63">
        <f>IPO監視一覧!B58</f>
        <v>0</v>
      </c>
      <c r="C12" s="217">
        <f>株価一覧!E11</f>
        <v>0</v>
      </c>
      <c r="D12" s="121">
        <f t="shared" ca="1" si="0"/>
        <v>0</v>
      </c>
      <c r="E12" s="129" t="e">
        <f t="shared" ca="1" si="2"/>
        <v>#REF!</v>
      </c>
      <c r="F12" s="129" t="e">
        <f t="shared" ca="1" si="1"/>
        <v>#REF!</v>
      </c>
      <c r="G12" s="218">
        <v>0</v>
      </c>
      <c r="H12" s="218">
        <v>0</v>
      </c>
    </row>
    <row r="13" spans="1:17" x14ac:dyDescent="0.25">
      <c r="A13" s="54">
        <f>IPO監視一覧!H59</f>
        <v>0</v>
      </c>
      <c r="B13" s="63">
        <f>IPO監視一覧!B59</f>
        <v>0</v>
      </c>
      <c r="C13" s="217">
        <f>株価一覧!E12</f>
        <v>0</v>
      </c>
      <c r="D13" s="121">
        <f t="shared" ca="1" si="0"/>
        <v>0</v>
      </c>
      <c r="E13" s="129" t="e">
        <f t="shared" ca="1" si="2"/>
        <v>#REF!</v>
      </c>
      <c r="F13" s="129" t="e">
        <f t="shared" ca="1" si="1"/>
        <v>#REF!</v>
      </c>
      <c r="G13" s="218">
        <v>0</v>
      </c>
      <c r="H13" s="218">
        <v>0</v>
      </c>
    </row>
    <row r="14" spans="1:17" x14ac:dyDescent="0.25">
      <c r="A14" s="54">
        <f>IPO監視一覧!H60</f>
        <v>0</v>
      </c>
      <c r="B14" s="63">
        <f>IPO監視一覧!B60</f>
        <v>0</v>
      </c>
      <c r="C14" s="217">
        <f>株価一覧!E13</f>
        <v>0</v>
      </c>
      <c r="D14" s="121">
        <f t="shared" ca="1" si="0"/>
        <v>0</v>
      </c>
      <c r="E14" s="129" t="e">
        <f t="shared" ca="1" si="2"/>
        <v>#REF!</v>
      </c>
      <c r="F14" s="129" t="e">
        <f t="shared" ca="1" si="1"/>
        <v>#REF!</v>
      </c>
      <c r="G14" s="218">
        <v>0</v>
      </c>
      <c r="H14" s="218">
        <v>0</v>
      </c>
    </row>
    <row r="15" spans="1:17" x14ac:dyDescent="0.25">
      <c r="A15" s="54">
        <f>IPO監視一覧!H61</f>
        <v>0</v>
      </c>
      <c r="B15" s="63">
        <f>IPO監視一覧!B61</f>
        <v>0</v>
      </c>
      <c r="C15" s="217">
        <f>株価一覧!E14</f>
        <v>0</v>
      </c>
      <c r="D15" s="121">
        <f t="shared" ca="1" si="0"/>
        <v>0</v>
      </c>
      <c r="E15" s="129" t="e">
        <f t="shared" ca="1" si="2"/>
        <v>#REF!</v>
      </c>
      <c r="F15" s="129" t="e">
        <f t="shared" ca="1" si="1"/>
        <v>#REF!</v>
      </c>
      <c r="G15" s="218">
        <v>0</v>
      </c>
      <c r="H15" s="218">
        <v>0</v>
      </c>
    </row>
    <row r="16" spans="1:17" x14ac:dyDescent="0.25">
      <c r="A16" s="54">
        <f>IPO監視一覧!H62</f>
        <v>0</v>
      </c>
      <c r="B16" s="63">
        <f>IPO監視一覧!B62</f>
        <v>0</v>
      </c>
      <c r="C16" s="217">
        <f>株価一覧!E15</f>
        <v>0</v>
      </c>
      <c r="D16" s="121">
        <f t="shared" ca="1" si="0"/>
        <v>0</v>
      </c>
      <c r="E16" s="129" t="e">
        <f t="shared" ca="1" si="2"/>
        <v>#REF!</v>
      </c>
      <c r="F16" s="129" t="e">
        <f t="shared" ca="1" si="1"/>
        <v>#REF!</v>
      </c>
      <c r="G16" s="218">
        <v>0</v>
      </c>
      <c r="H16" s="218">
        <v>0</v>
      </c>
    </row>
    <row r="17" spans="1:8" x14ac:dyDescent="0.25">
      <c r="A17" s="54">
        <f>IPO監視一覧!H63</f>
        <v>0</v>
      </c>
      <c r="B17" s="63">
        <f>IPO監視一覧!B63</f>
        <v>0</v>
      </c>
      <c r="C17" s="217">
        <f>株価一覧!E16</f>
        <v>0</v>
      </c>
      <c r="D17" s="121">
        <f t="shared" ca="1" si="0"/>
        <v>0</v>
      </c>
      <c r="E17" s="129" t="e">
        <f t="shared" ca="1" si="2"/>
        <v>#REF!</v>
      </c>
      <c r="F17" s="129" t="e">
        <f t="shared" ca="1" si="1"/>
        <v>#REF!</v>
      </c>
      <c r="G17" s="218">
        <v>0</v>
      </c>
      <c r="H17" s="218">
        <v>0</v>
      </c>
    </row>
    <row r="18" spans="1:8" x14ac:dyDescent="0.25">
      <c r="B18" s="63"/>
      <c r="C18" s="131"/>
      <c r="D18" s="131"/>
      <c r="E18" s="131"/>
      <c r="F18" s="131"/>
      <c r="G18" s="218">
        <v>0</v>
      </c>
      <c r="H18" s="218">
        <v>0</v>
      </c>
    </row>
    <row r="19" spans="1:8" x14ac:dyDescent="0.25">
      <c r="B19" s="63"/>
      <c r="C19" s="131"/>
      <c r="D19" s="131"/>
      <c r="E19" s="131"/>
      <c r="F19" s="131"/>
      <c r="G19" s="218">
        <v>0</v>
      </c>
      <c r="H19" s="218">
        <v>0</v>
      </c>
    </row>
  </sheetData>
  <phoneticPr fontId="2"/>
  <conditionalFormatting sqref="A1:XFD1048576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G14" sqref="G1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197</v>
      </c>
      <c r="C2" s="4" t="s">
        <v>198</v>
      </c>
      <c r="D2" s="5">
        <v>100</v>
      </c>
      <c r="E2" s="6">
        <v>875</v>
      </c>
      <c r="F2" s="7">
        <v>84</v>
      </c>
      <c r="G2" s="8">
        <v>10.62</v>
      </c>
      <c r="H2" s="5">
        <v>14612100</v>
      </c>
      <c r="I2" s="5">
        <v>903</v>
      </c>
      <c r="J2" s="5">
        <v>938</v>
      </c>
      <c r="K2" s="5">
        <v>806</v>
      </c>
      <c r="L2" s="9">
        <v>43145</v>
      </c>
      <c r="M2" s="10">
        <v>0.62430555555555556</v>
      </c>
      <c r="N2" s="1" t="s">
        <v>199</v>
      </c>
      <c r="O2" s="5"/>
    </row>
    <row r="3" spans="1:15" x14ac:dyDescent="0.15">
      <c r="A3" s="1">
        <v>8704</v>
      </c>
      <c r="B3" s="3" t="s">
        <v>200</v>
      </c>
      <c r="C3" s="1" t="s">
        <v>201</v>
      </c>
      <c r="D3" s="5">
        <v>100</v>
      </c>
      <c r="E3" s="6">
        <v>125</v>
      </c>
      <c r="F3" s="7">
        <v>-4</v>
      </c>
      <c r="G3" s="8">
        <v>-3.1</v>
      </c>
      <c r="H3" s="5">
        <v>2452700</v>
      </c>
      <c r="I3" s="5">
        <v>129</v>
      </c>
      <c r="J3" s="5">
        <v>131</v>
      </c>
      <c r="K3" s="5">
        <v>123</v>
      </c>
      <c r="L3" s="9">
        <v>43145</v>
      </c>
      <c r="M3" s="10">
        <v>0.625</v>
      </c>
      <c r="N3" s="1" t="s">
        <v>202</v>
      </c>
      <c r="O3" s="5"/>
    </row>
    <row r="4" spans="1:15" x14ac:dyDescent="0.15">
      <c r="A4" s="1">
        <v>4597</v>
      </c>
      <c r="B4" s="3" t="s">
        <v>203</v>
      </c>
      <c r="C4" s="1" t="s">
        <v>204</v>
      </c>
      <c r="D4" s="5">
        <v>100</v>
      </c>
      <c r="E4" s="6">
        <v>290</v>
      </c>
      <c r="F4" s="7">
        <v>-11</v>
      </c>
      <c r="G4" s="8">
        <v>-3.65</v>
      </c>
      <c r="H4" s="5">
        <v>3114500</v>
      </c>
      <c r="I4" s="5">
        <v>300</v>
      </c>
      <c r="J4" s="5">
        <v>304</v>
      </c>
      <c r="K4" s="5">
        <v>287</v>
      </c>
      <c r="L4" s="9">
        <v>43145</v>
      </c>
      <c r="M4" s="10">
        <v>0.625</v>
      </c>
      <c r="N4" s="1" t="s">
        <v>205</v>
      </c>
      <c r="O4" s="5"/>
    </row>
    <row r="5" spans="1:15" x14ac:dyDescent="0.15">
      <c r="B5" s="3"/>
      <c r="C5" s="4"/>
      <c r="D5" s="5"/>
      <c r="E5" s="6"/>
      <c r="F5" s="7"/>
      <c r="G5" s="8"/>
      <c r="H5" s="5"/>
      <c r="I5" s="5"/>
      <c r="J5" s="5"/>
      <c r="K5" s="5"/>
      <c r="L5" s="9"/>
      <c r="M5" s="10"/>
      <c r="O5" s="5"/>
    </row>
    <row r="6" spans="1:15" x14ac:dyDescent="0.15">
      <c r="B6" s="3"/>
      <c r="C6" s="4"/>
      <c r="D6" s="5"/>
      <c r="E6" s="6"/>
      <c r="F6" s="7"/>
      <c r="G6" s="8"/>
      <c r="H6" s="5"/>
      <c r="I6" s="5"/>
      <c r="J6" s="5"/>
      <c r="K6" s="5"/>
      <c r="L6" s="9"/>
      <c r="M6" s="10"/>
      <c r="O6" s="5"/>
    </row>
    <row r="7" spans="1:15" x14ac:dyDescent="0.15">
      <c r="B7" s="3"/>
      <c r="C7" s="4"/>
      <c r="D7" s="5"/>
      <c r="E7" s="6"/>
      <c r="F7" s="7"/>
      <c r="G7" s="8"/>
      <c r="H7" s="5"/>
      <c r="I7" s="5"/>
      <c r="J7" s="5"/>
      <c r="K7" s="5"/>
      <c r="L7" s="11"/>
      <c r="M7" s="10"/>
      <c r="O7" s="5"/>
    </row>
    <row r="8" spans="1:15" x14ac:dyDescent="0.15">
      <c r="B8" s="3"/>
      <c r="D8" s="5"/>
      <c r="E8" s="5"/>
      <c r="F8" s="7"/>
      <c r="G8" s="8"/>
      <c r="H8" s="5"/>
      <c r="I8" s="5"/>
      <c r="J8" s="5"/>
      <c r="K8" s="5"/>
      <c r="L8" s="11"/>
      <c r="M8" s="10"/>
      <c r="O8" s="5"/>
    </row>
    <row r="9" spans="1:15" x14ac:dyDescent="0.15">
      <c r="B9" s="3"/>
      <c r="D9" s="5"/>
      <c r="E9" s="5"/>
      <c r="F9" s="7"/>
      <c r="G9" s="8"/>
      <c r="H9" s="5"/>
      <c r="I9" s="5"/>
      <c r="J9" s="5"/>
      <c r="K9" s="5"/>
      <c r="L9" s="11"/>
      <c r="M9" s="10"/>
      <c r="O9" s="5"/>
    </row>
    <row r="10" spans="1:15" x14ac:dyDescent="0.15">
      <c r="B10" s="3"/>
      <c r="D10" s="5"/>
      <c r="E10" s="5"/>
      <c r="F10" s="7"/>
      <c r="G10" s="8"/>
      <c r="H10" s="5"/>
      <c r="I10" s="5"/>
      <c r="J10" s="5"/>
      <c r="K10" s="5"/>
      <c r="L10" s="11"/>
      <c r="M10" s="10"/>
      <c r="O10" s="5"/>
    </row>
    <row r="11" spans="1:15" x14ac:dyDescent="0.15">
      <c r="B11" s="3"/>
      <c r="D11" s="5"/>
      <c r="E11" s="5"/>
      <c r="F11" s="7"/>
      <c r="G11" s="8"/>
      <c r="H11" s="5"/>
      <c r="I11" s="5"/>
      <c r="J11" s="5"/>
      <c r="K11" s="5"/>
      <c r="L11" s="11"/>
      <c r="M11" s="10"/>
      <c r="O11" s="5"/>
    </row>
    <row r="12" spans="1:15" x14ac:dyDescent="0.15">
      <c r="B12" s="3"/>
      <c r="C12" s="4"/>
      <c r="D12" s="5"/>
      <c r="E12" s="5"/>
      <c r="F12" s="7"/>
      <c r="G12" s="8"/>
      <c r="H12" s="5"/>
      <c r="I12" s="5"/>
      <c r="J12" s="5"/>
      <c r="K12" s="5"/>
      <c r="L12" s="11"/>
      <c r="M12" s="10"/>
      <c r="O12" s="5"/>
    </row>
    <row r="13" spans="1:15" x14ac:dyDescent="0.15">
      <c r="B13" s="3"/>
      <c r="C13" s="4"/>
      <c r="D13" s="5"/>
      <c r="E13" s="5"/>
      <c r="F13" s="7"/>
      <c r="G13" s="8"/>
      <c r="H13" s="5"/>
      <c r="I13" s="5"/>
      <c r="J13" s="5"/>
      <c r="K13" s="5"/>
      <c r="L13" s="11"/>
      <c r="M13" s="10"/>
      <c r="O13" s="5"/>
    </row>
    <row r="14" spans="1:15" x14ac:dyDescent="0.15">
      <c r="B14" s="3"/>
      <c r="D14" s="5"/>
      <c r="E14" s="5"/>
      <c r="F14" s="7"/>
      <c r="G14" s="8"/>
      <c r="H14" s="5"/>
      <c r="I14" s="5"/>
      <c r="J14" s="5"/>
      <c r="K14" s="5"/>
      <c r="L14" s="11"/>
      <c r="M14" s="10"/>
      <c r="O14" s="5"/>
    </row>
    <row r="15" spans="1:15" x14ac:dyDescent="0.15">
      <c r="B15" s="3"/>
      <c r="C15" s="4"/>
      <c r="D15" s="5"/>
      <c r="E15" s="5"/>
      <c r="F15" s="7"/>
      <c r="G15" s="8"/>
      <c r="H15" s="5"/>
      <c r="I15" s="5"/>
      <c r="J15" s="5"/>
      <c r="K15" s="5"/>
      <c r="L15" s="11"/>
      <c r="M15" s="10"/>
      <c r="O15" s="5"/>
    </row>
    <row r="16" spans="1:15" x14ac:dyDescent="0.15">
      <c r="B16" s="3"/>
      <c r="D16" s="5"/>
      <c r="E16" s="5"/>
      <c r="F16" s="7"/>
      <c r="G16" s="8"/>
      <c r="H16" s="5"/>
      <c r="I16" s="5"/>
      <c r="J16" s="5"/>
      <c r="K16" s="5"/>
      <c r="L16" s="11"/>
      <c r="M16" s="10"/>
      <c r="O16" s="5"/>
    </row>
    <row r="17" spans="2:15" x14ac:dyDescent="0.15">
      <c r="B17" s="3"/>
      <c r="D17" s="5"/>
      <c r="E17" s="5"/>
      <c r="F17" s="7"/>
      <c r="G17" s="8"/>
      <c r="H17" s="5"/>
      <c r="I17" s="5"/>
      <c r="J17" s="5"/>
      <c r="K17" s="5"/>
      <c r="L17" s="11"/>
      <c r="M17" s="10"/>
      <c r="O17" s="5"/>
    </row>
    <row r="18" spans="2:15" x14ac:dyDescent="0.15">
      <c r="B18" s="3"/>
      <c r="C18" s="4"/>
      <c r="D18" s="5"/>
      <c r="E18" s="5"/>
      <c r="F18" s="7"/>
      <c r="G18" s="8"/>
      <c r="H18" s="5"/>
      <c r="I18" s="5"/>
      <c r="J18" s="5"/>
      <c r="K18" s="5"/>
      <c r="L18" s="11"/>
      <c r="M18" s="10"/>
      <c r="O18" s="5"/>
    </row>
    <row r="19" spans="2:15" x14ac:dyDescent="0.15">
      <c r="B19" s="3"/>
      <c r="D19" s="5"/>
      <c r="E19" s="5"/>
      <c r="F19" s="7"/>
      <c r="G19" s="8"/>
      <c r="H19" s="5"/>
      <c r="I19" s="5"/>
      <c r="J19" s="5"/>
      <c r="K19" s="5"/>
      <c r="L19" s="11"/>
      <c r="M19" s="10"/>
      <c r="O19" s="5"/>
    </row>
    <row r="20" spans="2:15" x14ac:dyDescent="0.15">
      <c r="B20" s="3"/>
      <c r="D20" s="5"/>
      <c r="E20" s="5"/>
      <c r="F20" s="7"/>
      <c r="G20" s="8"/>
      <c r="H20" s="5"/>
      <c r="I20" s="5"/>
      <c r="J20" s="5"/>
      <c r="K20" s="5"/>
      <c r="L20" s="11"/>
      <c r="M20" s="10"/>
      <c r="O20" s="5"/>
    </row>
    <row r="21" spans="2:15" x14ac:dyDescent="0.15">
      <c r="B21" s="3"/>
      <c r="D21" s="5"/>
      <c r="E21" s="5"/>
      <c r="F21" s="7"/>
      <c r="G21" s="8"/>
      <c r="H21" s="5"/>
      <c r="I21" s="5"/>
      <c r="J21" s="5"/>
      <c r="K21" s="5"/>
      <c r="L21" s="11"/>
      <c r="M21" s="10"/>
      <c r="O21" s="5"/>
    </row>
    <row r="22" spans="2:15" x14ac:dyDescent="0.15">
      <c r="B22" s="3"/>
      <c r="D22" s="5"/>
      <c r="E22" s="5"/>
      <c r="F22" s="7"/>
      <c r="G22" s="8"/>
      <c r="H22" s="5"/>
      <c r="I22" s="5"/>
      <c r="J22" s="5"/>
      <c r="K22" s="5"/>
      <c r="L22" s="11"/>
      <c r="M22" s="10"/>
      <c r="O22" s="5"/>
    </row>
    <row r="23" spans="2:15" x14ac:dyDescent="0.15">
      <c r="B23" s="3"/>
      <c r="D23" s="5"/>
      <c r="E23" s="5"/>
      <c r="F23" s="7"/>
      <c r="G23" s="8"/>
      <c r="H23" s="5"/>
      <c r="I23" s="5"/>
      <c r="J23" s="5"/>
      <c r="K23" s="5"/>
      <c r="L23" s="11"/>
      <c r="M23" s="10"/>
      <c r="O23" s="5"/>
    </row>
    <row r="24" spans="2:15" x14ac:dyDescent="0.15">
      <c r="B24" s="3"/>
      <c r="D24" s="5"/>
      <c r="E24" s="5"/>
      <c r="F24" s="7"/>
      <c r="G24" s="8"/>
      <c r="H24" s="5"/>
      <c r="I24" s="5"/>
      <c r="J24" s="5"/>
      <c r="K24" s="5"/>
      <c r="L24" s="11"/>
      <c r="M24" s="10"/>
      <c r="O24" s="5"/>
    </row>
    <row r="25" spans="2:15" x14ac:dyDescent="0.15">
      <c r="B25" s="3"/>
      <c r="D25" s="5"/>
      <c r="E25" s="5"/>
      <c r="F25" s="7"/>
      <c r="G25" s="8"/>
      <c r="H25" s="5"/>
      <c r="I25" s="5"/>
      <c r="J25" s="5"/>
      <c r="K25" s="5"/>
      <c r="L25" s="11"/>
      <c r="M25" s="10"/>
      <c r="O25" s="5"/>
    </row>
    <row r="26" spans="2:15" x14ac:dyDescent="0.15">
      <c r="B26" s="3"/>
      <c r="D26" s="5"/>
      <c r="E26" s="5"/>
      <c r="F26" s="7"/>
      <c r="G26" s="8"/>
      <c r="H26" s="5"/>
      <c r="I26" s="5"/>
      <c r="J26" s="5"/>
      <c r="K26" s="5"/>
      <c r="L26" s="11"/>
      <c r="M26" s="10"/>
      <c r="O26" s="5"/>
    </row>
    <row r="27" spans="2:15" x14ac:dyDescent="0.15">
      <c r="B27" s="3"/>
      <c r="D27" s="5"/>
      <c r="E27" s="5"/>
      <c r="F27" s="7"/>
      <c r="G27" s="8"/>
      <c r="H27" s="5"/>
      <c r="I27" s="5"/>
      <c r="J27" s="5"/>
      <c r="K27" s="5"/>
      <c r="L27" s="11"/>
      <c r="M27" s="10"/>
      <c r="O27" s="5"/>
    </row>
    <row r="28" spans="2:15" x14ac:dyDescent="0.15">
      <c r="B28" s="3"/>
      <c r="D28" s="5"/>
      <c r="E28" s="5"/>
      <c r="F28" s="7"/>
      <c r="G28" s="8"/>
      <c r="H28" s="5"/>
      <c r="I28" s="5"/>
      <c r="J28" s="5"/>
      <c r="K28" s="5"/>
      <c r="L28" s="11"/>
      <c r="M28" s="10"/>
      <c r="O28" s="5"/>
    </row>
    <row r="29" spans="2:15" x14ac:dyDescent="0.15">
      <c r="B29" s="3"/>
      <c r="D29" s="5"/>
      <c r="E29" s="5"/>
      <c r="F29" s="7"/>
      <c r="G29" s="8"/>
      <c r="H29" s="5"/>
      <c r="I29" s="5"/>
      <c r="J29" s="5"/>
      <c r="K29" s="5"/>
      <c r="L29" s="11"/>
      <c r="M29" s="10"/>
      <c r="O29" s="5"/>
    </row>
    <row r="30" spans="2:15" x14ac:dyDescent="0.15">
      <c r="B30" s="3"/>
      <c r="D30" s="5"/>
      <c r="E30" s="5"/>
      <c r="F30" s="7"/>
      <c r="G30" s="8"/>
      <c r="H30" s="5"/>
      <c r="I30" s="5"/>
      <c r="J30" s="5"/>
      <c r="K30" s="5"/>
      <c r="L30" s="11"/>
      <c r="M30" s="10"/>
      <c r="O30" s="5"/>
    </row>
    <row r="31" spans="2:15" x14ac:dyDescent="0.15">
      <c r="B31" s="3"/>
      <c r="D31" s="5"/>
      <c r="E31" s="5"/>
      <c r="F31" s="7"/>
      <c r="G31" s="8"/>
      <c r="H31" s="5"/>
      <c r="I31" s="5"/>
      <c r="J31" s="5"/>
      <c r="K31" s="5"/>
      <c r="L31" s="11"/>
      <c r="M31" s="10"/>
      <c r="O31" s="5"/>
    </row>
    <row r="32" spans="2:15" x14ac:dyDescent="0.15">
      <c r="B32" s="3"/>
      <c r="D32" s="5"/>
      <c r="E32" s="5"/>
      <c r="F32" s="7"/>
      <c r="G32" s="8"/>
      <c r="H32" s="5"/>
      <c r="I32" s="5"/>
      <c r="J32" s="5"/>
      <c r="K32" s="5"/>
      <c r="L32" s="11"/>
      <c r="M32" s="10"/>
      <c r="O32" s="5"/>
    </row>
    <row r="33" spans="2:15" x14ac:dyDescent="0.15">
      <c r="B33" s="3"/>
      <c r="D33" s="5"/>
      <c r="E33" s="5"/>
      <c r="F33" s="7"/>
      <c r="G33" s="8"/>
      <c r="H33" s="5"/>
      <c r="I33" s="5"/>
      <c r="J33" s="5"/>
      <c r="K33" s="5"/>
      <c r="L33" s="11"/>
      <c r="M33" s="10"/>
      <c r="O33" s="5"/>
    </row>
    <row r="34" spans="2:15" x14ac:dyDescent="0.15">
      <c r="B34" s="3"/>
      <c r="D34" s="5"/>
      <c r="E34" s="5"/>
      <c r="F34" s="7"/>
      <c r="G34" s="8"/>
      <c r="H34" s="5"/>
      <c r="I34" s="5"/>
      <c r="J34" s="5"/>
      <c r="K34" s="5"/>
      <c r="L34" s="11"/>
      <c r="M34" s="10"/>
      <c r="O34" s="5"/>
    </row>
    <row r="35" spans="2:15" x14ac:dyDescent="0.15">
      <c r="B35" s="3"/>
      <c r="D35" s="5"/>
      <c r="E35" s="5"/>
      <c r="F35" s="7"/>
      <c r="G35" s="8"/>
      <c r="H35" s="5"/>
      <c r="I35" s="5"/>
      <c r="J35" s="5"/>
      <c r="K35" s="5"/>
      <c r="L35" s="11"/>
      <c r="M35" s="10"/>
      <c r="O35" s="5"/>
    </row>
    <row r="36" spans="2:15" x14ac:dyDescent="0.15">
      <c r="B36" s="3"/>
      <c r="D36" s="5"/>
      <c r="E36" s="5"/>
      <c r="F36" s="7"/>
      <c r="G36" s="8"/>
      <c r="H36" s="5"/>
      <c r="I36" s="5"/>
      <c r="J36" s="5"/>
      <c r="K36" s="5"/>
      <c r="L36" s="11"/>
      <c r="M36" s="10"/>
      <c r="O36" s="5"/>
    </row>
    <row r="37" spans="2:15" x14ac:dyDescent="0.15">
      <c r="B37" s="3"/>
      <c r="D37" s="5"/>
      <c r="E37" s="5"/>
      <c r="F37" s="7"/>
      <c r="G37" s="8"/>
      <c r="H37" s="5"/>
      <c r="I37" s="5"/>
      <c r="J37" s="5"/>
      <c r="K37" s="5"/>
      <c r="L37" s="11"/>
      <c r="M37" s="10"/>
      <c r="O37" s="5"/>
    </row>
    <row r="38" spans="2:15" x14ac:dyDescent="0.15">
      <c r="B38" s="3"/>
      <c r="D38" s="5"/>
      <c r="E38" s="5"/>
      <c r="F38" s="7"/>
      <c r="G38" s="8"/>
      <c r="H38" s="5"/>
      <c r="I38" s="5"/>
      <c r="J38" s="5"/>
      <c r="K38" s="5"/>
      <c r="L38" s="11"/>
      <c r="M38" s="10"/>
      <c r="O38" s="5"/>
    </row>
    <row r="39" spans="2:15" x14ac:dyDescent="0.15">
      <c r="B39" s="3"/>
      <c r="D39" s="5"/>
      <c r="E39" s="5"/>
      <c r="F39" s="7"/>
      <c r="G39" s="8"/>
      <c r="H39" s="5"/>
      <c r="I39" s="5"/>
      <c r="J39" s="5"/>
      <c r="K39" s="5"/>
      <c r="L39" s="11"/>
      <c r="M39" s="10"/>
      <c r="O39" s="5"/>
    </row>
    <row r="40" spans="2:15" x14ac:dyDescent="0.15">
      <c r="B40" s="3"/>
      <c r="D40" s="5"/>
      <c r="E40" s="5"/>
      <c r="F40" s="7"/>
      <c r="G40" s="8"/>
      <c r="H40" s="5"/>
      <c r="I40" s="5"/>
      <c r="J40" s="5"/>
      <c r="K40" s="5"/>
      <c r="L40" s="11"/>
      <c r="M40" s="10"/>
      <c r="O40" s="5"/>
    </row>
    <row r="41" spans="2:15" x14ac:dyDescent="0.15">
      <c r="B41" s="3"/>
      <c r="D41" s="5"/>
      <c r="E41" s="5"/>
      <c r="F41" s="7"/>
      <c r="G41" s="8"/>
      <c r="H41" s="5"/>
      <c r="I41" s="5"/>
      <c r="J41" s="5"/>
      <c r="K41" s="5"/>
      <c r="L41" s="11"/>
      <c r="M41" s="10"/>
      <c r="O41" s="5"/>
    </row>
    <row r="42" spans="2:15" x14ac:dyDescent="0.15">
      <c r="B42" s="3"/>
      <c r="D42" s="5"/>
      <c r="E42" s="5"/>
      <c r="F42" s="7"/>
      <c r="G42" s="8"/>
      <c r="H42" s="5"/>
      <c r="I42" s="5"/>
      <c r="J42" s="5"/>
      <c r="K42" s="5"/>
      <c r="L42" s="11"/>
      <c r="M42" s="10"/>
      <c r="O42" s="5"/>
    </row>
    <row r="43" spans="2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2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2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2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2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2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</hyperlinks>
  <pageMargins left="0.75" right="0.75" top="1" bottom="1" header="0.51200000000000001" footer="0.51200000000000001"/>
  <headerFooter alignWithMargins="0"/>
  <drawing r:id="rId4"/>
  <legacyDrawing r:id="rId5"/>
  <controls>
    <mc:AlternateContent xmlns:mc="http://schemas.openxmlformats.org/markup-compatibility/2006">
      <mc:Choice Requires="x14">
        <control shapeId="1025" r:id="rId6" name="cmdKabukaGet">
          <controlPr defaultSize="0" autoLine="0" r:id="rId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Q36"/>
  <sheetViews>
    <sheetView zoomScaleNormal="100" workbookViewId="0">
      <pane xSplit="2" topLeftCell="C1" activePane="topRight" state="frozen"/>
      <selection pane="topRight" activeCell="M20" sqref="M20"/>
    </sheetView>
  </sheetViews>
  <sheetFormatPr defaultRowHeight="15.75" x14ac:dyDescent="0.25"/>
  <cols>
    <col min="1" max="1" width="3.21875" style="39" customWidth="1"/>
    <col min="2" max="2" width="14.21875" style="97" customWidth="1"/>
    <col min="3" max="26" width="11.44140625" style="39" customWidth="1"/>
    <col min="27" max="16384" width="8.88671875" style="39"/>
  </cols>
  <sheetData>
    <row r="1" spans="1:16" ht="16.5" thickBot="1" x14ac:dyDescent="0.3">
      <c r="A1" s="98" t="s">
        <v>149</v>
      </c>
    </row>
    <row r="2" spans="1:16" s="98" customFormat="1" ht="16.5" thickBot="1" x14ac:dyDescent="0.3">
      <c r="B2" s="133" t="s">
        <v>131</v>
      </c>
      <c r="C2" s="213">
        <v>42795</v>
      </c>
      <c r="D2" s="214"/>
      <c r="E2" s="213">
        <v>42826</v>
      </c>
      <c r="F2" s="214"/>
      <c r="G2" s="213">
        <v>42856</v>
      </c>
      <c r="H2" s="214"/>
      <c r="I2" s="213">
        <v>42887</v>
      </c>
      <c r="J2" s="214"/>
      <c r="K2" s="213">
        <v>42917</v>
      </c>
      <c r="L2" s="214"/>
      <c r="M2" s="213">
        <v>42948</v>
      </c>
      <c r="N2" s="214"/>
      <c r="O2" s="213">
        <v>42979</v>
      </c>
      <c r="P2" s="214"/>
    </row>
    <row r="3" spans="1:16" ht="16.5" thickBot="1" x14ac:dyDescent="0.3">
      <c r="C3" s="99" t="s">
        <v>118</v>
      </c>
      <c r="D3" s="100" t="s">
        <v>119</v>
      </c>
      <c r="E3" s="99" t="s">
        <v>118</v>
      </c>
      <c r="F3" s="100" t="s">
        <v>119</v>
      </c>
      <c r="G3" s="99" t="s">
        <v>118</v>
      </c>
      <c r="H3" s="100" t="s">
        <v>119</v>
      </c>
      <c r="I3" s="99" t="s">
        <v>118</v>
      </c>
      <c r="J3" s="100" t="s">
        <v>119</v>
      </c>
      <c r="K3" s="99" t="s">
        <v>118</v>
      </c>
      <c r="L3" s="100" t="s">
        <v>119</v>
      </c>
      <c r="M3" s="99" t="s">
        <v>118</v>
      </c>
      <c r="N3" s="100" t="s">
        <v>119</v>
      </c>
      <c r="O3" s="99" t="s">
        <v>118</v>
      </c>
      <c r="P3" s="100" t="s">
        <v>119</v>
      </c>
    </row>
    <row r="4" spans="1:16" x14ac:dyDescent="0.25">
      <c r="B4" s="97" t="s">
        <v>120</v>
      </c>
      <c r="C4" s="101">
        <f>COUNTIFS(セカンダリ投資分析!$P3:$P1048576,"&gt;=0",セカンダリ投資分析!$Q3:$Q1048576,"&gt;="&amp;C2,セカンダリ投資分析!$Q3:$Q1048576,"&lt;"&amp;E2)</f>
        <v>0</v>
      </c>
      <c r="D4" s="102">
        <f>COUNTIFS(セカンダリ投資分析!$P3:$P1048576,"&lt;0",セカンダリ投資分析!$Q3:$Q1048576,"&gt;="&amp;C2,セカンダリ投資分析!$Q3:$Q1048576,"&lt;"&amp;E2)</f>
        <v>0</v>
      </c>
      <c r="E4" s="101">
        <f>COUNTIFS(セカンダリ投資分析!$P3:$P1048576,"&gt;=0",セカンダリ投資分析!$Q3:$Q1048576,"&gt;="&amp;E2,セカンダリ投資分析!$Q3:$Q1048576,"&lt;"&amp;G2)</f>
        <v>0</v>
      </c>
      <c r="F4" s="102">
        <f>COUNTIFS(セカンダリ投資分析!$P3:$P1048576,"&lt;0",セカンダリ投資分析!$Q3:$Q1048576,"&gt;="&amp;E2,セカンダリ投資分析!$Q3:$Q1048576,"&lt;"&amp;G2)</f>
        <v>0</v>
      </c>
      <c r="G4" s="101">
        <f>COUNTIFS(セカンダリ投資分析!$P3:$P1048576,"&gt;=0",セカンダリ投資分析!$Q3:$Q1048576,"&gt;="&amp;G2,セカンダリ投資分析!$Q3:$Q1048576,"&lt;"&amp;I2)</f>
        <v>0</v>
      </c>
      <c r="H4" s="102">
        <f>COUNTIFS(セカンダリ投資分析!$P3:$P1048576,"&lt;0",セカンダリ投資分析!$Q3:$Q1048576,"&gt;="&amp;G2,セカンダリ投資分析!$Q3:$Q1048576,"&lt;"&amp;I2)</f>
        <v>0</v>
      </c>
      <c r="I4" s="101">
        <f>COUNTIFS(セカンダリ投資分析!$P3:$P1048576,"&gt;=0",セカンダリ投資分析!$Q3:$Q1048576,"&gt;="&amp;I2,セカンダリ投資分析!$Q3:$Q1048576,"&lt;"&amp;K2)</f>
        <v>0</v>
      </c>
      <c r="J4" s="102">
        <f>COUNTIFS(セカンダリ投資分析!$P3:$P1048576,"&lt;0",セカンダリ投資分析!$Q3:$Q1048576,"&gt;="&amp;I2,セカンダリ投資分析!$Q3:$Q1048576,"&lt;"&amp;K2)</f>
        <v>0</v>
      </c>
      <c r="K4" s="101">
        <f>COUNTIFS(セカンダリ投資分析!$P3:$P1048576,"&gt;=0",セカンダリ投資分析!$Q3:$Q1048576,"&gt;="&amp;K2,セカンダリ投資分析!$Q3:$Q1048576,"&lt;"&amp;M2)</f>
        <v>0</v>
      </c>
      <c r="L4" s="102">
        <f>COUNTIFS(セカンダリ投資分析!$P3:$P1048576,"&lt;0",セカンダリ投資分析!$Q3:$Q1048576,"&gt;="&amp;K2,セカンダリ投資分析!$Q3:$Q1048576,"&lt;"&amp;M2)</f>
        <v>0</v>
      </c>
      <c r="M4" s="101">
        <f>COUNTIFS(セカンダリ投資分析!$P3:$P1048576,"&gt;=0",セカンダリ投資分析!$Q3:$Q1048576,"&gt;="&amp;M2,セカンダリ投資分析!$Q3:$Q1048576,"&lt;"&amp;O2)</f>
        <v>0</v>
      </c>
      <c r="N4" s="102">
        <f>COUNTIFS(セカンダリ投資分析!$P3:$P1048576,"&lt;0",セカンダリ投資分析!$Q3:$Q1048576,"&gt;="&amp;M2,セカンダリ投資分析!$Q3:$Q1048576,"&lt;"&amp;O2)</f>
        <v>0</v>
      </c>
      <c r="O4" s="101">
        <f>COUNTIFS(セカンダリ投資分析!$P3:$P1048576,"&gt;=0",セカンダリ投資分析!$Q3:$Q1048576,"&gt;="&amp;O2,セカンダリ投資分析!$Q3:$Q1048576,"&lt;"&amp;C9)</f>
        <v>0</v>
      </c>
      <c r="P4" s="102">
        <f>COUNTIFS(セカンダリ投資分析!$P3:$P1048576,"&lt;0",セカンダリ投資分析!$Q3:$Q1048576,"&gt;="&amp;O2,セカンダリ投資分析!$Q3:$Q1048576,"&lt;"&amp;C9)</f>
        <v>0</v>
      </c>
    </row>
    <row r="5" spans="1:16" ht="16.5" thickBot="1" x14ac:dyDescent="0.3">
      <c r="B5" s="97" t="s">
        <v>121</v>
      </c>
      <c r="C5" s="103">
        <f>ROUND(SUMIFS(セカンダリ投資分析!$P3:$P1048576,セカンダリ投資分析!$P3:$P1048576,"&gt;=0",セカンダリ投資分析!$Q3:$Q1048576,"&gt;="&amp;C2,セカンダリ投資分析!$Q3:$Q1048576,"&lt;"&amp;E2),0)</f>
        <v>0</v>
      </c>
      <c r="D5" s="104">
        <f>ROUND(SUMIFS(セカンダリ投資分析!$P3:$P1048576,セカンダリ投資分析!$P3:$P1048576,"&lt;0",セカンダリ投資分析!$Q3:$Q1048576,"&gt;="&amp;C2,セカンダリ投資分析!$Q3:$Q1048576,"&lt;"&amp;E2),0)</f>
        <v>0</v>
      </c>
      <c r="E5" s="103">
        <f>ROUND(SUMIFS(セカンダリ投資分析!$P3:$P1048576,セカンダリ投資分析!$P3:$P1048576,"&gt;=0",セカンダリ投資分析!$Q3:$Q1048576,"&gt;="&amp;E2,セカンダリ投資分析!$Q3:$Q1048576,"&lt;"&amp;G2),0)</f>
        <v>0</v>
      </c>
      <c r="F5" s="104">
        <f>ROUND(SUMIFS(セカンダリ投資分析!$P3:$P1048576,セカンダリ投資分析!$P3:$P1048576,"&lt;0",セカンダリ投資分析!$Q3:$Q1048576,"&gt;="&amp;E2,セカンダリ投資分析!$Q3:$Q1048576,"&lt;"&amp;G2),0)</f>
        <v>0</v>
      </c>
      <c r="G5" s="103">
        <f>ROUND(SUMIFS(セカンダリ投資分析!$P3:$P1048576,セカンダリ投資分析!$P3:$P1048576,"&gt;=0",セカンダリ投資分析!$Q3:$Q1048576,"&gt;="&amp;G2,セカンダリ投資分析!$Q3:$Q1048576,"&lt;"&amp;I2),0)</f>
        <v>0</v>
      </c>
      <c r="H5" s="104">
        <f>ROUND(SUMIFS(セカンダリ投資分析!$P3:$P1048576,セカンダリ投資分析!$P3:$P1048576,"&lt;0",セカンダリ投資分析!$Q3:$Q1048576,"&gt;="&amp;G2,セカンダリ投資分析!$Q3:$Q1048576,"&lt;"&amp;I2),0)</f>
        <v>0</v>
      </c>
      <c r="I5" s="103">
        <f>ROUND(SUMIFS(セカンダリ投資分析!$P3:$P1048576,セカンダリ投資分析!$P3:$P1048576,"&gt;=0",セカンダリ投資分析!$Q3:$Q1048576,"&gt;="&amp;I2,セカンダリ投資分析!$Q3:$Q1048576,"&lt;"&amp;K2),0)</f>
        <v>0</v>
      </c>
      <c r="J5" s="104">
        <f>ROUND(SUMIFS(セカンダリ投資分析!$P3:$P1048576,セカンダリ投資分析!$P3:$P1048576,"&lt;0",セカンダリ投資分析!$Q3:$Q1048576,"&gt;="&amp;I2,セカンダリ投資分析!$Q3:$Q1048576,"&lt;"&amp;K2),0)</f>
        <v>0</v>
      </c>
      <c r="K5" s="103">
        <f>ROUND(SUMIFS(セカンダリ投資分析!$P3:$P1048576,セカンダリ投資分析!$P3:$P1048576,"&gt;=0",セカンダリ投資分析!$Q3:$Q1048576,"&gt;="&amp;K2,セカンダリ投資分析!$Q3:$Q1048576,"&lt;"&amp;M2),0)</f>
        <v>0</v>
      </c>
      <c r="L5" s="104">
        <f>ROUND(SUMIFS(セカンダリ投資分析!$P3:$P1048576,セカンダリ投資分析!$P3:$P1048576,"&lt;0",セカンダリ投資分析!$Q3:$Q1048576,"&gt;="&amp;K2,セカンダリ投資分析!$Q3:$Q1048576,"&lt;"&amp;M2),0)</f>
        <v>0</v>
      </c>
      <c r="M5" s="103">
        <f>ROUND(SUMIFS(セカンダリ投資分析!$P3:$P1048576,セカンダリ投資分析!$P3:$P1048576,"&gt;=0",セカンダリ投資分析!$Q3:$Q1048576,"&gt;="&amp;M2,セカンダリ投資分析!$Q3:$Q1048576,"&lt;"&amp;O2),0)</f>
        <v>0</v>
      </c>
      <c r="N5" s="104">
        <f>ROUND(SUMIFS(セカンダリ投資分析!$P3:$P1048576,セカンダリ投資分析!$P3:$P1048576,"&lt;0",セカンダリ投資分析!$Q3:$Q1048576,"&gt;="&amp;M2,セカンダリ投資分析!$Q3:$Q1048576,"&lt;"&amp;O2),0)</f>
        <v>0</v>
      </c>
      <c r="O5" s="103">
        <f>ROUND(SUMIFS(セカンダリ投資分析!$P3:$P1048576,セカンダリ投資分析!$P3:$P1048576,"&gt;=0",セカンダリ投資分析!$Q3:$Q1048576,"&gt;="&amp;O2,セカンダリ投資分析!$Q3:$Q1048576,"&lt;"&amp;C9),0)</f>
        <v>0</v>
      </c>
      <c r="P5" s="104">
        <f>ROUND(SUMIFS(セカンダリ投資分析!$P3:$P1048576,セカンダリ投資分析!$P3:$P1048576,"&lt;0",セカンダリ投資分析!$Q3:$Q1048576,"&gt;="&amp;O2,セカンダリ投資分析!$Q3:$Q1048576,"&lt;"&amp;C9),0)</f>
        <v>0</v>
      </c>
    </row>
    <row r="6" spans="1:16" s="98" customFormat="1" ht="16.5" thickBot="1" x14ac:dyDescent="0.3">
      <c r="B6" s="97" t="s">
        <v>122</v>
      </c>
      <c r="C6" s="215">
        <f>C5+D5</f>
        <v>0</v>
      </c>
      <c r="D6" s="216"/>
      <c r="E6" s="215">
        <f>E5+F5</f>
        <v>0</v>
      </c>
      <c r="F6" s="216"/>
      <c r="G6" s="215">
        <f>G5+H5</f>
        <v>0</v>
      </c>
      <c r="H6" s="216"/>
      <c r="I6" s="215">
        <f>I5+J5</f>
        <v>0</v>
      </c>
      <c r="J6" s="216"/>
      <c r="K6" s="215">
        <f>K5+L5</f>
        <v>0</v>
      </c>
      <c r="L6" s="216"/>
      <c r="M6" s="215">
        <f>M5+N5</f>
        <v>0</v>
      </c>
      <c r="N6" s="216"/>
      <c r="O6" s="215">
        <f>O5+P5</f>
        <v>0</v>
      </c>
      <c r="P6" s="216"/>
    </row>
    <row r="7" spans="1:16" x14ac:dyDescent="0.25">
      <c r="B7" s="97" t="s">
        <v>124</v>
      </c>
      <c r="C7" s="15" t="e">
        <f t="shared" ref="C7:K7" si="0">C5/C4</f>
        <v>#DIV/0!</v>
      </c>
      <c r="D7" s="171">
        <f>IF(D4=0,0,D5/D4)</f>
        <v>0</v>
      </c>
      <c r="E7" s="15" t="e">
        <f t="shared" si="0"/>
        <v>#DIV/0!</v>
      </c>
      <c r="F7" s="171">
        <f>IF(F4=0,0,F5/F4)</f>
        <v>0</v>
      </c>
      <c r="G7" s="15" t="e">
        <f t="shared" si="0"/>
        <v>#DIV/0!</v>
      </c>
      <c r="H7" s="171">
        <f>IF(H4=0,0,H5/H4)</f>
        <v>0</v>
      </c>
      <c r="I7" s="15" t="e">
        <f t="shared" si="0"/>
        <v>#DIV/0!</v>
      </c>
      <c r="J7" s="171">
        <f>IF(J4=0,0,J5/J4)</f>
        <v>0</v>
      </c>
      <c r="K7" s="15" t="e">
        <f t="shared" si="0"/>
        <v>#DIV/0!</v>
      </c>
      <c r="L7" s="171">
        <f>IF(L4=0,0,L5/L4)</f>
        <v>0</v>
      </c>
      <c r="M7" s="15">
        <v>0</v>
      </c>
      <c r="N7" s="171">
        <f>IF(N4=0,0,N5/N4)</f>
        <v>0</v>
      </c>
      <c r="O7" s="15">
        <v>0</v>
      </c>
      <c r="P7" s="171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71"/>
      <c r="M8" s="15"/>
      <c r="N8" s="15"/>
      <c r="O8" s="15"/>
      <c r="P8" s="15"/>
    </row>
    <row r="9" spans="1:16" ht="16.5" thickBot="1" x14ac:dyDescent="0.3">
      <c r="C9" s="213">
        <v>43009</v>
      </c>
      <c r="D9" s="214"/>
      <c r="E9" s="213">
        <v>43040</v>
      </c>
      <c r="F9" s="214"/>
      <c r="G9" s="213">
        <v>43070</v>
      </c>
      <c r="H9" s="214"/>
      <c r="I9" s="213">
        <v>43101</v>
      </c>
      <c r="J9" s="214"/>
      <c r="K9" s="213">
        <v>43132</v>
      </c>
      <c r="L9" s="214"/>
      <c r="M9" s="213">
        <v>43160</v>
      </c>
      <c r="N9" s="214"/>
    </row>
    <row r="10" spans="1:16" ht="16.5" thickBot="1" x14ac:dyDescent="0.3">
      <c r="C10" s="99" t="s">
        <v>118</v>
      </c>
      <c r="D10" s="100" t="s">
        <v>119</v>
      </c>
      <c r="E10" s="99" t="s">
        <v>118</v>
      </c>
      <c r="F10" s="100" t="s">
        <v>119</v>
      </c>
      <c r="G10" s="99" t="s">
        <v>118</v>
      </c>
      <c r="H10" s="100" t="s">
        <v>119</v>
      </c>
      <c r="I10" s="99" t="s">
        <v>118</v>
      </c>
      <c r="J10" s="100" t="s">
        <v>119</v>
      </c>
      <c r="K10" s="99" t="s">
        <v>118</v>
      </c>
      <c r="L10" s="100" t="s">
        <v>119</v>
      </c>
      <c r="M10" s="99" t="s">
        <v>118</v>
      </c>
      <c r="N10" s="100" t="s">
        <v>119</v>
      </c>
    </row>
    <row r="11" spans="1:16" x14ac:dyDescent="0.25">
      <c r="C11" s="101">
        <f>COUNTIFS(セカンダリ投資分析!$P3:$P1048576,"&gt;=0",セカンダリ投資分析!$Q3:$Q1048576,"&gt;="&amp;C9,セカンダリ投資分析!$Q3:$Q1048576,"&lt;"&amp;E9)</f>
        <v>0</v>
      </c>
      <c r="D11" s="102">
        <f>COUNTIFS(セカンダリ投資分析!$P3:$P1048576,"&lt;0",セカンダリ投資分析!$Q3:$Q1048576,"&gt;="&amp;C9,セカンダリ投資分析!$Q3:$Q1048576,"&lt;"&amp;E9)</f>
        <v>0</v>
      </c>
      <c r="E11" s="101">
        <f>COUNTIFS(セカンダリ投資分析!$P3:$P1048576,"&gt;=0",セカンダリ投資分析!$Q3:$Q1048576,"&gt;="&amp;E9,セカンダリ投資分析!$Q3:$Q1048576,"&lt;"&amp;G9)</f>
        <v>0</v>
      </c>
      <c r="F11" s="102">
        <f>COUNTIFS(セカンダリ投資分析!$P3:$P1048576,"&lt;0",セカンダリ投資分析!$Q3:$Q1048576,"&gt;="&amp;E9,セカンダリ投資分析!$Q3:$Q1048576,"&lt;"&amp;G9)</f>
        <v>0</v>
      </c>
      <c r="G11" s="101">
        <f>COUNTIFS(セカンダリ投資分析!$P3:$P1048576,"&gt;=0",セカンダリ投資分析!$Q3:$Q1048576,"&gt;="&amp;G9,セカンダリ投資分析!$Q3:$Q1048576,"&lt;"&amp;I9)</f>
        <v>0</v>
      </c>
      <c r="H11" s="102">
        <f>COUNTIFS(セカンダリ投資分析!$P3:$P1048576,"&lt;0",セカンダリ投資分析!$Q3:$Q1048576,"&gt;="&amp;G9,セカンダリ投資分析!$Q3:$Q1048576,"&lt;"&amp;I9)</f>
        <v>0</v>
      </c>
      <c r="I11" s="101">
        <f>COUNTIFS(セカンダリ投資分析!$P3:$P1048576,"&gt;=0",セカンダリ投資分析!$Q3:$Q1048576,"&gt;="&amp;I9,セカンダリ投資分析!$Q3:$Q1048576,"&lt;"&amp;K9)</f>
        <v>0</v>
      </c>
      <c r="J11" s="102">
        <f>COUNTIFS(セカンダリ投資分析!$P3:$P1048576,"&lt;0",セカンダリ投資分析!$Q3:$Q1048576,"&gt;="&amp;I9,セカンダリ投資分析!$Q3:$Q1048576,"&lt;"&amp;K9)</f>
        <v>0</v>
      </c>
      <c r="K11" s="101">
        <f>COUNTIFS(セカンダリ投資分析!$P3:$P1048576,"&gt;=0",セカンダリ投資分析!$Q3:$Q1048576,"&gt;="&amp;K9,セカンダリ投資分析!$Q3:$Q1048576,"&lt;"&amp;AA2)</f>
        <v>0</v>
      </c>
      <c r="L11" s="102">
        <f>COUNTIFS(セカンダリ投資分析!$P3:$P1048576,"&lt;0",セカンダリ投資分析!$Q3:$Q1048576,"&gt;="&amp;K9,セカンダリ投資分析!$Q3:$Q1048576,"&lt;"&amp;AA2)</f>
        <v>0</v>
      </c>
      <c r="M11" s="101">
        <f>COUNTIFS(セカンダリ投資分析!$P3:$P1048576,"&gt;=0",セカンダリ投資分析!$Q3:$Q1048576,"&gt;="&amp;M9,セカンダリ投資分析!$Q3:$Q1048576,"&lt;"&amp;AC2)</f>
        <v>0</v>
      </c>
      <c r="N11" s="102">
        <f>COUNTIFS(セカンダリ投資分析!$P3:$P1048576,"&lt;0",セカンダリ投資分析!$Q3:$Q1048576,"&gt;="&amp;M9,セカンダリ投資分析!$Q3:$Q1048576,"&lt;"&amp;AC2)</f>
        <v>0</v>
      </c>
    </row>
    <row r="12" spans="1:16" ht="16.5" thickBot="1" x14ac:dyDescent="0.3">
      <c r="C12" s="103">
        <f>ROUND(SUMIFS(セカンダリ投資分析!$P3:$P1048576,セカンダリ投資分析!$P3:$P1048576,"&gt;=0",セカンダリ投資分析!$Q3:$Q1048576,"&gt;="&amp;C9,セカンダリ投資分析!$Q3:$Q1048576,"&lt;"&amp;E9),0)</f>
        <v>0</v>
      </c>
      <c r="D12" s="104">
        <f>ROUND(SUMIFS(セカンダリ投資分析!$P3:$P1048576,セカンダリ投資分析!$P3:$P1048576,"&lt;0",セカンダリ投資分析!$Q3:$Q1048576,"&gt;="&amp;C9,セカンダリ投資分析!$Q3:$Q1048576,"&lt;"&amp;E9),0)</f>
        <v>0</v>
      </c>
      <c r="E12" s="103">
        <f>ROUND(SUMIFS(セカンダリ投資分析!$P3:$P1048576,セカンダリ投資分析!$P3:$P1048576,"&gt;=0",セカンダリ投資分析!$Q3:$Q1048576,"&gt;="&amp;E9,セカンダリ投資分析!$Q3:$Q1048576,"&lt;"&amp;G9),0)</f>
        <v>0</v>
      </c>
      <c r="F12" s="104">
        <f>ROUND(SUMIFS(セカンダリ投資分析!$P3:$P1048576,セカンダリ投資分析!$P3:$P1048576,"&lt;0",セカンダリ投資分析!$Q3:$Q1048576,"&gt;="&amp;E9,セカンダリ投資分析!$Q3:$Q1048576,"&lt;"&amp;G9),0)</f>
        <v>0</v>
      </c>
      <c r="G12" s="103">
        <f>ROUND(SUMIFS(セカンダリ投資分析!$P3:$P1048576,セカンダリ投資分析!$P3:$P1048576,"&gt;=0",セカンダリ投資分析!$Q3:$Q1048576,"&gt;="&amp;G9,セカンダリ投資分析!$Q3:$Q1048576,"&lt;"&amp;I9),0)</f>
        <v>0</v>
      </c>
      <c r="H12" s="104">
        <f>ROUND(SUMIFS(セカンダリ投資分析!$P3:$P1048576,セカンダリ投資分析!$P3:$P1048576,"&lt;0",セカンダリ投資分析!$Q3:$Q1048576,"&gt;="&amp;G9,セカンダリ投資分析!$Q3:$Q1048576,"&lt;"&amp;I9),0)</f>
        <v>0</v>
      </c>
      <c r="I12" s="103">
        <f>ROUND(SUMIFS(セカンダリ投資分析!$P3:$P1048576,セカンダリ投資分析!$P3:$P1048576,"&gt;=0",セカンダリ投資分析!$Q3:$Q1048576,"&gt;="&amp;I9,セカンダリ投資分析!$Q3:$Q1048576,"&lt;"&amp;K9),0)</f>
        <v>0</v>
      </c>
      <c r="J12" s="104">
        <f>ROUND(SUMIFS(セカンダリ投資分析!$P3:$P1048576,セカンダリ投資分析!$P3:$P1048576,"&lt;0",セカンダリ投資分析!$Q3:$Q1048576,"&gt;="&amp;I9,セカンダリ投資分析!$Q3:$Q1048576,"&lt;"&amp;K9),0)</f>
        <v>0</v>
      </c>
      <c r="K12" s="103">
        <f>ROUND(SUMIFS(セカンダリ投資分析!$P3:$P1048576,セカンダリ投資分析!$P3:$P1048576,"&gt;=0",セカンダリ投資分析!$Q3:$Q1048576,"&gt;="&amp;K9,セカンダリ投資分析!$Q3:$Q1048576,"&lt;"&amp;AA2),0)</f>
        <v>0</v>
      </c>
      <c r="L12" s="104">
        <f>ROUND(SUMIFS(セカンダリ投資分析!$P3:$P1048576,セカンダリ投資分析!$P3:$P1048576,"&lt;0",セカンダリ投資分析!$Q3:$Q1048576,"&gt;="&amp;K9,セカンダリ投資分析!$Q3:$Q1048576,"&lt;"&amp;AA2),0)</f>
        <v>0</v>
      </c>
      <c r="M12" s="103">
        <f>ROUND(SUMIFS(セカンダリ投資分析!$P3:$P1048576,セカンダリ投資分析!$P3:$P1048576,"&gt;=0",セカンダリ投資分析!$Q3:$Q1048576,"&gt;="&amp;M9,セカンダリ投資分析!$Q3:$Q1048576,"&lt;"&amp;AC2),0)</f>
        <v>0</v>
      </c>
      <c r="N12" s="104">
        <f>ROUND(SUMIFS(セカンダリ投資分析!$P3:$P1048576,セカンダリ投資分析!$P3:$P1048576,"&lt;0",セカンダリ投資分析!$Q3:$Q1048576,"&gt;="&amp;M9,セカンダリ投資分析!$Q3:$Q1048576,"&lt;"&amp;AC2),0)</f>
        <v>0</v>
      </c>
    </row>
    <row r="13" spans="1:16" ht="16.5" thickBot="1" x14ac:dyDescent="0.3">
      <c r="C13" s="215">
        <f>C12+D12</f>
        <v>0</v>
      </c>
      <c r="D13" s="216"/>
      <c r="E13" s="215">
        <f>E12+F12</f>
        <v>0</v>
      </c>
      <c r="F13" s="216"/>
      <c r="G13" s="215">
        <f>G12+H12</f>
        <v>0</v>
      </c>
      <c r="H13" s="216"/>
      <c r="I13" s="215">
        <f>I12+J12</f>
        <v>0</v>
      </c>
      <c r="J13" s="216"/>
      <c r="K13" s="215">
        <f>K12+L12</f>
        <v>0</v>
      </c>
      <c r="L13" s="216"/>
      <c r="M13" s="215">
        <f>M12+N12</f>
        <v>0</v>
      </c>
      <c r="N13" s="216"/>
    </row>
    <row r="14" spans="1:16" x14ac:dyDescent="0.25">
      <c r="C14" s="15">
        <v>0</v>
      </c>
      <c r="D14" s="171">
        <f>IF(D11=0,0,D12/D11)</f>
        <v>0</v>
      </c>
      <c r="E14" s="15">
        <v>0</v>
      </c>
      <c r="F14" s="171">
        <f>IF(F11=0,0,F12/F11)</f>
        <v>0</v>
      </c>
      <c r="G14" s="15" t="e">
        <f t="shared" ref="G14:M14" si="1">G12/G11</f>
        <v>#DIV/0!</v>
      </c>
      <c r="H14" s="171">
        <f>IF(H11=0,0,H12/H11)</f>
        <v>0</v>
      </c>
      <c r="I14" s="15" t="e">
        <f t="shared" si="1"/>
        <v>#DIV/0!</v>
      </c>
      <c r="J14" s="171">
        <f>IF(J11=0,0,J12/J11)</f>
        <v>0</v>
      </c>
      <c r="K14" s="15" t="e">
        <f t="shared" si="1"/>
        <v>#DIV/0!</v>
      </c>
      <c r="L14" s="171">
        <f>IF(L11=0,0,L12/L11)</f>
        <v>0</v>
      </c>
      <c r="M14" s="15" t="e">
        <f t="shared" si="1"/>
        <v>#DIV/0!</v>
      </c>
      <c r="N14" s="171">
        <f>IF(N11=0,0,N12/N11)</f>
        <v>0</v>
      </c>
    </row>
    <row r="15" spans="1:16" x14ac:dyDescent="0.25">
      <c r="C15" s="12"/>
      <c r="D15" s="12"/>
    </row>
    <row r="16" spans="1:16" x14ac:dyDescent="0.25">
      <c r="B16" s="97" t="s">
        <v>123</v>
      </c>
      <c r="C16" s="105">
        <f>SUM(C6:P6)+SUM(C13:N13)</f>
        <v>0</v>
      </c>
      <c r="E16" s="98"/>
      <c r="F16" s="106"/>
    </row>
    <row r="17" spans="1:17" x14ac:dyDescent="0.25">
      <c r="B17" s="97" t="s">
        <v>163</v>
      </c>
      <c r="C17" s="105">
        <f>SUM(D20:E24)</f>
        <v>-21190</v>
      </c>
      <c r="D17" s="39" t="s">
        <v>155</v>
      </c>
      <c r="E17" s="98"/>
      <c r="F17" s="106"/>
    </row>
    <row r="18" spans="1:17" ht="16.5" thickBot="1" x14ac:dyDescent="0.3">
      <c r="I18" s="14" t="s">
        <v>160</v>
      </c>
    </row>
    <row r="19" spans="1:17" ht="16.5" thickBot="1" x14ac:dyDescent="0.3">
      <c r="A19" s="143" t="s">
        <v>148</v>
      </c>
      <c r="C19" s="109" t="s">
        <v>144</v>
      </c>
      <c r="D19" s="109" t="s">
        <v>145</v>
      </c>
      <c r="E19" s="109" t="s">
        <v>162</v>
      </c>
      <c r="F19" s="109" t="s">
        <v>147</v>
      </c>
      <c r="G19" s="109" t="s">
        <v>152</v>
      </c>
      <c r="H19" s="109" t="s">
        <v>150</v>
      </c>
      <c r="I19" s="109" t="s">
        <v>151</v>
      </c>
      <c r="J19" s="140" t="s">
        <v>161</v>
      </c>
      <c r="K19" s="155" t="s">
        <v>157</v>
      </c>
      <c r="M19" s="39" t="s">
        <v>158</v>
      </c>
      <c r="Q19" s="154"/>
    </row>
    <row r="20" spans="1:17" ht="16.5" thickTop="1" x14ac:dyDescent="0.25">
      <c r="B20" s="153" t="s">
        <v>139</v>
      </c>
      <c r="C20" s="152" t="e">
        <f>SUMIF(セカンダリ投資分析!#REF!:'セカンダリ投資分析'!$J$1048350,"=SBI",セカンダリ投資分析!#REF!:'セカンダリ投資分析'!$P$1048350)</f>
        <v>#REF!</v>
      </c>
      <c r="D20" s="159">
        <v>0</v>
      </c>
      <c r="E20" s="159">
        <v>0</v>
      </c>
      <c r="F20" s="152" t="e">
        <f>C20+D20+E20</f>
        <v>#REF!</v>
      </c>
      <c r="G20" s="162">
        <v>4294</v>
      </c>
      <c r="H20" s="165">
        <v>2146800</v>
      </c>
      <c r="I20" s="149" t="e">
        <f>H20+F20+G20</f>
        <v>#REF!</v>
      </c>
      <c r="J20" s="172" t="e">
        <f>I20-K20</f>
        <v>#REF!</v>
      </c>
      <c r="K20" s="173">
        <v>5174</v>
      </c>
      <c r="M20" s="39" t="s">
        <v>182</v>
      </c>
    </row>
    <row r="21" spans="1:17" x14ac:dyDescent="0.25">
      <c r="B21" s="144" t="s">
        <v>140</v>
      </c>
      <c r="C21" s="148" t="e">
        <f>SUMIF(セカンダリ投資分析!#REF!:'セカンダリ投資分析'!$J$1048350,"=SMBC日興",セカンダリ投資分析!#REF!:'セカンダリ投資分析'!$P$1048350)</f>
        <v>#REF!</v>
      </c>
      <c r="D21" s="160">
        <v>-17375</v>
      </c>
      <c r="E21" s="160">
        <v>0</v>
      </c>
      <c r="F21" s="148" t="e">
        <f t="shared" ref="F21:F24" si="2">C21+D21+E21</f>
        <v>#REF!</v>
      </c>
      <c r="G21" s="163">
        <v>0</v>
      </c>
      <c r="H21" s="166">
        <v>420000</v>
      </c>
      <c r="I21" s="149" t="e">
        <f>H21+F21+G21</f>
        <v>#REF!</v>
      </c>
      <c r="J21" s="168">
        <f>(1213.08*400)</f>
        <v>485232</v>
      </c>
      <c r="K21" s="156" t="e">
        <f>I21-J21</f>
        <v>#REF!</v>
      </c>
      <c r="L21" s="39" t="s">
        <v>153</v>
      </c>
    </row>
    <row r="22" spans="1:17" x14ac:dyDescent="0.25">
      <c r="B22" s="145" t="s">
        <v>141</v>
      </c>
      <c r="C22" s="148" t="e">
        <f>SUMIF(セカンダリ投資分析!#REF!:'セカンダリ投資分析'!$J$1048350,"=大和",セカンダリ投資分析!#REF!:'セカンダリ投資分析'!$P$1048350)</f>
        <v>#REF!</v>
      </c>
      <c r="D22" s="160">
        <v>0</v>
      </c>
      <c r="E22" s="160">
        <v>0</v>
      </c>
      <c r="F22" s="148" t="e">
        <f t="shared" si="2"/>
        <v>#REF!</v>
      </c>
      <c r="G22" s="163">
        <v>6</v>
      </c>
      <c r="H22" s="166">
        <v>400000</v>
      </c>
      <c r="I22" s="149" t="e">
        <f>H22+F22+G22</f>
        <v>#REF!</v>
      </c>
      <c r="J22" s="168">
        <v>0</v>
      </c>
      <c r="K22" s="156" t="e">
        <f t="shared" ref="K22:K23" si="3">I22-J22</f>
        <v>#REF!</v>
      </c>
    </row>
    <row r="23" spans="1:17" x14ac:dyDescent="0.25">
      <c r="B23" s="146" t="s">
        <v>142</v>
      </c>
      <c r="C23" s="148" t="e">
        <f>SUMIF(セカンダリ投資分析!#REF!:'セカンダリ投資分析'!$J$1048350,"=マネックス",セカンダリ投資分析!#REF!:'セカンダリ投資分析'!$P$1048350)</f>
        <v>#REF!</v>
      </c>
      <c r="D23" s="160">
        <v>-3815</v>
      </c>
      <c r="E23" s="160">
        <v>0</v>
      </c>
      <c r="F23" s="148" t="e">
        <f t="shared" si="2"/>
        <v>#REF!</v>
      </c>
      <c r="G23" s="163">
        <v>122</v>
      </c>
      <c r="H23" s="166">
        <v>294000</v>
      </c>
      <c r="I23" s="149" t="e">
        <f>H23+F23+G23</f>
        <v>#REF!</v>
      </c>
      <c r="J23" s="168">
        <f>(604*500)</f>
        <v>302000</v>
      </c>
      <c r="K23" s="156" t="e">
        <f t="shared" si="3"/>
        <v>#REF!</v>
      </c>
      <c r="L23" s="39" t="s">
        <v>153</v>
      </c>
      <c r="M23" s="39" t="s">
        <v>159</v>
      </c>
    </row>
    <row r="24" spans="1:17" ht="16.5" thickBot="1" x14ac:dyDescent="0.3">
      <c r="B24" s="147" t="s">
        <v>143</v>
      </c>
      <c r="C24" s="150" t="e">
        <f>SUMIF(セカンダリ投資分析!#REF!:'セカンダリ投資分析'!$J$1048350,"=岡三OL",セカンダリ投資分析!#REF!:'セカンダリ投資分析'!$P$1048350)</f>
        <v>#REF!</v>
      </c>
      <c r="D24" s="161">
        <v>0</v>
      </c>
      <c r="E24" s="161">
        <v>0</v>
      </c>
      <c r="F24" s="150" t="e">
        <f t="shared" si="2"/>
        <v>#REF!</v>
      </c>
      <c r="G24" s="164">
        <v>0</v>
      </c>
      <c r="H24" s="167">
        <v>0</v>
      </c>
      <c r="I24" s="151" t="e">
        <f t="shared" ref="I24" si="4">H24+F24</f>
        <v>#REF!</v>
      </c>
      <c r="J24" s="169">
        <v>0</v>
      </c>
      <c r="K24" s="157" t="e">
        <f>I24-J24</f>
        <v>#REF!</v>
      </c>
      <c r="M24" s="39" t="s">
        <v>164</v>
      </c>
    </row>
    <row r="26" spans="1:17" x14ac:dyDescent="0.25">
      <c r="B26" s="97" t="s">
        <v>146</v>
      </c>
      <c r="C26" s="105" t="e">
        <f>SUM(C20:C24)</f>
        <v>#REF!</v>
      </c>
      <c r="D26" s="105">
        <f>SUM(D20:D24)</f>
        <v>-21190</v>
      </c>
      <c r="E26" s="105">
        <f>SUM(E20:E24)</f>
        <v>0</v>
      </c>
      <c r="H26" s="62">
        <f>SUM(H20:H24)</f>
        <v>3260800</v>
      </c>
      <c r="I26" s="62" t="e">
        <f>SUM(I20:I24)</f>
        <v>#REF!</v>
      </c>
      <c r="J26" s="62" t="e">
        <f>SUM(J20:J24)</f>
        <v>#REF!</v>
      </c>
    </row>
    <row r="27" spans="1:17" x14ac:dyDescent="0.25">
      <c r="D27" s="170" t="s">
        <v>156</v>
      </c>
      <c r="E27" s="170" t="s">
        <v>156</v>
      </c>
      <c r="G27" s="170" t="s">
        <v>156</v>
      </c>
      <c r="H27" s="170" t="s">
        <v>156</v>
      </c>
      <c r="I27" s="39" t="s">
        <v>154</v>
      </c>
      <c r="J27" s="170" t="s">
        <v>156</v>
      </c>
    </row>
    <row r="34" spans="10:11" x14ac:dyDescent="0.25">
      <c r="J34" s="62"/>
    </row>
    <row r="36" spans="10:11" x14ac:dyDescent="0.25">
      <c r="K36" s="62"/>
    </row>
  </sheetData>
  <mergeCells count="26">
    <mergeCell ref="C6:D6"/>
    <mergeCell ref="E6:F6"/>
    <mergeCell ref="G6:H6"/>
    <mergeCell ref="I6:J6"/>
    <mergeCell ref="K6:L6"/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M9:N9"/>
    <mergeCell ref="M13:N13"/>
    <mergeCell ref="C2:D2"/>
    <mergeCell ref="E2:F2"/>
    <mergeCell ref="G2:H2"/>
    <mergeCell ref="I2:J2"/>
    <mergeCell ref="K2:L2"/>
    <mergeCell ref="I9:J9"/>
    <mergeCell ref="I13:J13"/>
    <mergeCell ref="K9:L9"/>
    <mergeCell ref="K13:L13"/>
    <mergeCell ref="M6:N6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X6"/>
  <sheetViews>
    <sheetView zoomScale="145" zoomScaleNormal="145" workbookViewId="0">
      <selection activeCell="B11" sqref="B11"/>
    </sheetView>
  </sheetViews>
  <sheetFormatPr defaultColWidth="8" defaultRowHeight="15.75" x14ac:dyDescent="0.25"/>
  <cols>
    <col min="1" max="1" width="9.109375" style="39" bestFit="1" customWidth="1"/>
    <col min="2" max="2" width="8.6640625" style="39" bestFit="1" customWidth="1"/>
    <col min="3" max="3" width="8.21875" style="39" customWidth="1"/>
    <col min="4" max="4" width="8.21875" style="39" hidden="1" customWidth="1"/>
    <col min="5" max="5" width="8.21875" style="39" customWidth="1"/>
    <col min="6" max="6" width="8.21875" style="39" hidden="1" customWidth="1"/>
    <col min="7" max="7" width="8.21875" style="39" customWidth="1"/>
    <col min="8" max="8" width="8.21875" style="39" hidden="1" customWidth="1"/>
    <col min="9" max="9" width="8.21875" style="39" customWidth="1"/>
    <col min="10" max="10" width="8.21875" style="39" hidden="1" customWidth="1"/>
    <col min="11" max="11" width="8.21875" style="39" customWidth="1"/>
    <col min="12" max="12" width="8.21875" style="39" hidden="1" customWidth="1"/>
    <col min="13" max="13" width="8.21875" style="39" customWidth="1"/>
    <col min="14" max="14" width="8.21875" style="39" hidden="1" customWidth="1"/>
    <col min="15" max="15" width="8.21875" style="39" customWidth="1"/>
    <col min="16" max="16" width="8.21875" style="39" hidden="1" customWidth="1"/>
    <col min="17" max="17" width="8" style="39"/>
    <col min="18" max="18" width="8" style="39" hidden="1" customWidth="1"/>
    <col min="19" max="19" width="8" style="39"/>
    <col min="20" max="20" width="11.5546875" style="39" hidden="1" customWidth="1"/>
    <col min="21" max="21" width="11.21875" style="39" bestFit="1" customWidth="1"/>
    <col min="22" max="22" width="0" style="39" hidden="1" customWidth="1"/>
    <col min="23" max="23" width="8" style="39"/>
    <col min="24" max="24" width="11.21875" style="39" bestFit="1" customWidth="1"/>
    <col min="25" max="16384" width="8" style="39"/>
  </cols>
  <sheetData>
    <row r="1" spans="1:24" ht="16.5" thickBot="1" x14ac:dyDescent="0.3"/>
    <row r="2" spans="1:24" ht="16.5" thickBot="1" x14ac:dyDescent="0.3">
      <c r="A2" s="79"/>
      <c r="B2" s="80" t="s">
        <v>106</v>
      </c>
      <c r="C2" s="81" t="s">
        <v>107</v>
      </c>
      <c r="D2" s="81"/>
      <c r="E2" s="81" t="s">
        <v>108</v>
      </c>
      <c r="F2" s="81"/>
      <c r="G2" s="81" t="s">
        <v>39</v>
      </c>
      <c r="H2" s="81"/>
      <c r="I2" s="81" t="s">
        <v>109</v>
      </c>
      <c r="J2" s="81"/>
      <c r="K2" s="81" t="s">
        <v>51</v>
      </c>
      <c r="L2" s="82"/>
      <c r="M2" s="83" t="s">
        <v>56</v>
      </c>
      <c r="N2" s="84"/>
      <c r="O2" s="83" t="s">
        <v>135</v>
      </c>
      <c r="P2" s="84"/>
      <c r="Q2" s="83" t="s">
        <v>175</v>
      </c>
      <c r="R2" s="84"/>
      <c r="S2" s="83" t="s">
        <v>176</v>
      </c>
      <c r="T2" s="84"/>
      <c r="U2" s="83" t="s">
        <v>115</v>
      </c>
      <c r="V2" s="84"/>
    </row>
    <row r="3" spans="1:24" ht="16.5" thickBot="1" x14ac:dyDescent="0.3">
      <c r="A3" s="85" t="s">
        <v>110</v>
      </c>
      <c r="B3" s="95" t="str">
        <f>CONCATENATE((N5+L5+J5+H5+F4+D4+V5+P5+R5+T5),"万")</f>
        <v>409万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78"/>
      <c r="O3" s="47"/>
      <c r="P3" s="78"/>
      <c r="Q3" s="47"/>
      <c r="R3" s="78"/>
      <c r="S3" s="47"/>
      <c r="T3" s="78"/>
      <c r="U3" s="26"/>
      <c r="V3" s="78"/>
    </row>
    <row r="4" spans="1:24" x14ac:dyDescent="0.25">
      <c r="A4" s="86" t="s">
        <v>111</v>
      </c>
      <c r="B4" s="96"/>
      <c r="C4" s="94" t="s">
        <v>180</v>
      </c>
      <c r="D4" s="94" t="str">
        <f>LEFT(C4,LEN(C4)-1)</f>
        <v>7</v>
      </c>
      <c r="E4" s="94" t="s">
        <v>117</v>
      </c>
      <c r="F4" s="54" t="str">
        <f>LEFT(E4,LEN(E4)-1)</f>
        <v>3</v>
      </c>
      <c r="G4" s="54"/>
      <c r="H4" s="54"/>
      <c r="I4" s="54"/>
      <c r="J4" s="54"/>
      <c r="K4" s="54"/>
      <c r="L4" s="54"/>
      <c r="M4" s="54"/>
      <c r="N4" s="78"/>
      <c r="O4" s="54"/>
      <c r="P4" s="78"/>
      <c r="Q4" s="54"/>
      <c r="R4" s="78"/>
      <c r="S4" s="54"/>
      <c r="T4" s="78"/>
      <c r="U4" s="28"/>
      <c r="V4" s="78"/>
      <c r="W4" s="39" t="str">
        <f>CONCATENATE((D4+F4),"万")</f>
        <v>10万</v>
      </c>
      <c r="X4" s="87" t="s">
        <v>112</v>
      </c>
    </row>
    <row r="5" spans="1:24" ht="16.5" thickBot="1" x14ac:dyDescent="0.3">
      <c r="A5" s="88" t="s">
        <v>113</v>
      </c>
      <c r="B5" s="132"/>
      <c r="C5" s="92"/>
      <c r="D5" s="92"/>
      <c r="E5" s="92"/>
      <c r="F5" s="92"/>
      <c r="G5" s="181" t="s">
        <v>137</v>
      </c>
      <c r="H5" s="92" t="str">
        <f>LEFT(G5,LEN(G5)-1)</f>
        <v>30</v>
      </c>
      <c r="I5" s="181" t="s">
        <v>165</v>
      </c>
      <c r="J5" s="92" t="str">
        <f>LEFT(I5,LEN(I5)-1)</f>
        <v>48</v>
      </c>
      <c r="K5" s="92" t="s">
        <v>177</v>
      </c>
      <c r="L5" s="92" t="str">
        <f>LEFT(K5,LEN(K5)-1)</f>
        <v>39</v>
      </c>
      <c r="M5" s="181" t="s">
        <v>178</v>
      </c>
      <c r="N5" s="93" t="str">
        <f>LEFT(M5,LEN(M5)-1)</f>
        <v>201</v>
      </c>
      <c r="O5" s="92" t="s">
        <v>166</v>
      </c>
      <c r="P5" s="93" t="str">
        <f>LEFT(O5,LEN(O5)-1)</f>
        <v>0</v>
      </c>
      <c r="Q5" s="91" t="s">
        <v>179</v>
      </c>
      <c r="R5" s="93" t="str">
        <f>LEFT(Q5,LEN(Q5)-1)</f>
        <v>66</v>
      </c>
      <c r="S5" s="91" t="s">
        <v>166</v>
      </c>
      <c r="T5" s="93" t="str">
        <f>LEFT(S5,LEN(S5)-1)</f>
        <v>0</v>
      </c>
      <c r="U5" s="92" t="s">
        <v>116</v>
      </c>
      <c r="V5" s="93" t="str">
        <f>LEFT(U5,LEN(U5)-1)</f>
        <v>15</v>
      </c>
      <c r="W5" s="39" t="str">
        <f>CONCATENATE((H5+J5+L5+N5+P5+R5+T5+V5),"万")</f>
        <v>399万</v>
      </c>
      <c r="X5" s="89">
        <v>43109</v>
      </c>
    </row>
    <row r="6" spans="1:24" x14ac:dyDescent="0.25">
      <c r="A6" s="90" t="s">
        <v>114</v>
      </c>
      <c r="B6" s="39" t="s">
        <v>181</v>
      </c>
      <c r="E6" s="61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2018-02-14T06:16:51Z</dcterms:modified>
</cp:coreProperties>
</file>