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35" i="7" l="1"/>
  <c r="X35" i="7"/>
  <c r="V35" i="7"/>
  <c r="T35" i="7"/>
  <c r="R35" i="7"/>
  <c r="P35" i="7"/>
  <c r="N35" i="7"/>
  <c r="L35" i="7"/>
  <c r="J35" i="7"/>
  <c r="H35" i="7"/>
  <c r="F34" i="7"/>
  <c r="D34" i="7"/>
  <c r="AA34" i="7" l="1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Q34" i="5" s="1"/>
  <c r="W34" i="5"/>
  <c r="B35" i="5"/>
  <c r="C35" i="5"/>
  <c r="D35" i="5"/>
  <c r="E35" i="5"/>
  <c r="F35" i="5"/>
  <c r="G35" i="5"/>
  <c r="R35" i="5"/>
  <c r="T35" i="5"/>
  <c r="Q35" i="5" s="1"/>
  <c r="W35" i="5"/>
  <c r="B36" i="5"/>
  <c r="C36" i="5"/>
  <c r="D36" i="5"/>
  <c r="E36" i="5"/>
  <c r="F36" i="5"/>
  <c r="G36" i="5"/>
  <c r="R36" i="5"/>
  <c r="T36" i="5"/>
  <c r="Q36" i="5" s="1"/>
  <c r="W36" i="5"/>
  <c r="B37" i="5"/>
  <c r="C37" i="5"/>
  <c r="D37" i="5"/>
  <c r="E37" i="5"/>
  <c r="F37" i="5"/>
  <c r="G37" i="5"/>
  <c r="R37" i="5"/>
  <c r="T37" i="5"/>
  <c r="Q37" i="5" s="1"/>
  <c r="W37" i="5"/>
  <c r="B38" i="5"/>
  <c r="C38" i="5"/>
  <c r="D38" i="5"/>
  <c r="E38" i="5"/>
  <c r="F38" i="5"/>
  <c r="G38" i="5"/>
  <c r="R38" i="5"/>
  <c r="T38" i="5"/>
  <c r="Q38" i="5" s="1"/>
  <c r="W38" i="5"/>
  <c r="B39" i="5"/>
  <c r="C39" i="5"/>
  <c r="D39" i="5"/>
  <c r="E39" i="5"/>
  <c r="F39" i="5"/>
  <c r="G39" i="5"/>
  <c r="R39" i="5"/>
  <c r="T39" i="5"/>
  <c r="Q39" i="5" s="1"/>
  <c r="W39" i="5"/>
  <c r="B40" i="5"/>
  <c r="C40" i="5"/>
  <c r="D40" i="5"/>
  <c r="E40" i="5"/>
  <c r="F40" i="5"/>
  <c r="G40" i="5"/>
  <c r="R40" i="5"/>
  <c r="T40" i="5"/>
  <c r="Q40" i="5" s="1"/>
  <c r="W40" i="5"/>
  <c r="I40" i="5" l="1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8" i="9"/>
  <c r="O38" i="9"/>
  <c r="Q25" i="9" l="1"/>
  <c r="N28" i="9" s="1"/>
  <c r="P25" i="9"/>
  <c r="O25" i="9"/>
  <c r="N25" i="9"/>
  <c r="N26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7" i="9"/>
  <c r="R42" i="9" s="1"/>
  <c r="Q35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2" i="9"/>
  <c r="P35" i="9"/>
  <c r="B21" i="7"/>
  <c r="N42" i="9"/>
  <c r="P36" i="9" l="1"/>
  <c r="P42" i="9"/>
  <c r="O37" i="9"/>
  <c r="O42" i="9" s="1"/>
  <c r="M36" i="9"/>
  <c r="M38" i="9" s="1"/>
  <c r="M45" i="9" s="1"/>
  <c r="M35" i="9"/>
  <c r="M42" i="9" s="1"/>
  <c r="N36" i="9" l="1"/>
  <c r="P38" i="9"/>
  <c r="Q36" i="9"/>
  <c r="M39" i="9"/>
  <c r="M40" i="9" s="1"/>
  <c r="N38" i="9"/>
  <c r="N39" i="9" s="1"/>
  <c r="N40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8" i="9"/>
  <c r="P39" i="9"/>
  <c r="O39" i="9"/>
  <c r="B15" i="7"/>
  <c r="G3" i="5"/>
  <c r="Q39" i="9" l="1"/>
  <c r="Q40" i="9" s="1"/>
  <c r="P40" i="9"/>
  <c r="R39" i="9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5" i="4"/>
  <c r="C15" i="4"/>
  <c r="D15" i="4"/>
  <c r="G15" i="4" s="1"/>
  <c r="E15" i="4"/>
  <c r="N15" i="4"/>
  <c r="B16" i="4"/>
  <c r="C16" i="4"/>
  <c r="D16" i="4"/>
  <c r="G16" i="4" s="1"/>
  <c r="E16" i="4"/>
  <c r="F16" i="4"/>
  <c r="N16" i="4"/>
  <c r="B17" i="4"/>
  <c r="C17" i="4"/>
  <c r="F17" i="4" s="1"/>
  <c r="D17" i="4"/>
  <c r="G17" i="4" s="1"/>
  <c r="E17" i="4"/>
  <c r="N17" i="4"/>
  <c r="B18" i="4"/>
  <c r="C18" i="4"/>
  <c r="F18" i="4" s="1"/>
  <c r="D18" i="4"/>
  <c r="G18" i="4" s="1"/>
  <c r="E18" i="4"/>
  <c r="N18" i="4"/>
  <c r="B19" i="4"/>
  <c r="C19" i="4"/>
  <c r="F19" i="4" s="1"/>
  <c r="D19" i="4"/>
  <c r="G19" i="4" s="1"/>
  <c r="E19" i="4"/>
  <c r="N19" i="4"/>
  <c r="B20" i="4"/>
  <c r="C20" i="4"/>
  <c r="D20" i="4"/>
  <c r="G20" i="4" s="1"/>
  <c r="E20" i="4"/>
  <c r="N20" i="4"/>
  <c r="B21" i="4"/>
  <c r="C21" i="4"/>
  <c r="F21" i="4" s="1"/>
  <c r="D21" i="4"/>
  <c r="G21" i="4" s="1"/>
  <c r="E21" i="4"/>
  <c r="N21" i="4"/>
  <c r="B22" i="4"/>
  <c r="C22" i="4"/>
  <c r="F22" i="4" s="1"/>
  <c r="D22" i="4"/>
  <c r="G22" i="4" s="1"/>
  <c r="E22" i="4"/>
  <c r="N22" i="4"/>
  <c r="B23" i="4"/>
  <c r="C23" i="4"/>
  <c r="D23" i="4"/>
  <c r="G23" i="4" s="1"/>
  <c r="E23" i="4"/>
  <c r="F23" i="4"/>
  <c r="N23" i="4"/>
  <c r="B24" i="4"/>
  <c r="C24" i="4"/>
  <c r="D24" i="4"/>
  <c r="G24" i="4" s="1"/>
  <c r="E24" i="4"/>
  <c r="N24" i="4"/>
  <c r="B25" i="4"/>
  <c r="C25" i="4"/>
  <c r="F25" i="4" s="1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F29" i="4" s="1"/>
  <c r="D29" i="4"/>
  <c r="G29" i="4" s="1"/>
  <c r="E29" i="4"/>
  <c r="N29" i="4"/>
  <c r="B30" i="4"/>
  <c r="C30" i="4"/>
  <c r="D30" i="4"/>
  <c r="G30" i="4" s="1"/>
  <c r="E30" i="4"/>
  <c r="F30" i="4"/>
  <c r="N30" i="4"/>
  <c r="B31" i="4"/>
  <c r="C31" i="4"/>
  <c r="F31" i="4" s="1"/>
  <c r="D31" i="4"/>
  <c r="G31" i="4" s="1"/>
  <c r="E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D14" i="4"/>
  <c r="C14" i="4"/>
  <c r="B14" i="4"/>
  <c r="N13" i="4"/>
  <c r="E13" i="4"/>
  <c r="D13" i="4"/>
  <c r="C13" i="4"/>
  <c r="B13" i="4"/>
  <c r="F28" i="4" l="1"/>
  <c r="F27" i="4"/>
  <c r="F26" i="4"/>
  <c r="F24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0" i="4"/>
  <c r="F15" i="4"/>
  <c r="F13" i="4"/>
  <c r="F14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H26" i="9"/>
  <c r="K20" i="9"/>
  <c r="K23" i="9"/>
  <c r="C17" i="9"/>
  <c r="C24" i="9"/>
  <c r="C23" i="9"/>
  <c r="C22" i="9"/>
  <c r="C21" i="9"/>
  <c r="C20" i="9"/>
  <c r="F20" i="9" s="1"/>
  <c r="I20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10" i="4" l="1"/>
  <c r="F8" i="4"/>
  <c r="F11" i="4"/>
  <c r="F12" i="4"/>
  <c r="P3" i="5"/>
  <c r="P4" i="5"/>
  <c r="P5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K26" i="9" s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</calcChain>
</file>

<file path=xl/sharedStrings.xml><?xml version="1.0" encoding="utf-8"?>
<sst xmlns="http://schemas.openxmlformats.org/spreadsheetml/2006/main" count="716" uniqueCount="319">
  <si>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</si>
  <si>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</si>
  <si>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</si>
  <si>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</si>
  <si>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</si>
  <si>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</si>
  <si>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</si>
  <si>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</si>
  <si>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</si>
  <si>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</si>
  <si>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</si>
  <si>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</si>
  <si>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</si>
  <si>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</si>
  <si>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</si>
  <si>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</si>
  <si>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</si>
  <si>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</si>
  <si>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</si>
  <si>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</si>
  <si>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</si>
  <si>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</si>
  <si>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</si>
  <si>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</si>
  <si>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</si>
  <si>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</si>
  <si>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</si>
  <si>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</si>
  <si>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</si>
  <si>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</si>
  <si>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</si>
  <si>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</si>
  <si>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</si>
  <si>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</si>
  <si>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</si>
  <si>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</si>
  <si>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</si>
  <si>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</si>
  <si>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</si>
  <si>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</si>
  <si>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</si>
  <si>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</si>
  <si>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</si>
  <si>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</si>
  <si>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</si>
  <si>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</si>
  <si>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</si>
  <si>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</si>
  <si>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</si>
  <si>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</si>
  <si>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</si>
  <si>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</si>
  <si>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</si>
  <si>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</si>
  <si>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</si>
  <si>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</si>
  <si>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</si>
  <si>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</si>
  <si>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</si>
  <si>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</si>
  <si>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</si>
  <si>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</si>
  <si>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</si>
  <si>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</si>
  <si>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</si>
  <si>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</si>
  <si>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</si>
  <si>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</si>
  <si>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</si>
  <si>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</si>
  <si>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</si>
  <si>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</si>
  <si>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</si>
  <si>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</si>
  <si>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</si>
  <si>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</si>
  <si>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</si>
  <si>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</si>
  <si>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</si>
  <si>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</si>
  <si>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</si>
  <si>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</si>
  <si>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</si>
  <si>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</si>
  <si>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</si>
  <si>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</si>
  <si>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</si>
  <si>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</si>
  <si>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</si>
  <si>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</si>
  <si>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</si>
  <si>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</si>
  <si>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</si>
  <si>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</si>
  <si>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</si>
  <si>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</si>
  <si>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</si>
  <si>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</si>
  <si>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</si>
  <si>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</si>
  <si>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</si>
  <si>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</si>
  <si>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</si>
  <si>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</si>
  <si>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</si>
  <si>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</si>
  <si>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</si>
  <si>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</si>
  <si>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</si>
  <si>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</si>
  <si>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</si>
  <si>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</si>
  <si>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</si>
  <si>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</si>
  <si>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</si>
  <si>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</si>
  <si>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</si>
  <si>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</si>
  <si>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</si>
  <si>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</si>
  <si>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</si>
  <si>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</si>
  <si>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</si>
  <si>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</si>
  <si>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</si>
  <si>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</si>
  <si>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</si>
  <si>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</si>
  <si>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</si>
  <si>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</si>
  <si>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</si>
  <si>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</si>
  <si>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</si>
  <si>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</si>
  <si>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</si>
  <si>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</si>
  <si>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</si>
  <si>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</si>
  <si>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</si>
  <si>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</si>
  <si>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</si>
  <si>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</si>
  <si>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</si>
  <si>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</si>
  <si>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</si>
  <si>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</si>
  <si>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</si>
  <si>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</si>
  <si>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</si>
  <si>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</si>
  <si>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</si>
  <si>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</si>
  <si>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</si>
  <si>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</si>
  <si>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</si>
  <si>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</si>
  <si>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</si>
  <si>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</si>
  <si>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</si>
  <si>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</si>
  <si>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</si>
  <si>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</si>
  <si>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</si>
  <si>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</si>
  <si>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</si>
  <si>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</si>
  <si>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</si>
  <si>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</si>
  <si>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</si>
  <si>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</si>
  <si>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</si>
  <si>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</si>
  <si>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</si>
  <si>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</si>
  <si>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</si>
  <si>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</si>
  <si>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</si>
  <si>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</si>
  <si>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</si>
  <si>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</si>
  <si>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</si>
  <si>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</si>
  <si>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</si>
  <si>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</si>
  <si>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</si>
  <si>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</si>
  <si>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</si>
  <si>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</si>
  <si>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</si>
  <si>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</si>
  <si>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</si>
  <si>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</si>
  <si>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</si>
  <si>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</si>
  <si>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</si>
  <si>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</si>
  <si>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</si>
  <si>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</si>
  <si>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</si>
  <si>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</si>
  <si>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</si>
  <si>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</si>
  <si>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</si>
  <si>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</si>
  <si>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</si>
  <si>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</si>
  <si>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</si>
  <si>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</si>
  <si>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</si>
  <si>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</si>
  <si>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</si>
  <si>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</si>
  <si>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</si>
  <si>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</si>
  <si>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</si>
  <si>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</si>
  <si>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</si>
  <si>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</si>
  <si>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</si>
  <si>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</si>
  <si>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</si>
  <si>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</si>
  <si>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</si>
  <si>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</si>
  <si>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</si>
  <si>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</si>
  <si>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</si>
  <si>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</si>
  <si>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</si>
  <si>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</si>
  <si>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</si>
  <si>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</si>
  <si>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</si>
  <si>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</si>
  <si>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</si>
  <si>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</si>
  <si>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</si>
  <si>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</si>
  <si>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</si>
  <si>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</si>
  <si>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</si>
  <si>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</si>
  <si>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</si>
  <si>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</si>
  <si>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</si>
  <si>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</si>
  <si>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</si>
  <si>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</si>
  <si>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</si>
  <si>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</si>
  <si>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</si>
  <si>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</si>
  <si>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</si>
  <si>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</si>
  <si>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</si>
  <si>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</si>
  <si>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</si>
  <si>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</si>
  <si>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</si>
  <si>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</si>
  <si>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</si>
  <si>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</si>
  <si>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</si>
  <si>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</si>
  <si>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</si>
  <si>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</si>
  <si>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</si>
  <si>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</si>
  <si>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</si>
  <si>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</si>
  <si>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</si>
  <si>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</si>
  <si>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</si>
  <si>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</si>
  <si>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(株)ファイバーゲート</t>
    <phoneticPr fontId="2"/>
  </si>
  <si>
    <t>マザーズ</t>
    <phoneticPr fontId="2"/>
  </si>
  <si>
    <t>日本リビング保証(株)</t>
    <phoneticPr fontId="2"/>
  </si>
  <si>
    <t>ヒューマン・アソシエイツ・ホールディングス(株)</t>
    <phoneticPr fontId="2"/>
  </si>
  <si>
    <t>(株)ベストワンドットコム</t>
    <phoneticPr fontId="2"/>
  </si>
  <si>
    <t>東証JQS</t>
    <phoneticPr fontId="2"/>
  </si>
  <si>
    <t>東証2部</t>
    <phoneticPr fontId="3"/>
  </si>
  <si>
    <t>トレイダーズホールディングス(株)</t>
    <phoneticPr fontId="3"/>
  </si>
  <si>
    <t>東証JQS</t>
    <phoneticPr fontId="3"/>
  </si>
  <si>
    <t>ソレイジア・ファーマ(株)</t>
    <phoneticPr fontId="3"/>
  </si>
  <si>
    <t>マザーズ</t>
    <phoneticPr fontId="3"/>
  </si>
  <si>
    <t>(株)Ｍマート</t>
    <phoneticPr fontId="2"/>
  </si>
  <si>
    <t>(株)ジェイテックコーポレーション</t>
    <phoneticPr fontId="2"/>
  </si>
  <si>
    <t>(株)ＳＥＲＩＯホールディングス</t>
    <phoneticPr fontId="2"/>
  </si>
  <si>
    <t>神戸天然物化学(株)</t>
    <phoneticPr fontId="2"/>
  </si>
  <si>
    <t>日総工産(株)</t>
    <phoneticPr fontId="2"/>
  </si>
  <si>
    <t>東証1部</t>
    <phoneticPr fontId="2"/>
  </si>
  <si>
    <t>(株)フェイスネットワーク</t>
    <phoneticPr fontId="2"/>
  </si>
  <si>
    <t>東証2部</t>
    <phoneticPr fontId="2"/>
  </si>
  <si>
    <t>信和(株)</t>
    <phoneticPr fontId="2"/>
  </si>
  <si>
    <t>(株)ＳＯＵ</t>
    <phoneticPr fontId="2"/>
  </si>
  <si>
    <t>ＲＰＡホールディングス(株)</t>
    <phoneticPr fontId="2"/>
  </si>
  <si>
    <t>アジャイルメディア・ネットワーク(株)</t>
    <phoneticPr fontId="2"/>
  </si>
  <si>
    <t>(株)アズ企画設計</t>
    <phoneticPr fontId="2"/>
  </si>
  <si>
    <t>(株)和心</t>
    <phoneticPr fontId="2"/>
  </si>
  <si>
    <t>ビープラッツ(株)</t>
    <phoneticPr fontId="2"/>
  </si>
  <si>
    <t>(株)コンヴァノ</t>
    <phoneticPr fontId="2"/>
  </si>
  <si>
    <t>なし</t>
    <phoneticPr fontId="2"/>
  </si>
  <si>
    <t>(株)エヌリンクス</t>
    <phoneticPr fontId="2"/>
  </si>
  <si>
    <t>応募中</t>
    <rPh sb="0" eb="2">
      <t>オウボ</t>
    </rPh>
    <rPh sb="2" eb="3">
      <t>チュウ</t>
    </rPh>
    <phoneticPr fontId="2"/>
  </si>
  <si>
    <t>メルカリ</t>
  </si>
  <si>
    <t>-</t>
  </si>
  <si>
    <t>応募予定</t>
    <rPh sb="0" eb="2">
      <t>オウボ</t>
    </rPh>
    <rPh sb="2" eb="4">
      <t>ヨテイ</t>
    </rPh>
    <phoneticPr fontId="2"/>
  </si>
  <si>
    <t>(株)リミックスポイント</t>
    <phoneticPr fontId="3"/>
  </si>
  <si>
    <t>---</t>
  </si>
  <si>
    <t>[1:5]（15/07/29）</t>
    <phoneticPr fontId="3"/>
  </si>
  <si>
    <t>[1:100]（13/09/26）</t>
    <phoneticPr fontId="3"/>
  </si>
  <si>
    <t>なし</t>
    <phoneticPr fontId="3"/>
  </si>
  <si>
    <t>なし</t>
    <phoneticPr fontId="2"/>
  </si>
  <si>
    <t>(株)共和コーポレーション</t>
    <phoneticPr fontId="2"/>
  </si>
  <si>
    <t>キュービーネットホールディングス(株)</t>
    <phoneticPr fontId="2"/>
  </si>
  <si>
    <t>東証1部</t>
    <phoneticPr fontId="2"/>
  </si>
  <si>
    <t>ブティックス(株)</t>
    <phoneticPr fontId="2"/>
  </si>
  <si>
    <t>ＨＥＲＯＺ(株)</t>
    <phoneticPr fontId="2"/>
  </si>
  <si>
    <t>アイペット損害保険(株)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</si>
</sst>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41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0" xfId="7" applyFont="1" applyAlignment="1">
      <alignment horizontal="center" vertical="center"/>
    </xf>
    <xf numFmtId="185" fontId="7" fillId="0" borderId="0" xfId="3" applyNumberFormat="1" applyFont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45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s.finance.yahoo.co.jp/stocks/detail/?code=6569" TargetMode="External"/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" Type="http://schemas.openxmlformats.org/officeDocument/2006/relationships/hyperlink" Target="https://stocks.finance.yahoo.co.jp/stocks/detail/?code=4597" TargetMode="External"/><Relationship Id="rId21" Type="http://schemas.openxmlformats.org/officeDocument/2006/relationships/hyperlink" Target="https://stocks.finance.yahoo.co.jp/stocks/detail/?code=4381" TargetMode="External"/><Relationship Id="rId7" Type="http://schemas.openxmlformats.org/officeDocument/2006/relationships/hyperlink" Target="https://stocks.finance.yahoo.co.jp/stocks/detail/?code=6568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0" Type="http://schemas.openxmlformats.org/officeDocument/2006/relationships/hyperlink" Target="https://stocks.finance.yahoo.co.jp/stocks/detail/?code=9272" TargetMode="External"/><Relationship Id="rId29" Type="http://schemas.openxmlformats.org/officeDocument/2006/relationships/vmlDrawing" Target="../drawings/vmlDrawing1.v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drawing" Target="../drawings/drawing1.xm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image" Target="../media/image1.emf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tabSelected="1" zoomScale="80" zoomScaleNormal="80" workbookViewId="0">
      <pane ySplit="2" topLeftCell="A3" activePane="bottomLeft" state="frozen"/>
      <selection activeCell="U183" sqref="U183"/>
      <selection pane="bottomLeft" activeCell="I29" sqref="I29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29" t="s">
        <v>14</v>
      </c>
      <c r="B1" s="229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168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169</v>
      </c>
      <c r="J3" s="63" t="s">
        <v>169</v>
      </c>
      <c r="K3" s="63" t="s">
        <v>186</v>
      </c>
      <c r="L3" s="63" t="s">
        <v>169</v>
      </c>
      <c r="M3" s="63" t="s">
        <v>169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5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49" t="s">
        <v>174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169</v>
      </c>
      <c r="J4" s="49" t="s">
        <v>169</v>
      </c>
      <c r="K4" s="49" t="s">
        <v>175</v>
      </c>
      <c r="L4" s="49" t="s">
        <v>169</v>
      </c>
      <c r="M4" s="49" t="s">
        <v>186</v>
      </c>
      <c r="N4" s="159" t="s">
        <v>47</v>
      </c>
      <c r="O4" s="52">
        <v>43159</v>
      </c>
      <c r="P4" s="50">
        <v>9700</v>
      </c>
      <c r="Q4" s="151" t="str">
        <f t="shared" ref="Q4:Q67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7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176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175</v>
      </c>
      <c r="J5" s="49" t="s">
        <v>169</v>
      </c>
      <c r="K5" s="49" t="s">
        <v>186</v>
      </c>
      <c r="L5" s="49" t="s">
        <v>169</v>
      </c>
      <c r="M5" s="49" t="s">
        <v>186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2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177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175</v>
      </c>
      <c r="J6" s="49" t="s">
        <v>169</v>
      </c>
      <c r="K6" s="49" t="s">
        <v>175</v>
      </c>
      <c r="L6" s="49" t="s">
        <v>169</v>
      </c>
      <c r="M6" s="49" t="s">
        <v>175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0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178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169</v>
      </c>
      <c r="J7" s="49" t="s">
        <v>175</v>
      </c>
      <c r="K7" s="49" t="s">
        <v>175</v>
      </c>
      <c r="L7" s="49" t="s">
        <v>169</v>
      </c>
      <c r="M7" s="49" t="s">
        <v>186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0</v>
      </c>
      <c r="W7" s="28" t="s">
        <v>59</v>
      </c>
    </row>
    <row r="8" spans="1:24" x14ac:dyDescent="0.25">
      <c r="A8" s="12">
        <f t="shared" si="1"/>
        <v>6</v>
      </c>
      <c r="B8" s="49" t="s">
        <v>179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169</v>
      </c>
      <c r="J8" s="49" t="s">
        <v>169</v>
      </c>
      <c r="K8" s="49" t="s">
        <v>175</v>
      </c>
      <c r="L8" s="49" t="s">
        <v>169</v>
      </c>
      <c r="M8" s="49" t="s">
        <v>186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160</v>
      </c>
      <c r="U8" s="28" t="s">
        <v>62</v>
      </c>
      <c r="V8" s="26">
        <f t="shared" si="0"/>
        <v>5</v>
      </c>
      <c r="W8" s="29" t="s">
        <v>63</v>
      </c>
    </row>
    <row r="9" spans="1:24" x14ac:dyDescent="0.25">
      <c r="A9" s="12">
        <f t="shared" si="1"/>
        <v>7</v>
      </c>
      <c r="B9" s="49" t="s">
        <v>187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189</v>
      </c>
      <c r="J9" s="49" t="s">
        <v>188</v>
      </c>
      <c r="K9" s="49" t="s">
        <v>189</v>
      </c>
      <c r="L9" s="49" t="s">
        <v>188</v>
      </c>
      <c r="M9" s="49" t="s">
        <v>189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159</v>
      </c>
      <c r="U9" s="28" t="s">
        <v>53</v>
      </c>
      <c r="V9" s="28">
        <f t="shared" si="0"/>
        <v>7</v>
      </c>
    </row>
    <row r="10" spans="1:24" x14ac:dyDescent="0.25">
      <c r="A10" s="12">
        <f t="shared" si="1"/>
        <v>8</v>
      </c>
      <c r="B10" s="49" t="s">
        <v>190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192</v>
      </c>
      <c r="J10" s="49" t="s">
        <v>191</v>
      </c>
      <c r="K10" s="49" t="s">
        <v>186</v>
      </c>
      <c r="L10" s="49" t="s">
        <v>191</v>
      </c>
      <c r="M10" s="49" t="s">
        <v>186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249</v>
      </c>
      <c r="T10" s="29" t="s">
        <v>61</v>
      </c>
      <c r="U10" s="31" t="s">
        <v>131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193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175</v>
      </c>
      <c r="J11" s="49" t="s">
        <v>194</v>
      </c>
      <c r="K11" s="49" t="s">
        <v>175</v>
      </c>
      <c r="L11" s="49" t="s">
        <v>194</v>
      </c>
      <c r="M11" s="49" t="s">
        <v>186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9" t="s">
        <v>64</v>
      </c>
      <c r="V11" s="29">
        <f t="shared" si="0"/>
        <v>0</v>
      </c>
    </row>
    <row r="12" spans="1:24" x14ac:dyDescent="0.25">
      <c r="A12" s="12">
        <f t="shared" si="1"/>
        <v>10</v>
      </c>
      <c r="B12" s="49" t="s">
        <v>195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169</v>
      </c>
      <c r="J12" s="49" t="s">
        <v>169</v>
      </c>
      <c r="K12" s="49" t="s">
        <v>266</v>
      </c>
      <c r="L12" s="49" t="s">
        <v>169</v>
      </c>
      <c r="M12" s="49" t="s">
        <v>186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249</v>
      </c>
    </row>
    <row r="13" spans="1:24" x14ac:dyDescent="0.25">
      <c r="A13" s="12">
        <f t="shared" si="1"/>
        <v>11</v>
      </c>
      <c r="B13" s="49" t="s">
        <v>196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197</v>
      </c>
      <c r="J13" s="49" t="s">
        <v>169</v>
      </c>
      <c r="K13" s="49" t="s">
        <v>197</v>
      </c>
      <c r="L13" s="49" t="s">
        <v>169</v>
      </c>
      <c r="M13" s="49" t="s">
        <v>186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198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199</v>
      </c>
      <c r="J14" s="49" t="s">
        <v>199</v>
      </c>
      <c r="K14" s="49" t="s">
        <v>186</v>
      </c>
      <c r="L14" s="49" t="s">
        <v>199</v>
      </c>
      <c r="M14" s="49" t="s">
        <v>186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200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201</v>
      </c>
      <c r="J15" s="49" t="s">
        <v>169</v>
      </c>
      <c r="K15" s="49" t="s">
        <v>201</v>
      </c>
      <c r="L15" s="49" t="s">
        <v>169</v>
      </c>
      <c r="M15" s="49" t="s">
        <v>186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202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206</v>
      </c>
      <c r="J16" s="49" t="s">
        <v>206</v>
      </c>
      <c r="K16" s="49" t="s">
        <v>206</v>
      </c>
      <c r="L16" s="49" t="s">
        <v>205</v>
      </c>
      <c r="M16" s="49" t="s">
        <v>186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203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205</v>
      </c>
      <c r="J17" s="49" t="s">
        <v>205</v>
      </c>
      <c r="K17" s="49" t="s">
        <v>206</v>
      </c>
      <c r="L17" s="49" t="s">
        <v>205</v>
      </c>
      <c r="M17" s="49" t="s">
        <v>206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204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205</v>
      </c>
      <c r="J18" s="49" t="s">
        <v>205</v>
      </c>
      <c r="K18" s="49" t="s">
        <v>206</v>
      </c>
      <c r="L18" s="49" t="s">
        <v>205</v>
      </c>
      <c r="M18" s="49" t="s">
        <v>186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210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169</v>
      </c>
      <c r="J19" s="49" t="s">
        <v>169</v>
      </c>
      <c r="K19" s="49" t="s">
        <v>175</v>
      </c>
      <c r="L19" s="49" t="s">
        <v>169</v>
      </c>
      <c r="M19" s="49" t="s">
        <v>175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224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169</v>
      </c>
      <c r="J20" s="49" t="s">
        <v>169</v>
      </c>
      <c r="K20" s="49" t="s">
        <v>175</v>
      </c>
      <c r="L20" s="49" t="s">
        <v>169</v>
      </c>
      <c r="M20" s="49" t="s">
        <v>175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153</v>
      </c>
    </row>
    <row r="21" spans="1:20" x14ac:dyDescent="0.25">
      <c r="A21" s="12">
        <f t="shared" si="1"/>
        <v>19</v>
      </c>
      <c r="B21" s="49" t="s">
        <v>229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247</v>
      </c>
      <c r="J21" s="49" t="s">
        <v>248</v>
      </c>
      <c r="K21" s="49" t="s">
        <v>186</v>
      </c>
      <c r="L21" s="49" t="s">
        <v>248</v>
      </c>
      <c r="M21" s="49" t="s">
        <v>186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230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231</v>
      </c>
      <c r="J22" s="49" t="s">
        <v>231</v>
      </c>
      <c r="K22" s="49" t="s">
        <v>186</v>
      </c>
      <c r="L22" s="49" t="s">
        <v>231</v>
      </c>
      <c r="M22" s="49" t="s">
        <v>232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246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169</v>
      </c>
      <c r="J23" s="49" t="s">
        <v>169</v>
      </c>
      <c r="K23" s="49" t="s">
        <v>192</v>
      </c>
      <c r="L23" s="49" t="s">
        <v>169</v>
      </c>
      <c r="M23" s="49" t="s">
        <v>232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250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169</v>
      </c>
      <c r="J24" s="49" t="s">
        <v>169</v>
      </c>
      <c r="K24" s="49" t="s">
        <v>169</v>
      </c>
      <c r="L24" s="49" t="s">
        <v>169</v>
      </c>
      <c r="M24" s="49" t="s">
        <v>232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251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169</v>
      </c>
      <c r="J25" s="49" t="s">
        <v>169</v>
      </c>
      <c r="K25" s="49" t="s">
        <v>267</v>
      </c>
      <c r="L25" s="49" t="s">
        <v>169</v>
      </c>
      <c r="M25" s="49" t="s">
        <v>186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252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254</v>
      </c>
      <c r="J26" s="49" t="s">
        <v>254</v>
      </c>
      <c r="K26" s="49" t="s">
        <v>254</v>
      </c>
      <c r="L26" s="49" t="s">
        <v>253</v>
      </c>
      <c r="M26" s="49" t="s">
        <v>186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272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169</v>
      </c>
      <c r="J27" s="49" t="s">
        <v>169</v>
      </c>
      <c r="K27" s="49" t="s">
        <v>303</v>
      </c>
      <c r="L27" s="49" t="s">
        <v>169</v>
      </c>
      <c r="M27" s="49" t="s">
        <v>273</v>
      </c>
      <c r="N27" s="164" t="s">
        <v>36</v>
      </c>
      <c r="O27" s="161">
        <v>43251</v>
      </c>
      <c r="P27" s="163"/>
      <c r="Q27" s="151" t="str">
        <f t="shared" si="2"/>
        <v>-100%</v>
      </c>
      <c r="R27" s="151"/>
    </row>
    <row r="28" spans="1:20" x14ac:dyDescent="0.25">
      <c r="A28" s="12">
        <f t="shared" si="1"/>
        <v>26</v>
      </c>
      <c r="B28" s="49" t="s">
        <v>304</v>
      </c>
      <c r="C28" s="52">
        <v>43255</v>
      </c>
      <c r="D28" s="52">
        <v>43259</v>
      </c>
      <c r="E28" s="161">
        <v>43262</v>
      </c>
      <c r="F28" s="49" t="s">
        <v>40</v>
      </c>
      <c r="G28" s="51"/>
      <c r="H28" s="49" t="s">
        <v>46</v>
      </c>
      <c r="I28" s="49" t="s">
        <v>306</v>
      </c>
      <c r="J28" s="49" t="s">
        <v>306</v>
      </c>
      <c r="K28" s="49" t="s">
        <v>306</v>
      </c>
      <c r="L28" s="49" t="s">
        <v>306</v>
      </c>
      <c r="M28" s="49" t="s">
        <v>305</v>
      </c>
      <c r="N28" s="159" t="s">
        <v>36</v>
      </c>
      <c r="O28" s="161">
        <v>43270</v>
      </c>
      <c r="P28" s="50"/>
      <c r="Q28" s="151" t="str">
        <f t="shared" si="2"/>
        <v/>
      </c>
      <c r="R28" s="49"/>
    </row>
    <row r="29" spans="1:20" x14ac:dyDescent="0.25">
      <c r="A29" s="12">
        <f t="shared" si="1"/>
        <v>27</v>
      </c>
      <c r="B29" s="49"/>
      <c r="C29" s="52"/>
      <c r="D29" s="52"/>
      <c r="E29" s="52"/>
      <c r="F29" s="49"/>
      <c r="G29" s="160"/>
      <c r="H29" s="49"/>
      <c r="I29" s="49"/>
      <c r="J29" s="49"/>
      <c r="K29" s="49"/>
      <c r="L29" s="49"/>
      <c r="M29" s="49"/>
      <c r="N29" s="49"/>
      <c r="O29" s="161"/>
      <c r="P29" s="50"/>
      <c r="Q29" s="151" t="str">
        <f t="shared" si="2"/>
        <v/>
      </c>
      <c r="R29" s="49"/>
    </row>
    <row r="30" spans="1:20" x14ac:dyDescent="0.25">
      <c r="A30" s="12">
        <f t="shared" si="1"/>
        <v>28</v>
      </c>
      <c r="B30" s="151"/>
      <c r="C30" s="161"/>
      <c r="D30" s="161"/>
      <c r="E30" s="161"/>
      <c r="F30" s="49"/>
      <c r="G30" s="162"/>
      <c r="H30" s="49"/>
      <c r="I30" s="49"/>
      <c r="J30" s="49"/>
      <c r="K30" s="49"/>
      <c r="L30" s="49"/>
      <c r="M30" s="49"/>
      <c r="N30" s="164"/>
      <c r="O30" s="161"/>
      <c r="P30" s="163"/>
      <c r="Q30" s="151" t="str">
        <f t="shared" si="2"/>
        <v/>
      </c>
      <c r="R30" s="151"/>
    </row>
    <row r="31" spans="1:20" x14ac:dyDescent="0.25">
      <c r="A31" s="12">
        <f t="shared" si="1"/>
        <v>29</v>
      </c>
      <c r="B31" s="49"/>
      <c r="C31" s="161"/>
      <c r="D31" s="161"/>
      <c r="E31" s="161"/>
      <c r="F31" s="49"/>
      <c r="G31" s="51"/>
      <c r="H31" s="49"/>
      <c r="I31" s="49"/>
      <c r="J31" s="49"/>
      <c r="K31" s="49"/>
      <c r="L31" s="49"/>
      <c r="M31" s="49"/>
      <c r="N31" s="159"/>
      <c r="O31" s="161"/>
      <c r="P31" s="50"/>
      <c r="Q31" s="151" t="str">
        <f t="shared" si="2"/>
        <v/>
      </c>
      <c r="R31" s="49"/>
    </row>
    <row r="32" spans="1:20" x14ac:dyDescent="0.25">
      <c r="A32" s="12">
        <f t="shared" si="1"/>
        <v>30</v>
      </c>
      <c r="B32" s="151"/>
      <c r="C32" s="161"/>
      <c r="D32" s="161"/>
      <c r="E32" s="161"/>
      <c r="F32" s="49"/>
      <c r="G32" s="162"/>
      <c r="H32" s="49"/>
      <c r="I32" s="151"/>
      <c r="J32" s="151"/>
      <c r="K32" s="151"/>
      <c r="L32" s="151"/>
      <c r="M32" s="151"/>
      <c r="N32" s="164"/>
      <c r="O32" s="161"/>
      <c r="P32" s="163"/>
      <c r="Q32" s="151" t="str">
        <f t="shared" si="2"/>
        <v/>
      </c>
      <c r="R32" s="151"/>
    </row>
    <row r="33" spans="1:18" x14ac:dyDescent="0.25">
      <c r="A33" s="12">
        <f t="shared" si="1"/>
        <v>31</v>
      </c>
      <c r="B33" s="49"/>
      <c r="C33" s="52"/>
      <c r="D33" s="52"/>
      <c r="E33" s="52"/>
      <c r="F33" s="49"/>
      <c r="G33" s="51"/>
      <c r="H33" s="49"/>
      <c r="I33" s="151"/>
      <c r="J33" s="151"/>
      <c r="K33" s="151"/>
      <c r="L33" s="151"/>
      <c r="M33" s="151"/>
      <c r="N33" s="159"/>
      <c r="O33" s="52"/>
      <c r="P33" s="50"/>
      <c r="Q33" s="151" t="str">
        <f t="shared" si="2"/>
        <v/>
      </c>
      <c r="R33" s="49"/>
    </row>
    <row r="34" spans="1:18" x14ac:dyDescent="0.25">
      <c r="A34" s="12">
        <f t="shared" si="1"/>
        <v>32</v>
      </c>
      <c r="B34" s="49"/>
      <c r="C34" s="52"/>
      <c r="D34" s="52"/>
      <c r="E34" s="52"/>
      <c r="F34" s="49"/>
      <c r="G34" s="51"/>
      <c r="H34" s="49"/>
      <c r="I34" s="151"/>
      <c r="J34" s="151"/>
      <c r="K34" s="151"/>
      <c r="L34" s="151"/>
      <c r="M34" s="151"/>
      <c r="N34" s="49"/>
      <c r="O34" s="52"/>
      <c r="P34" s="50"/>
      <c r="Q34" s="151" t="str">
        <f t="shared" si="2"/>
        <v/>
      </c>
      <c r="R34" s="49"/>
    </row>
    <row r="35" spans="1:18" x14ac:dyDescent="0.25">
      <c r="A35" s="12">
        <f t="shared" si="1"/>
        <v>33</v>
      </c>
      <c r="B35" s="49"/>
      <c r="C35" s="52"/>
      <c r="D35" s="52"/>
      <c r="E35" s="52"/>
      <c r="F35" s="49"/>
      <c r="G35" s="51"/>
      <c r="H35" s="49"/>
      <c r="I35" s="151"/>
      <c r="J35" s="151"/>
      <c r="K35" s="151"/>
      <c r="L35" s="151"/>
      <c r="M35" s="151"/>
      <c r="N35" s="49"/>
      <c r="O35" s="52"/>
      <c r="P35" s="50"/>
      <c r="Q35" s="151" t="str">
        <f t="shared" si="2"/>
        <v/>
      </c>
      <c r="R35" s="49"/>
    </row>
    <row r="36" spans="1:18" x14ac:dyDescent="0.25">
      <c r="A36" s="12">
        <f t="shared" si="1"/>
        <v>34</v>
      </c>
      <c r="B36" s="151"/>
      <c r="C36" s="161"/>
      <c r="D36" s="161"/>
      <c r="E36" s="161"/>
      <c r="F36" s="49"/>
      <c r="G36" s="162"/>
      <c r="H36" s="49"/>
      <c r="I36" s="151"/>
      <c r="J36" s="151"/>
      <c r="K36" s="151"/>
      <c r="L36" s="151"/>
      <c r="M36" s="151"/>
      <c r="N36" s="151"/>
      <c r="O36" s="161"/>
      <c r="P36" s="163"/>
      <c r="Q36" s="151" t="str">
        <f t="shared" si="2"/>
        <v/>
      </c>
      <c r="R36" s="151"/>
    </row>
    <row r="37" spans="1:18" x14ac:dyDescent="0.25">
      <c r="A37" s="12">
        <f t="shared" si="1"/>
        <v>35</v>
      </c>
      <c r="B37" s="49"/>
      <c r="C37" s="161"/>
      <c r="D37" s="161"/>
      <c r="E37" s="161"/>
      <c r="F37" s="49"/>
      <c r="G37" s="51"/>
      <c r="H37" s="49"/>
      <c r="I37" s="151"/>
      <c r="J37" s="151"/>
      <c r="K37" s="151"/>
      <c r="L37" s="151"/>
      <c r="M37" s="151"/>
      <c r="N37" s="49"/>
      <c r="O37" s="161"/>
      <c r="P37" s="50"/>
      <c r="Q37" s="151" t="str">
        <f t="shared" si="2"/>
        <v/>
      </c>
      <c r="R37" s="49"/>
    </row>
    <row r="38" spans="1:18" x14ac:dyDescent="0.25">
      <c r="A38" s="12">
        <f t="shared" si="1"/>
        <v>36</v>
      </c>
      <c r="B38" s="151"/>
      <c r="C38" s="161"/>
      <c r="D38" s="161"/>
      <c r="E38" s="161"/>
      <c r="F38" s="49"/>
      <c r="G38" s="162"/>
      <c r="H38" s="49"/>
      <c r="I38" s="151"/>
      <c r="J38" s="151"/>
      <c r="K38" s="151"/>
      <c r="L38" s="151"/>
      <c r="M38" s="151"/>
      <c r="N38" s="164"/>
      <c r="O38" s="161"/>
      <c r="P38" s="163"/>
      <c r="Q38" s="151" t="str">
        <f t="shared" si="2"/>
        <v/>
      </c>
      <c r="R38" s="151"/>
    </row>
    <row r="39" spans="1:18" x14ac:dyDescent="0.25">
      <c r="A39" s="12">
        <f t="shared" si="1"/>
        <v>37</v>
      </c>
      <c r="B39" s="49"/>
      <c r="C39" s="52"/>
      <c r="D39" s="52"/>
      <c r="E39" s="52"/>
      <c r="F39" s="49"/>
      <c r="G39" s="51"/>
      <c r="H39" s="49"/>
      <c r="I39" s="49"/>
      <c r="J39" s="151"/>
      <c r="K39" s="151"/>
      <c r="L39" s="151"/>
      <c r="M39" s="49"/>
      <c r="N39" s="49"/>
      <c r="O39" s="52"/>
      <c r="P39" s="50"/>
      <c r="Q39" s="151" t="str">
        <f t="shared" si="2"/>
        <v/>
      </c>
      <c r="R39" s="49"/>
    </row>
    <row r="40" spans="1:18" x14ac:dyDescent="0.25">
      <c r="A40" s="12">
        <f t="shared" si="1"/>
        <v>38</v>
      </c>
      <c r="B40" s="49"/>
      <c r="C40" s="52"/>
      <c r="D40" s="52"/>
      <c r="E40" s="52"/>
      <c r="F40" s="49"/>
      <c r="G40" s="51"/>
      <c r="H40" s="49"/>
      <c r="I40" s="49"/>
      <c r="J40" s="151"/>
      <c r="K40" s="151"/>
      <c r="L40" s="151"/>
      <c r="M40" s="49"/>
      <c r="N40" s="49"/>
      <c r="O40" s="52"/>
      <c r="P40" s="50"/>
      <c r="Q40" s="151" t="str">
        <f t="shared" si="2"/>
        <v/>
      </c>
      <c r="R40" s="49"/>
    </row>
    <row r="41" spans="1:18" x14ac:dyDescent="0.25">
      <c r="A41" s="12">
        <f t="shared" si="1"/>
        <v>39</v>
      </c>
      <c r="B41" s="49"/>
      <c r="C41" s="52"/>
      <c r="D41" s="52"/>
      <c r="E41" s="52"/>
      <c r="F41" s="49"/>
      <c r="G41" s="51"/>
      <c r="H41" s="49"/>
      <c r="I41" s="49"/>
      <c r="J41" s="151"/>
      <c r="K41" s="49"/>
      <c r="L41" s="151"/>
      <c r="M41" s="49"/>
      <c r="N41" s="49"/>
      <c r="O41" s="52"/>
      <c r="P41" s="50"/>
      <c r="Q41" s="151" t="str">
        <f t="shared" si="2"/>
        <v/>
      </c>
      <c r="R41" s="49"/>
    </row>
    <row r="42" spans="1:18" x14ac:dyDescent="0.25">
      <c r="A42" s="12">
        <f t="shared" si="1"/>
        <v>40</v>
      </c>
      <c r="B42" s="151"/>
      <c r="C42" s="52"/>
      <c r="D42" s="52"/>
      <c r="E42" s="52"/>
      <c r="F42" s="49"/>
      <c r="G42" s="162"/>
      <c r="H42" s="49"/>
      <c r="I42" s="49"/>
      <c r="J42" s="151"/>
      <c r="K42" s="49"/>
      <c r="L42" s="151"/>
      <c r="M42" s="49"/>
      <c r="N42" s="151"/>
      <c r="O42" s="52"/>
      <c r="P42" s="163"/>
      <c r="Q42" s="151" t="str">
        <f t="shared" si="2"/>
        <v/>
      </c>
      <c r="R42" s="151"/>
    </row>
    <row r="43" spans="1:18" x14ac:dyDescent="0.25">
      <c r="A43" s="12">
        <f t="shared" si="1"/>
        <v>41</v>
      </c>
      <c r="B43" s="49"/>
      <c r="C43" s="52"/>
      <c r="D43" s="52"/>
      <c r="E43" s="52"/>
      <c r="F43" s="49"/>
      <c r="G43" s="51"/>
      <c r="H43" s="49"/>
      <c r="I43" s="49"/>
      <c r="J43" s="49"/>
      <c r="K43" s="49"/>
      <c r="L43" s="49"/>
      <c r="M43" s="49"/>
      <c r="N43" s="159"/>
      <c r="O43" s="52"/>
      <c r="P43" s="50"/>
      <c r="Q43" s="151" t="str">
        <f t="shared" si="2"/>
        <v/>
      </c>
      <c r="R43" s="49"/>
    </row>
    <row r="44" spans="1:18" x14ac:dyDescent="0.25">
      <c r="A44" s="12">
        <f t="shared" si="1"/>
        <v>42</v>
      </c>
      <c r="B44" s="151"/>
      <c r="C44" s="161"/>
      <c r="D44" s="161"/>
      <c r="E44" s="161"/>
      <c r="F44" s="49"/>
      <c r="G44" s="162"/>
      <c r="H44" s="49"/>
      <c r="I44" s="49"/>
      <c r="J44" s="49"/>
      <c r="K44" s="49"/>
      <c r="L44" s="49"/>
      <c r="M44" s="49"/>
      <c r="N44" s="151"/>
      <c r="O44" s="161"/>
      <c r="P44" s="163"/>
      <c r="Q44" s="151" t="str">
        <f t="shared" si="2"/>
        <v/>
      </c>
      <c r="R44" s="151"/>
    </row>
    <row r="45" spans="1:18" x14ac:dyDescent="0.25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1" t="str">
        <f t="shared" si="2"/>
        <v/>
      </c>
      <c r="R45" s="49"/>
    </row>
    <row r="46" spans="1:18" x14ac:dyDescent="0.25">
      <c r="A46" s="12">
        <f t="shared" si="1"/>
        <v>44</v>
      </c>
      <c r="B46" s="151"/>
      <c r="C46" s="161"/>
      <c r="D46" s="161"/>
      <c r="E46" s="161"/>
      <c r="F46" s="49"/>
      <c r="G46" s="162"/>
      <c r="H46" s="49"/>
      <c r="I46" s="151"/>
      <c r="J46" s="49"/>
      <c r="K46" s="49"/>
      <c r="L46" s="49"/>
      <c r="M46" s="49"/>
      <c r="N46" s="151"/>
      <c r="O46" s="161"/>
      <c r="P46" s="163"/>
      <c r="Q46" s="151" t="str">
        <f t="shared" si="2"/>
        <v/>
      </c>
      <c r="R46" s="151"/>
    </row>
    <row r="47" spans="1:18" x14ac:dyDescent="0.25">
      <c r="A47" s="12">
        <f t="shared" si="1"/>
        <v>45</v>
      </c>
      <c r="B47" s="49"/>
      <c r="C47" s="52"/>
      <c r="D47" s="161"/>
      <c r="E47" s="161"/>
      <c r="F47" s="49"/>
      <c r="G47" s="51"/>
      <c r="H47" s="49"/>
      <c r="I47" s="49"/>
      <c r="J47" s="49"/>
      <c r="K47" s="49"/>
      <c r="L47" s="49"/>
      <c r="M47" s="49"/>
      <c r="N47" s="159"/>
      <c r="O47" s="161"/>
      <c r="P47" s="50"/>
      <c r="Q47" s="151" t="str">
        <f t="shared" si="2"/>
        <v/>
      </c>
      <c r="R47" s="49"/>
    </row>
    <row r="48" spans="1:18" x14ac:dyDescent="0.25">
      <c r="A48" s="12">
        <f t="shared" si="1"/>
        <v>46</v>
      </c>
      <c r="B48" s="151"/>
      <c r="C48" s="52"/>
      <c r="D48" s="161"/>
      <c r="E48" s="161"/>
      <c r="F48" s="49"/>
      <c r="G48" s="162"/>
      <c r="H48" s="49"/>
      <c r="I48" s="49"/>
      <c r="J48" s="49"/>
      <c r="K48" s="49"/>
      <c r="L48" s="49"/>
      <c r="M48" s="49"/>
      <c r="N48" s="151"/>
      <c r="O48" s="161"/>
      <c r="P48" s="163"/>
      <c r="Q48" s="151" t="str">
        <f t="shared" si="2"/>
        <v/>
      </c>
      <c r="R48" s="151"/>
    </row>
    <row r="49" spans="1:18" x14ac:dyDescent="0.25">
      <c r="A49" s="12">
        <f t="shared" si="1"/>
        <v>47</v>
      </c>
      <c r="B49" s="151"/>
      <c r="C49" s="161"/>
      <c r="D49" s="161"/>
      <c r="E49" s="161"/>
      <c r="F49" s="49"/>
      <c r="G49" s="162"/>
      <c r="H49" s="49"/>
      <c r="I49" s="49"/>
      <c r="J49" s="49"/>
      <c r="K49" s="49"/>
      <c r="L49" s="49"/>
      <c r="M49" s="49"/>
      <c r="N49" s="164"/>
      <c r="O49" s="161"/>
      <c r="P49" s="163"/>
      <c r="Q49" s="151" t="str">
        <f t="shared" si="2"/>
        <v/>
      </c>
      <c r="R49" s="151"/>
    </row>
    <row r="50" spans="1:18" x14ac:dyDescent="0.25">
      <c r="A50" s="12">
        <f t="shared" si="1"/>
        <v>48</v>
      </c>
      <c r="B50" s="151"/>
      <c r="C50" s="161"/>
      <c r="D50" s="161"/>
      <c r="E50" s="161"/>
      <c r="F50" s="49"/>
      <c r="G50" s="162"/>
      <c r="H50" s="49"/>
      <c r="I50" s="151"/>
      <c r="J50" s="151"/>
      <c r="K50" s="49"/>
      <c r="L50" s="151"/>
      <c r="M50" s="49"/>
      <c r="N50" s="164"/>
      <c r="O50" s="161"/>
      <c r="P50" s="163"/>
      <c r="Q50" s="151" t="str">
        <f t="shared" si="2"/>
        <v/>
      </c>
      <c r="R50" s="151"/>
    </row>
    <row r="51" spans="1:18" x14ac:dyDescent="0.25">
      <c r="A51" s="12">
        <f t="shared" si="1"/>
        <v>49</v>
      </c>
      <c r="B51" s="151"/>
      <c r="C51" s="161"/>
      <c r="D51" s="161"/>
      <c r="E51" s="161"/>
      <c r="F51" s="49"/>
      <c r="G51" s="162"/>
      <c r="H51" s="49"/>
      <c r="I51" s="151"/>
      <c r="J51" s="151"/>
      <c r="K51" s="151"/>
      <c r="L51" s="151"/>
      <c r="M51" s="49"/>
      <c r="N51" s="151"/>
      <c r="O51" s="161"/>
      <c r="P51" s="163"/>
      <c r="Q51" s="151" t="str">
        <f t="shared" si="2"/>
        <v/>
      </c>
      <c r="R51" s="151"/>
    </row>
    <row r="52" spans="1:18" x14ac:dyDescent="0.25">
      <c r="A52" s="12">
        <f t="shared" si="1"/>
        <v>50</v>
      </c>
      <c r="B52" s="151"/>
      <c r="C52" s="161"/>
      <c r="D52" s="161"/>
      <c r="E52" s="161"/>
      <c r="F52" s="49"/>
      <c r="G52" s="165"/>
      <c r="H52" s="49"/>
      <c r="I52" s="151"/>
      <c r="J52" s="151"/>
      <c r="K52" s="151"/>
      <c r="L52" s="151"/>
      <c r="M52" s="151"/>
      <c r="N52" s="151"/>
      <c r="O52" s="161"/>
      <c r="P52" s="163"/>
      <c r="Q52" s="151" t="str">
        <f t="shared" si="2"/>
        <v/>
      </c>
      <c r="R52" s="49"/>
    </row>
    <row r="53" spans="1:18" x14ac:dyDescent="0.25">
      <c r="A53" s="12">
        <f t="shared" si="1"/>
        <v>51</v>
      </c>
      <c r="B53" s="151"/>
      <c r="C53" s="161"/>
      <c r="D53" s="161"/>
      <c r="E53" s="161"/>
      <c r="F53" s="49"/>
      <c r="G53" s="162"/>
      <c r="H53" s="49"/>
      <c r="I53" s="151"/>
      <c r="J53" s="151"/>
      <c r="K53" s="151"/>
      <c r="L53" s="151"/>
      <c r="M53" s="151"/>
      <c r="N53" s="164"/>
      <c r="O53" s="161"/>
      <c r="P53" s="163"/>
      <c r="Q53" s="151" t="str">
        <f t="shared" si="2"/>
        <v/>
      </c>
      <c r="R53" s="166"/>
    </row>
    <row r="54" spans="1:18" x14ac:dyDescent="0.25">
      <c r="A54" s="12">
        <f t="shared" si="1"/>
        <v>52</v>
      </c>
      <c r="B54" s="151"/>
      <c r="C54" s="161"/>
      <c r="D54" s="161"/>
      <c r="E54" s="161"/>
      <c r="F54" s="49"/>
      <c r="G54" s="162"/>
      <c r="H54" s="49"/>
      <c r="I54" s="49"/>
      <c r="J54" s="49"/>
      <c r="K54" s="49"/>
      <c r="L54" s="49"/>
      <c r="M54" s="151"/>
      <c r="N54" s="151"/>
      <c r="O54" s="161"/>
      <c r="P54" s="163"/>
      <c r="Q54" s="151" t="str">
        <f t="shared" si="2"/>
        <v/>
      </c>
      <c r="R54" s="151"/>
    </row>
    <row r="55" spans="1:18" x14ac:dyDescent="0.25">
      <c r="A55" s="12">
        <f t="shared" si="1"/>
        <v>53</v>
      </c>
      <c r="B55" s="151"/>
      <c r="C55" s="161"/>
      <c r="D55" s="161"/>
      <c r="E55" s="161"/>
      <c r="F55" s="49"/>
      <c r="G55" s="162"/>
      <c r="H55" s="49"/>
      <c r="I55" s="151"/>
      <c r="J55" s="151"/>
      <c r="K55" s="49"/>
      <c r="L55" s="151"/>
      <c r="M55" s="151"/>
      <c r="N55" s="164"/>
      <c r="O55" s="161"/>
      <c r="P55" s="163"/>
      <c r="Q55" s="151" t="str">
        <f t="shared" si="2"/>
        <v/>
      </c>
      <c r="R55" s="151"/>
    </row>
    <row r="56" spans="1:18" x14ac:dyDescent="0.25">
      <c r="A56" s="12">
        <f t="shared" si="1"/>
        <v>54</v>
      </c>
      <c r="B56" s="151"/>
      <c r="C56" s="161"/>
      <c r="D56" s="161"/>
      <c r="E56" s="161"/>
      <c r="F56" s="49"/>
      <c r="G56" s="162"/>
      <c r="H56" s="49"/>
      <c r="I56" s="151"/>
      <c r="J56" s="151"/>
      <c r="K56" s="49"/>
      <c r="L56" s="151"/>
      <c r="M56" s="151"/>
      <c r="N56" s="151"/>
      <c r="O56" s="161"/>
      <c r="P56" s="163"/>
      <c r="Q56" s="151" t="str">
        <f t="shared" si="2"/>
        <v/>
      </c>
      <c r="R56" s="151"/>
    </row>
    <row r="57" spans="1:18" x14ac:dyDescent="0.25">
      <c r="A57" s="12">
        <f t="shared" si="1"/>
        <v>55</v>
      </c>
      <c r="B57" s="151"/>
      <c r="C57" s="161"/>
      <c r="D57" s="161"/>
      <c r="E57" s="161"/>
      <c r="F57" s="49"/>
      <c r="G57" s="162"/>
      <c r="H57" s="49"/>
      <c r="I57" s="151"/>
      <c r="J57" s="151"/>
      <c r="K57" s="49"/>
      <c r="L57" s="151"/>
      <c r="M57" s="151"/>
      <c r="N57" s="151"/>
      <c r="O57" s="161"/>
      <c r="P57" s="163"/>
      <c r="Q57" s="151" t="str">
        <f t="shared" si="2"/>
        <v/>
      </c>
      <c r="R57" s="151"/>
    </row>
    <row r="58" spans="1:18" x14ac:dyDescent="0.25">
      <c r="A58" s="12">
        <f t="shared" si="1"/>
        <v>56</v>
      </c>
      <c r="B58" s="151"/>
      <c r="C58" s="161"/>
      <c r="D58" s="161"/>
      <c r="E58" s="161"/>
      <c r="F58" s="49"/>
      <c r="G58" s="162"/>
      <c r="H58" s="49"/>
      <c r="I58" s="151"/>
      <c r="J58" s="151"/>
      <c r="K58" s="151"/>
      <c r="L58" s="151"/>
      <c r="M58" s="49"/>
      <c r="N58" s="151"/>
      <c r="O58" s="161"/>
      <c r="P58" s="163"/>
      <c r="Q58" s="151" t="str">
        <f t="shared" si="2"/>
        <v/>
      </c>
      <c r="R58" s="151"/>
    </row>
    <row r="59" spans="1:18" x14ac:dyDescent="0.25">
      <c r="A59" s="12">
        <f t="shared" si="1"/>
        <v>57</v>
      </c>
      <c r="B59" s="151"/>
      <c r="C59" s="161"/>
      <c r="D59" s="161"/>
      <c r="E59" s="161"/>
      <c r="F59" s="49"/>
      <c r="G59" s="162"/>
      <c r="H59" s="49"/>
      <c r="I59" s="151"/>
      <c r="J59" s="151"/>
      <c r="K59" s="49"/>
      <c r="L59" s="151"/>
      <c r="M59" s="49"/>
      <c r="N59" s="151"/>
      <c r="O59" s="161"/>
      <c r="P59" s="163"/>
      <c r="Q59" s="151" t="str">
        <f t="shared" si="2"/>
        <v/>
      </c>
      <c r="R59" s="151"/>
    </row>
    <row r="60" spans="1:18" x14ac:dyDescent="0.25">
      <c r="A60" s="12">
        <f t="shared" si="1"/>
        <v>58</v>
      </c>
      <c r="B60" s="151"/>
      <c r="C60" s="161"/>
      <c r="D60" s="161"/>
      <c r="E60" s="161"/>
      <c r="F60" s="49"/>
      <c r="G60" s="162"/>
      <c r="H60" s="49"/>
      <c r="I60" s="151"/>
      <c r="J60" s="151"/>
      <c r="K60" s="151"/>
      <c r="L60" s="151"/>
      <c r="M60" s="49"/>
      <c r="N60" s="151"/>
      <c r="O60" s="161"/>
      <c r="P60" s="163"/>
      <c r="Q60" s="151" t="str">
        <f t="shared" si="2"/>
        <v/>
      </c>
      <c r="R60" s="151"/>
    </row>
    <row r="61" spans="1:18" x14ac:dyDescent="0.25">
      <c r="A61" s="12">
        <f t="shared" si="1"/>
        <v>59</v>
      </c>
      <c r="B61" s="151"/>
      <c r="C61" s="151"/>
      <c r="D61" s="151"/>
      <c r="E61" s="151"/>
      <c r="F61" s="49"/>
      <c r="G61" s="162"/>
      <c r="H61" s="49"/>
      <c r="I61" s="151"/>
      <c r="J61" s="151"/>
      <c r="K61" s="151"/>
      <c r="L61" s="151"/>
      <c r="M61" s="151"/>
      <c r="N61" s="164"/>
      <c r="O61" s="161"/>
      <c r="P61" s="163"/>
      <c r="Q61" s="151" t="str">
        <f t="shared" si="2"/>
        <v/>
      </c>
      <c r="R61" s="151"/>
    </row>
    <row r="62" spans="1:18" x14ac:dyDescent="0.25">
      <c r="A62" s="12">
        <f t="shared" si="1"/>
        <v>60</v>
      </c>
      <c r="B62" s="151"/>
      <c r="C62" s="161"/>
      <c r="D62" s="161"/>
      <c r="E62" s="161"/>
      <c r="F62" s="49"/>
      <c r="G62" s="162"/>
      <c r="H62" s="49"/>
      <c r="I62" s="151"/>
      <c r="J62" s="151"/>
      <c r="K62" s="151"/>
      <c r="L62" s="151"/>
      <c r="M62" s="151"/>
      <c r="N62" s="151"/>
      <c r="O62" s="161"/>
      <c r="P62" s="163"/>
      <c r="Q62" s="151" t="str">
        <f t="shared" si="2"/>
        <v/>
      </c>
      <c r="R62" s="151"/>
    </row>
    <row r="63" spans="1:18" x14ac:dyDescent="0.25">
      <c r="A63" s="12">
        <f t="shared" si="1"/>
        <v>61</v>
      </c>
      <c r="B63" s="151"/>
      <c r="C63" s="161"/>
      <c r="D63" s="161"/>
      <c r="E63" s="161"/>
      <c r="F63" s="49"/>
      <c r="G63" s="162"/>
      <c r="H63" s="49"/>
      <c r="I63" s="151"/>
      <c r="J63" s="151"/>
      <c r="K63" s="151"/>
      <c r="L63" s="151"/>
      <c r="M63" s="151"/>
      <c r="N63" s="151"/>
      <c r="O63" s="161"/>
      <c r="P63" s="163"/>
      <c r="Q63" s="151" t="str">
        <f t="shared" si="2"/>
        <v/>
      </c>
      <c r="R63" s="151"/>
    </row>
    <row r="64" spans="1:18" x14ac:dyDescent="0.25">
      <c r="A64" s="12">
        <f t="shared" si="1"/>
        <v>62</v>
      </c>
      <c r="B64" s="151"/>
      <c r="C64" s="161"/>
      <c r="D64" s="161"/>
      <c r="E64" s="161"/>
      <c r="F64" s="49"/>
      <c r="G64" s="162"/>
      <c r="H64" s="49"/>
      <c r="I64" s="151"/>
      <c r="J64" s="151"/>
      <c r="K64" s="151"/>
      <c r="L64" s="151"/>
      <c r="M64" s="151"/>
      <c r="N64" s="151"/>
      <c r="O64" s="161"/>
      <c r="P64" s="163"/>
      <c r="Q64" s="151" t="str">
        <f t="shared" si="2"/>
        <v/>
      </c>
      <c r="R64" s="151"/>
    </row>
    <row r="65" spans="1:18" x14ac:dyDescent="0.25">
      <c r="A65" s="12">
        <f t="shared" si="1"/>
        <v>63</v>
      </c>
      <c r="B65" s="151"/>
      <c r="C65" s="161"/>
      <c r="D65" s="161"/>
      <c r="E65" s="161"/>
      <c r="F65" s="49"/>
      <c r="G65" s="162"/>
      <c r="H65" s="49"/>
      <c r="I65" s="151"/>
      <c r="J65" s="151"/>
      <c r="K65" s="151"/>
      <c r="L65" s="151"/>
      <c r="M65" s="151"/>
      <c r="N65" s="164"/>
      <c r="O65" s="161"/>
      <c r="P65" s="163"/>
      <c r="Q65" s="151" t="str">
        <f t="shared" si="2"/>
        <v/>
      </c>
      <c r="R65" s="151"/>
    </row>
    <row r="66" spans="1:18" x14ac:dyDescent="0.25">
      <c r="A66" s="12">
        <f t="shared" si="1"/>
        <v>64</v>
      </c>
      <c r="B66" s="151"/>
      <c r="C66" s="161"/>
      <c r="D66" s="161"/>
      <c r="E66" s="161"/>
      <c r="F66" s="49"/>
      <c r="G66" s="162"/>
      <c r="H66" s="49"/>
      <c r="I66" s="151"/>
      <c r="J66" s="151"/>
      <c r="K66" s="151"/>
      <c r="L66" s="151"/>
      <c r="M66" s="151"/>
      <c r="N66" s="164"/>
      <c r="O66" s="161"/>
      <c r="P66" s="163"/>
      <c r="Q66" s="151" t="str">
        <f t="shared" si="2"/>
        <v/>
      </c>
      <c r="R66" s="151"/>
    </row>
    <row r="67" spans="1:18" x14ac:dyDescent="0.25">
      <c r="A67" s="12">
        <f t="shared" si="1"/>
        <v>65</v>
      </c>
      <c r="B67" s="151"/>
      <c r="C67" s="161"/>
      <c r="D67" s="161"/>
      <c r="E67" s="161"/>
      <c r="F67" s="49"/>
      <c r="G67" s="162"/>
      <c r="H67" s="49"/>
      <c r="I67" s="151"/>
      <c r="J67" s="151"/>
      <c r="K67" s="151"/>
      <c r="L67" s="151"/>
      <c r="M67" s="151"/>
      <c r="N67" s="151"/>
      <c r="O67" s="161"/>
      <c r="P67" s="163"/>
      <c r="Q67" s="151" t="str">
        <f t="shared" si="2"/>
        <v/>
      </c>
      <c r="R67" s="151"/>
    </row>
    <row r="68" spans="1:18" x14ac:dyDescent="0.25">
      <c r="A68" s="12">
        <f t="shared" ref="A68:A105" si="3">ROW()-2</f>
        <v>66</v>
      </c>
      <c r="B68" s="151"/>
      <c r="C68" s="161"/>
      <c r="D68" s="161"/>
      <c r="E68" s="161"/>
      <c r="F68" s="49"/>
      <c r="G68" s="162"/>
      <c r="H68" s="49"/>
      <c r="I68" s="151"/>
      <c r="J68" s="151"/>
      <c r="K68" s="151"/>
      <c r="L68" s="151"/>
      <c r="M68" s="151"/>
      <c r="N68" s="151"/>
      <c r="O68" s="161"/>
      <c r="P68" s="163"/>
      <c r="Q68" s="151" t="str">
        <f t="shared" ref="Q68:Q105" si="4">IF(ISERROR(CONCATENATE(ROUND((IF(ISBLANK(P68),0,P68)-IF(ISBLANK(G68),0,G68))/IF(ISBLANK(G68),0,G68),4)*100,"%")),"",CONCATENATE(ROUND((IF(ISBLANK(P68),0,P68)-IF(ISBLANK(G68),0,G68))/IF(ISBLANK(G68),0,G68),4)*100,"%"))</f>
        <v/>
      </c>
      <c r="R68" s="151"/>
    </row>
    <row r="69" spans="1:18" x14ac:dyDescent="0.25">
      <c r="A69" s="12">
        <f t="shared" si="3"/>
        <v>67</v>
      </c>
      <c r="B69" s="151"/>
      <c r="C69" s="161"/>
      <c r="D69" s="161"/>
      <c r="E69" s="161"/>
      <c r="F69" s="49"/>
      <c r="G69" s="162"/>
      <c r="H69" s="49"/>
      <c r="I69" s="151"/>
      <c r="J69" s="151"/>
      <c r="K69" s="151"/>
      <c r="L69" s="151"/>
      <c r="M69" s="151"/>
      <c r="N69" s="164"/>
      <c r="O69" s="161"/>
      <c r="P69" s="163"/>
      <c r="Q69" s="151" t="str">
        <f t="shared" si="4"/>
        <v/>
      </c>
      <c r="R69" s="151"/>
    </row>
    <row r="70" spans="1:18" x14ac:dyDescent="0.25">
      <c r="A70" s="12">
        <f t="shared" si="3"/>
        <v>68</v>
      </c>
      <c r="B70" s="151"/>
      <c r="C70" s="161"/>
      <c r="D70" s="161"/>
      <c r="E70" s="161"/>
      <c r="F70" s="49"/>
      <c r="G70" s="162"/>
      <c r="H70" s="49"/>
      <c r="I70" s="151"/>
      <c r="J70" s="151"/>
      <c r="K70" s="151"/>
      <c r="L70" s="151"/>
      <c r="M70" s="151"/>
      <c r="N70" s="164"/>
      <c r="O70" s="161"/>
      <c r="P70" s="163"/>
      <c r="Q70" s="151" t="str">
        <f t="shared" si="4"/>
        <v/>
      </c>
      <c r="R70" s="151"/>
    </row>
    <row r="71" spans="1:18" x14ac:dyDescent="0.25">
      <c r="A71" s="12">
        <f t="shared" si="3"/>
        <v>69</v>
      </c>
      <c r="B71" s="151"/>
      <c r="C71" s="161"/>
      <c r="D71" s="161"/>
      <c r="E71" s="161"/>
      <c r="F71" s="49"/>
      <c r="G71" s="162"/>
      <c r="H71" s="49"/>
      <c r="I71" s="151"/>
      <c r="J71" s="151"/>
      <c r="K71" s="164"/>
      <c r="L71" s="151"/>
      <c r="M71" s="151"/>
      <c r="N71" s="164"/>
      <c r="O71" s="161"/>
      <c r="P71" s="163"/>
      <c r="Q71" s="151" t="str">
        <f t="shared" si="4"/>
        <v/>
      </c>
      <c r="R71" s="151"/>
    </row>
    <row r="72" spans="1:18" x14ac:dyDescent="0.25">
      <c r="A72" s="12">
        <f t="shared" si="3"/>
        <v>70</v>
      </c>
      <c r="B72" s="151"/>
      <c r="C72" s="161"/>
      <c r="D72" s="161"/>
      <c r="E72" s="161"/>
      <c r="F72" s="49"/>
      <c r="G72" s="162"/>
      <c r="H72" s="49"/>
      <c r="I72" s="151"/>
      <c r="J72" s="151"/>
      <c r="K72" s="151"/>
      <c r="L72" s="151"/>
      <c r="M72" s="151"/>
      <c r="N72" s="164"/>
      <c r="O72" s="161"/>
      <c r="P72" s="163"/>
      <c r="Q72" s="151" t="str">
        <f t="shared" si="4"/>
        <v/>
      </c>
      <c r="R72" s="151"/>
    </row>
    <row r="73" spans="1:18" x14ac:dyDescent="0.25">
      <c r="A73" s="12">
        <f t="shared" si="3"/>
        <v>71</v>
      </c>
      <c r="B73" s="151"/>
      <c r="C73" s="161"/>
      <c r="D73" s="161"/>
      <c r="E73" s="161"/>
      <c r="F73" s="49"/>
      <c r="G73" s="162"/>
      <c r="H73" s="49"/>
      <c r="I73" s="151"/>
      <c r="J73" s="151"/>
      <c r="K73" s="151"/>
      <c r="L73" s="151"/>
      <c r="M73" s="151"/>
      <c r="N73" s="151"/>
      <c r="O73" s="161"/>
      <c r="P73" s="163"/>
      <c r="Q73" s="151" t="str">
        <f t="shared" si="4"/>
        <v/>
      </c>
      <c r="R73" s="151"/>
    </row>
    <row r="74" spans="1:18" x14ac:dyDescent="0.25">
      <c r="A74" s="12">
        <f t="shared" si="3"/>
        <v>72</v>
      </c>
      <c r="B74" s="151"/>
      <c r="C74" s="161"/>
      <c r="D74" s="161"/>
      <c r="E74" s="161"/>
      <c r="F74" s="49"/>
      <c r="G74" s="162"/>
      <c r="H74" s="49"/>
      <c r="I74" s="151"/>
      <c r="J74" s="151"/>
      <c r="K74" s="151"/>
      <c r="L74" s="151"/>
      <c r="M74" s="151"/>
      <c r="N74" s="151"/>
      <c r="O74" s="161"/>
      <c r="P74" s="163"/>
      <c r="Q74" s="151" t="str">
        <f t="shared" si="4"/>
        <v/>
      </c>
      <c r="R74" s="151"/>
    </row>
    <row r="75" spans="1:18" x14ac:dyDescent="0.25">
      <c r="A75" s="12">
        <f t="shared" si="3"/>
        <v>73</v>
      </c>
      <c r="B75" s="151"/>
      <c r="C75" s="161"/>
      <c r="D75" s="161"/>
      <c r="E75" s="161"/>
      <c r="F75" s="49"/>
      <c r="G75" s="165"/>
      <c r="H75" s="49"/>
      <c r="I75" s="151"/>
      <c r="J75" s="151"/>
      <c r="K75" s="151"/>
      <c r="L75" s="151"/>
      <c r="M75" s="151"/>
      <c r="N75" s="151"/>
      <c r="O75" s="161"/>
      <c r="P75" s="163"/>
      <c r="Q75" s="151" t="str">
        <f t="shared" si="4"/>
        <v/>
      </c>
      <c r="R75" s="151"/>
    </row>
    <row r="76" spans="1:18" x14ac:dyDescent="0.25">
      <c r="A76" s="12">
        <f t="shared" si="3"/>
        <v>74</v>
      </c>
      <c r="B76" s="151"/>
      <c r="C76" s="161"/>
      <c r="D76" s="161"/>
      <c r="E76" s="161"/>
      <c r="F76" s="49"/>
      <c r="G76" s="162"/>
      <c r="H76" s="49"/>
      <c r="I76" s="151"/>
      <c r="J76" s="151"/>
      <c r="K76" s="151"/>
      <c r="L76" s="151"/>
      <c r="M76" s="151"/>
      <c r="N76" s="164"/>
      <c r="O76" s="161"/>
      <c r="P76" s="163"/>
      <c r="Q76" s="151" t="str">
        <f t="shared" si="4"/>
        <v/>
      </c>
      <c r="R76" s="151"/>
    </row>
    <row r="77" spans="1:18" x14ac:dyDescent="0.25">
      <c r="A77" s="12">
        <f t="shared" si="3"/>
        <v>75</v>
      </c>
      <c r="B77" s="151"/>
      <c r="C77" s="161"/>
      <c r="D77" s="161"/>
      <c r="E77" s="161"/>
      <c r="F77" s="49"/>
      <c r="G77" s="162"/>
      <c r="H77" s="49"/>
      <c r="I77" s="151"/>
      <c r="J77" s="151"/>
      <c r="K77" s="151"/>
      <c r="L77" s="151"/>
      <c r="M77" s="151"/>
      <c r="N77" s="164"/>
      <c r="O77" s="161"/>
      <c r="P77" s="163"/>
      <c r="Q77" s="151" t="str">
        <f t="shared" si="4"/>
        <v/>
      </c>
      <c r="R77" s="151"/>
    </row>
    <row r="78" spans="1:18" x14ac:dyDescent="0.25">
      <c r="A78" s="12">
        <f t="shared" si="3"/>
        <v>76</v>
      </c>
      <c r="B78" s="151"/>
      <c r="C78" s="161"/>
      <c r="D78" s="161"/>
      <c r="E78" s="161"/>
      <c r="F78" s="49"/>
      <c r="G78" s="162"/>
      <c r="H78" s="49"/>
      <c r="I78" s="151"/>
      <c r="J78" s="151"/>
      <c r="K78" s="151"/>
      <c r="L78" s="151"/>
      <c r="M78" s="151"/>
      <c r="N78" s="151"/>
      <c r="O78" s="161"/>
      <c r="P78" s="163"/>
      <c r="Q78" s="151" t="str">
        <f t="shared" si="4"/>
        <v/>
      </c>
      <c r="R78" s="151"/>
    </row>
    <row r="79" spans="1:18" x14ac:dyDescent="0.25">
      <c r="A79" s="12">
        <f t="shared" si="3"/>
        <v>77</v>
      </c>
      <c r="B79" s="151"/>
      <c r="C79" s="161"/>
      <c r="D79" s="161"/>
      <c r="E79" s="161"/>
      <c r="F79" s="49"/>
      <c r="G79" s="162"/>
      <c r="H79" s="49"/>
      <c r="I79" s="151"/>
      <c r="J79" s="151"/>
      <c r="K79" s="151"/>
      <c r="L79" s="151"/>
      <c r="M79" s="151"/>
      <c r="N79" s="151"/>
      <c r="O79" s="161"/>
      <c r="P79" s="163"/>
      <c r="Q79" s="151" t="str">
        <f t="shared" si="4"/>
        <v/>
      </c>
      <c r="R79" s="151"/>
    </row>
    <row r="80" spans="1:18" x14ac:dyDescent="0.25">
      <c r="A80" s="12">
        <f t="shared" si="3"/>
        <v>78</v>
      </c>
      <c r="B80" s="151"/>
      <c r="C80" s="161"/>
      <c r="D80" s="161"/>
      <c r="E80" s="161"/>
      <c r="F80" s="49"/>
      <c r="G80" s="162"/>
      <c r="H80" s="49"/>
      <c r="I80" s="151"/>
      <c r="J80" s="151"/>
      <c r="K80" s="151"/>
      <c r="L80" s="151"/>
      <c r="M80" s="151"/>
      <c r="N80" s="151"/>
      <c r="O80" s="161"/>
      <c r="P80" s="163"/>
      <c r="Q80" s="151" t="str">
        <f t="shared" si="4"/>
        <v/>
      </c>
      <c r="R80" s="151"/>
    </row>
    <row r="81" spans="1:18" x14ac:dyDescent="0.25">
      <c r="A81" s="12">
        <f t="shared" si="3"/>
        <v>79</v>
      </c>
      <c r="B81" s="151"/>
      <c r="C81" s="161"/>
      <c r="D81" s="161"/>
      <c r="E81" s="161"/>
      <c r="F81" s="49"/>
      <c r="G81" s="162"/>
      <c r="H81" s="49"/>
      <c r="I81" s="151"/>
      <c r="J81" s="151"/>
      <c r="K81" s="151"/>
      <c r="L81" s="151"/>
      <c r="M81" s="151"/>
      <c r="N81" s="151"/>
      <c r="O81" s="161"/>
      <c r="P81" s="163"/>
      <c r="Q81" s="151" t="str">
        <f t="shared" si="4"/>
        <v/>
      </c>
      <c r="R81" s="151"/>
    </row>
    <row r="82" spans="1:18" x14ac:dyDescent="0.25">
      <c r="A82" s="12">
        <f t="shared" si="3"/>
        <v>80</v>
      </c>
      <c r="B82" s="151"/>
      <c r="C82" s="161"/>
      <c r="D82" s="161"/>
      <c r="E82" s="161"/>
      <c r="F82" s="49"/>
      <c r="G82" s="162"/>
      <c r="H82" s="49"/>
      <c r="I82" s="151"/>
      <c r="J82" s="151"/>
      <c r="K82" s="151"/>
      <c r="L82" s="151"/>
      <c r="M82" s="151"/>
      <c r="N82" s="164"/>
      <c r="O82" s="161"/>
      <c r="P82" s="163"/>
      <c r="Q82" s="151" t="str">
        <f t="shared" si="4"/>
        <v/>
      </c>
      <c r="R82" s="151"/>
    </row>
    <row r="83" spans="1:18" x14ac:dyDescent="0.25">
      <c r="A83" s="12">
        <f t="shared" si="3"/>
        <v>81</v>
      </c>
      <c r="B83" s="151"/>
      <c r="C83" s="161"/>
      <c r="D83" s="161"/>
      <c r="E83" s="161"/>
      <c r="F83" s="49"/>
      <c r="G83" s="162"/>
      <c r="H83" s="49"/>
      <c r="I83" s="151"/>
      <c r="J83" s="151"/>
      <c r="K83" s="151"/>
      <c r="L83" s="151"/>
      <c r="M83" s="151"/>
      <c r="N83" s="164"/>
      <c r="O83" s="161"/>
      <c r="P83" s="163"/>
      <c r="Q83" s="151" t="str">
        <f t="shared" si="4"/>
        <v/>
      </c>
      <c r="R83" s="151"/>
    </row>
    <row r="84" spans="1:18" x14ac:dyDescent="0.25">
      <c r="A84" s="12">
        <f t="shared" si="3"/>
        <v>82</v>
      </c>
      <c r="B84" s="151"/>
      <c r="C84" s="161"/>
      <c r="D84" s="161"/>
      <c r="E84" s="161"/>
      <c r="F84" s="49"/>
      <c r="G84" s="162"/>
      <c r="H84" s="49"/>
      <c r="I84" s="151"/>
      <c r="J84" s="151"/>
      <c r="K84" s="151"/>
      <c r="L84" s="151"/>
      <c r="M84" s="151"/>
      <c r="N84" s="164"/>
      <c r="O84" s="161"/>
      <c r="P84" s="163"/>
      <c r="Q84" s="151" t="str">
        <f t="shared" si="4"/>
        <v/>
      </c>
      <c r="R84" s="151"/>
    </row>
    <row r="85" spans="1:18" x14ac:dyDescent="0.25">
      <c r="A85" s="12">
        <f t="shared" si="3"/>
        <v>83</v>
      </c>
      <c r="B85" s="151"/>
      <c r="C85" s="161"/>
      <c r="D85" s="161"/>
      <c r="E85" s="161"/>
      <c r="F85" s="49"/>
      <c r="G85" s="162"/>
      <c r="H85" s="49"/>
      <c r="I85" s="151"/>
      <c r="J85" s="151"/>
      <c r="K85" s="151"/>
      <c r="L85" s="151"/>
      <c r="M85" s="151"/>
      <c r="N85" s="151"/>
      <c r="O85" s="161"/>
      <c r="P85" s="163"/>
      <c r="Q85" s="151" t="str">
        <f t="shared" si="4"/>
        <v/>
      </c>
      <c r="R85" s="151"/>
    </row>
    <row r="86" spans="1:18" x14ac:dyDescent="0.25">
      <c r="A86" s="12">
        <f t="shared" si="3"/>
        <v>84</v>
      </c>
      <c r="B86" s="151"/>
      <c r="C86" s="161"/>
      <c r="D86" s="161"/>
      <c r="E86" s="161"/>
      <c r="F86" s="49"/>
      <c r="G86" s="162"/>
      <c r="H86" s="49"/>
      <c r="I86" s="151"/>
      <c r="J86" s="151"/>
      <c r="K86" s="151"/>
      <c r="L86" s="151"/>
      <c r="M86" s="151"/>
      <c r="N86" s="151"/>
      <c r="O86" s="161"/>
      <c r="P86" s="163"/>
      <c r="Q86" s="151" t="str">
        <f t="shared" si="4"/>
        <v/>
      </c>
      <c r="R86" s="151"/>
    </row>
    <row r="87" spans="1:18" x14ac:dyDescent="0.25">
      <c r="A87" s="12">
        <f t="shared" si="3"/>
        <v>85</v>
      </c>
      <c r="B87" s="151"/>
      <c r="C87" s="161"/>
      <c r="D87" s="161"/>
      <c r="E87" s="161"/>
      <c r="F87" s="49"/>
      <c r="G87" s="162"/>
      <c r="H87" s="49"/>
      <c r="I87" s="151"/>
      <c r="J87" s="151"/>
      <c r="K87" s="151"/>
      <c r="L87" s="151"/>
      <c r="M87" s="151"/>
      <c r="N87" s="151"/>
      <c r="O87" s="161"/>
      <c r="P87" s="163"/>
      <c r="Q87" s="151" t="str">
        <f t="shared" si="4"/>
        <v/>
      </c>
      <c r="R87" s="151"/>
    </row>
    <row r="88" spans="1:18" x14ac:dyDescent="0.25">
      <c r="A88" s="12">
        <f t="shared" si="3"/>
        <v>86</v>
      </c>
      <c r="B88" s="151"/>
      <c r="C88" s="161"/>
      <c r="D88" s="161"/>
      <c r="E88" s="161"/>
      <c r="F88" s="49"/>
      <c r="G88" s="162"/>
      <c r="H88" s="49"/>
      <c r="I88" s="151"/>
      <c r="J88" s="151"/>
      <c r="K88" s="151"/>
      <c r="L88" s="151"/>
      <c r="M88" s="151"/>
      <c r="N88" s="151"/>
      <c r="O88" s="161"/>
      <c r="P88" s="163"/>
      <c r="Q88" s="151" t="str">
        <f t="shared" si="4"/>
        <v/>
      </c>
      <c r="R88" s="151"/>
    </row>
    <row r="89" spans="1:18" x14ac:dyDescent="0.25">
      <c r="A89" s="12">
        <f t="shared" si="3"/>
        <v>87</v>
      </c>
      <c r="B89" s="151"/>
      <c r="C89" s="161"/>
      <c r="D89" s="161"/>
      <c r="E89" s="161"/>
      <c r="F89" s="49"/>
      <c r="G89" s="162"/>
      <c r="H89" s="49"/>
      <c r="I89" s="151"/>
      <c r="J89" s="151"/>
      <c r="K89" s="151"/>
      <c r="L89" s="151"/>
      <c r="M89" s="151"/>
      <c r="N89" s="164"/>
      <c r="O89" s="161"/>
      <c r="P89" s="163"/>
      <c r="Q89" s="151" t="str">
        <f t="shared" si="4"/>
        <v/>
      </c>
      <c r="R89" s="151"/>
    </row>
    <row r="90" spans="1:18" x14ac:dyDescent="0.25">
      <c r="A90" s="12">
        <f t="shared" si="3"/>
        <v>88</v>
      </c>
      <c r="B90" s="151"/>
      <c r="C90" s="161"/>
      <c r="D90" s="161"/>
      <c r="E90" s="161"/>
      <c r="F90" s="49"/>
      <c r="G90" s="162"/>
      <c r="H90" s="49"/>
      <c r="I90" s="151"/>
      <c r="J90" s="151"/>
      <c r="K90" s="151"/>
      <c r="L90" s="151"/>
      <c r="M90" s="151"/>
      <c r="N90" s="151"/>
      <c r="O90" s="161"/>
      <c r="P90" s="163"/>
      <c r="Q90" s="151" t="str">
        <f t="shared" si="4"/>
        <v/>
      </c>
      <c r="R90" s="151"/>
    </row>
    <row r="91" spans="1:18" x14ac:dyDescent="0.25">
      <c r="A91" s="12">
        <f t="shared" si="3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1" t="str">
        <f t="shared" si="4"/>
        <v/>
      </c>
      <c r="R91" s="31"/>
    </row>
    <row r="92" spans="1:18" x14ac:dyDescent="0.25">
      <c r="A92" s="12">
        <f t="shared" si="3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1" t="str">
        <f t="shared" si="4"/>
        <v/>
      </c>
      <c r="R92" s="31"/>
    </row>
    <row r="93" spans="1:18" x14ac:dyDescent="0.25">
      <c r="A93" s="12">
        <f t="shared" si="3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4"/>
        <v/>
      </c>
      <c r="R93" s="31"/>
    </row>
    <row r="94" spans="1:18" x14ac:dyDescent="0.25">
      <c r="A94" s="12">
        <f t="shared" si="3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4"/>
        <v/>
      </c>
      <c r="R94" s="31"/>
    </row>
    <row r="95" spans="1:18" x14ac:dyDescent="0.25">
      <c r="A95" s="12">
        <f t="shared" si="3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4"/>
        <v/>
      </c>
      <c r="R95" s="31"/>
    </row>
    <row r="96" spans="1:18" x14ac:dyDescent="0.25">
      <c r="A96" s="12">
        <f t="shared" si="3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4"/>
        <v/>
      </c>
      <c r="R96" s="31"/>
    </row>
    <row r="97" spans="1:18" x14ac:dyDescent="0.25">
      <c r="A97" s="12">
        <f t="shared" si="3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4"/>
        <v/>
      </c>
      <c r="R97" s="31"/>
    </row>
    <row r="98" spans="1:18" x14ac:dyDescent="0.25">
      <c r="A98" s="12">
        <f t="shared" si="3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4"/>
        <v/>
      </c>
      <c r="R98" s="31"/>
    </row>
    <row r="99" spans="1:18" x14ac:dyDescent="0.25">
      <c r="A99" s="12">
        <f t="shared" si="3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4"/>
        <v/>
      </c>
      <c r="R99" s="31"/>
    </row>
    <row r="100" spans="1:18" x14ac:dyDescent="0.25">
      <c r="A100" s="12">
        <f t="shared" si="3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4"/>
        <v/>
      </c>
      <c r="R100" s="31"/>
    </row>
    <row r="101" spans="1:18" x14ac:dyDescent="0.25">
      <c r="A101" s="12">
        <f t="shared" si="3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4"/>
        <v/>
      </c>
      <c r="R101" s="31"/>
    </row>
    <row r="102" spans="1:18" x14ac:dyDescent="0.25">
      <c r="A102" s="12">
        <f t="shared" si="3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4"/>
        <v/>
      </c>
      <c r="R102" s="31"/>
    </row>
    <row r="103" spans="1:18" x14ac:dyDescent="0.25">
      <c r="A103" s="12">
        <f t="shared" si="3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4"/>
        <v/>
      </c>
      <c r="R103" s="31"/>
    </row>
    <row r="104" spans="1:18" x14ac:dyDescent="0.25">
      <c r="A104" s="12">
        <f t="shared" si="3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1" t="str">
        <f t="shared" si="4"/>
        <v/>
      </c>
      <c r="R104" s="31"/>
    </row>
    <row r="105" spans="1:18" x14ac:dyDescent="0.25">
      <c r="A105" s="12">
        <f t="shared" si="3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1" t="str">
        <f t="shared" si="4"/>
        <v/>
      </c>
      <c r="R105" s="31"/>
    </row>
  </sheetData>
  <mergeCells count="1">
    <mergeCell ref="A1:B1"/>
  </mergeCells>
  <phoneticPr fontId="2"/>
  <conditionalFormatting sqref="H2:H1048576">
    <cfRule type="cellIs" dxfId="44" priority="7" operator="lessThan">
      <formula>"D"</formula>
    </cfRule>
    <cfRule type="cellIs" dxfId="43" priority="8" operator="equal">
      <formula>"D"</formula>
    </cfRule>
  </conditionalFormatting>
  <conditionalFormatting sqref="A1:G1 I1:XFD1 A76:D76 A77:B78 F76:P76 G77:P78 A2:XFD2 A106:XFD1048576 A79:P105 Q3:XFD105 A3:P75">
    <cfRule type="expression" dxfId="42" priority="6">
      <formula>CELL("ROW")=ROW()</formula>
    </cfRule>
  </conditionalFormatting>
  <conditionalFormatting sqref="E76">
    <cfRule type="expression" dxfId="41" priority="5">
      <formula>CELL("ROW")=ROW()</formula>
    </cfRule>
  </conditionalFormatting>
  <conditionalFormatting sqref="C77:D77 F77">
    <cfRule type="expression" dxfId="40" priority="4">
      <formula>CELL("ROW")=ROW()</formula>
    </cfRule>
  </conditionalFormatting>
  <conditionalFormatting sqref="E77">
    <cfRule type="expression" dxfId="39" priority="3">
      <formula>CELL("ROW")=ROW()</formula>
    </cfRule>
  </conditionalFormatting>
  <conditionalFormatting sqref="C78:D78 F78">
    <cfRule type="expression" dxfId="38" priority="2">
      <formula>CELL("ROW")=ROW()</formula>
    </cfRule>
  </conditionalFormatting>
  <conditionalFormatting sqref="E78">
    <cfRule type="expression" dxfId="37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41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E45" sqref="E45"/>
    </sheetView>
  </sheetViews>
  <sheetFormatPr defaultColWidth="8" defaultRowHeight="15.75" x14ac:dyDescent="0.25"/>
  <cols>
    <col min="1" max="1" width="5" style="203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30" t="s">
        <v>70</v>
      </c>
      <c r="B1" s="230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9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173</v>
      </c>
    </row>
    <row r="3" spans="1:21" ht="16.5" thickTop="1" x14ac:dyDescent="0.25">
      <c r="A3" s="200"/>
      <c r="B3" s="167" t="s">
        <v>171</v>
      </c>
      <c r="C3" s="168"/>
      <c r="D3" s="169"/>
      <c r="E3" s="168"/>
      <c r="F3" s="170"/>
      <c r="G3" s="171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7">
        <v>42983</v>
      </c>
    </row>
    <row r="4" spans="1:21" x14ac:dyDescent="0.25">
      <c r="A4" s="200"/>
      <c r="B4" s="167"/>
      <c r="C4" s="168"/>
      <c r="D4" s="169"/>
      <c r="E4" s="168"/>
      <c r="F4" s="170"/>
      <c r="G4" s="171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7">
        <v>42929</v>
      </c>
    </row>
    <row r="5" spans="1:21" x14ac:dyDescent="0.25">
      <c r="A5" s="200"/>
      <c r="B5" s="167" t="s">
        <v>170</v>
      </c>
      <c r="C5" s="168"/>
      <c r="D5" s="169"/>
      <c r="E5" s="168"/>
      <c r="F5" s="170"/>
      <c r="G5" s="171"/>
      <c r="H5" s="108" t="s">
        <v>87</v>
      </c>
      <c r="I5" s="109">
        <v>350</v>
      </c>
      <c r="J5" s="109">
        <v>1500</v>
      </c>
      <c r="K5" s="109"/>
      <c r="L5" s="117"/>
      <c r="M5" s="117"/>
      <c r="N5" s="118"/>
      <c r="O5" s="106">
        <v>43101</v>
      </c>
      <c r="P5" s="15">
        <v>487</v>
      </c>
      <c r="Q5" s="15">
        <v>38</v>
      </c>
      <c r="R5" s="104"/>
      <c r="S5" s="104"/>
      <c r="T5" s="19"/>
      <c r="U5" s="197">
        <v>42926</v>
      </c>
    </row>
    <row r="6" spans="1:21" x14ac:dyDescent="0.25">
      <c r="A6" s="201"/>
      <c r="B6" s="172" t="s">
        <v>172</v>
      </c>
      <c r="C6" s="173"/>
      <c r="D6" s="174"/>
      <c r="E6" s="173"/>
      <c r="F6" s="175"/>
      <c r="G6" s="176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6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02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5380</v>
      </c>
      <c r="F7" s="46">
        <f t="shared" ref="F7:F12" si="0">(E7-C7)*100*0.79685</f>
        <v>329895.89999999997</v>
      </c>
      <c r="G7" s="47">
        <f ca="1">NETWORKDAYS(D7,TODAY())</f>
        <v>59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02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9700</v>
      </c>
      <c r="F8" s="46">
        <f t="shared" si="0"/>
        <v>593653.25</v>
      </c>
      <c r="G8" s="47">
        <f t="shared" ref="G8:G11" ca="1" si="2">NETWORKDAYS(D8,TODAY())</f>
        <v>56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02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4100</v>
      </c>
      <c r="F9" s="46">
        <f t="shared" si="0"/>
        <v>184869.19999999998</v>
      </c>
      <c r="G9" s="47">
        <f t="shared" ca="1" si="2"/>
        <v>54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02" t="str">
        <f>IPO監視一覧!H6</f>
        <v>C</v>
      </c>
      <c r="B10" s="43" t="str">
        <f>IPO監視一覧!B6</f>
        <v>神戸天然物化学</v>
      </c>
      <c r="C10" s="44">
        <f>IPO監視一覧!G6</f>
        <v>2340</v>
      </c>
      <c r="D10" s="45">
        <f>IPO監視一覧!O6</f>
        <v>43174</v>
      </c>
      <c r="E10" s="44">
        <f>IPO監視一覧!P6</f>
        <v>3665</v>
      </c>
      <c r="F10" s="46">
        <f t="shared" si="0"/>
        <v>105582.625</v>
      </c>
      <c r="G10" s="47">
        <f t="shared" ca="1" si="2"/>
        <v>45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2" t="str">
        <f>IPO監視一覧!H7</f>
        <v>D</v>
      </c>
      <c r="B11" s="43" t="str">
        <f>IPO監視一覧!B7</f>
        <v>日総工産</v>
      </c>
      <c r="C11" s="44">
        <f>IPO監視一覧!G7</f>
        <v>3250</v>
      </c>
      <c r="D11" s="45">
        <f>IPO監視一覧!O7</f>
        <v>43175</v>
      </c>
      <c r="E11" s="44">
        <f>IPO監視一覧!P7</f>
        <v>4020</v>
      </c>
      <c r="F11" s="46">
        <f t="shared" si="0"/>
        <v>61357.45</v>
      </c>
      <c r="G11" s="47">
        <f t="shared" ca="1" si="2"/>
        <v>44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2" t="str">
        <f>IPO監視一覧!H8</f>
        <v>B</v>
      </c>
      <c r="B12" s="43" t="str">
        <f>IPO監視一覧!B8</f>
        <v>フェイスネットワーク</v>
      </c>
      <c r="C12" s="44">
        <f>IPO監視一覧!G8</f>
        <v>1400</v>
      </c>
      <c r="D12" s="45">
        <f>IPO監視一覧!O8</f>
        <v>43175</v>
      </c>
      <c r="E12" s="44">
        <f>IPO監視一覧!P8</f>
        <v>3200</v>
      </c>
      <c r="F12" s="46">
        <f t="shared" si="0"/>
        <v>143433</v>
      </c>
      <c r="G12" s="47">
        <f ca="1">NETWORKDAYS(D12,TODAY())</f>
        <v>44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2" t="str">
        <f>IPO監視一覧!H9</f>
        <v>C</v>
      </c>
      <c r="B13" s="49" t="str">
        <f>IPO監視一覧!B9</f>
        <v>共和コーポレーション</v>
      </c>
      <c r="C13" s="50">
        <f>IPO監視一覧!G9</f>
        <v>1590</v>
      </c>
      <c r="D13" s="52">
        <f>IPO監視一覧!O9</f>
        <v>43178</v>
      </c>
      <c r="E13" s="50">
        <f>IPO監視一覧!P9</f>
        <v>2511</v>
      </c>
      <c r="F13" s="193">
        <f>IF((E13-C13)&gt;0,(E13-C13)*100*0.79685,(E13-C13)*100)</f>
        <v>73389.884999999995</v>
      </c>
      <c r="G13" s="53">
        <f t="shared" ref="G13" ca="1" si="4">NETWORKDAYS(D13,TODAY())</f>
        <v>43</v>
      </c>
      <c r="H13" s="53"/>
      <c r="I13" s="194"/>
      <c r="J13" s="194"/>
      <c r="K13" s="194"/>
      <c r="L13" s="194"/>
      <c r="M13" s="194"/>
      <c r="N13" s="195">
        <f>(K13-I13)*J13-M13-L13</f>
        <v>0</v>
      </c>
      <c r="O13" s="37"/>
      <c r="P13" s="37"/>
      <c r="Q13" s="37"/>
      <c r="R13" s="37"/>
      <c r="S13" s="37"/>
    </row>
    <row r="14" spans="1:21" s="196" customFormat="1" x14ac:dyDescent="0.25">
      <c r="A14" s="202" t="str">
        <f>IPO監視一覧!H10</f>
        <v>D</v>
      </c>
      <c r="B14" s="49" t="str">
        <f>IPO監視一覧!B10</f>
        <v>信和</v>
      </c>
      <c r="C14" s="50">
        <f>IPO監視一覧!G10</f>
        <v>1150</v>
      </c>
      <c r="D14" s="52">
        <f>IPO監視一覧!O10</f>
        <v>43179</v>
      </c>
      <c r="E14" s="50">
        <f>IPO監視一覧!P10</f>
        <v>1106</v>
      </c>
      <c r="F14" s="193">
        <f>IF((E14-C14)&gt;0,(E14-C14)*100*0.79685,(E14-C14)*100)</f>
        <v>-4400</v>
      </c>
      <c r="G14" s="53">
        <f t="shared" ref="G14" ca="1" si="5">NETWORKDAYS(D14,TODAY())</f>
        <v>42</v>
      </c>
      <c r="H14" s="53"/>
      <c r="I14" s="194"/>
      <c r="J14" s="194"/>
      <c r="K14" s="194"/>
      <c r="L14" s="194"/>
      <c r="M14" s="194"/>
      <c r="N14" s="195">
        <f>(K14-I14)*J14-M14-L14</f>
        <v>0</v>
      </c>
    </row>
    <row r="15" spans="1:21" s="196" customFormat="1" x14ac:dyDescent="0.25">
      <c r="A15" s="202" t="str">
        <f>IPO監視一覧!H11</f>
        <v>D</v>
      </c>
      <c r="B15" s="49" t="str">
        <f>IPO監視一覧!B11</f>
        <v>ＳＯＵ</v>
      </c>
      <c r="C15" s="50">
        <f>IPO監視一覧!G11</f>
        <v>3300</v>
      </c>
      <c r="D15" s="52">
        <f>IPO監視一覧!O11</f>
        <v>43181</v>
      </c>
      <c r="E15" s="50">
        <f>IPO監視一覧!P11</f>
        <v>4100</v>
      </c>
      <c r="F15" s="193">
        <f t="shared" ref="F15:F41" si="6">IF((E15-C15)&gt;0,(E15-C15)*100*0.79685,(E15-C15)*100)</f>
        <v>63747.999999999993</v>
      </c>
      <c r="G15" s="53">
        <f t="shared" ref="G15:G41" ca="1" si="7">NETWORKDAYS(D15,TODAY())</f>
        <v>40</v>
      </c>
      <c r="H15" s="53"/>
      <c r="I15" s="194"/>
      <c r="J15" s="194"/>
      <c r="K15" s="194"/>
      <c r="L15" s="194"/>
      <c r="M15" s="194"/>
      <c r="N15" s="195">
        <f t="shared" ref="N15:N41" si="8">(K15-I15)*J15-M15-L15</f>
        <v>0</v>
      </c>
    </row>
    <row r="16" spans="1:21" s="196" customFormat="1" x14ac:dyDescent="0.25">
      <c r="A16" s="202" t="str">
        <f>IPO監視一覧!H12</f>
        <v>D</v>
      </c>
      <c r="B16" s="49" t="str">
        <f>IPO監視一覧!B12</f>
        <v>キュービーネットHD</v>
      </c>
      <c r="C16" s="50">
        <f>IPO監視一覧!G12</f>
        <v>2250</v>
      </c>
      <c r="D16" s="52">
        <f>IPO監視一覧!O12</f>
        <v>43182</v>
      </c>
      <c r="E16" s="50">
        <f>IPO監視一覧!P12</f>
        <v>2115</v>
      </c>
      <c r="F16" s="193">
        <f t="shared" si="6"/>
        <v>-13500</v>
      </c>
      <c r="G16" s="53">
        <f t="shared" ca="1" si="7"/>
        <v>39</v>
      </c>
      <c r="H16" s="53"/>
      <c r="I16" s="194"/>
      <c r="J16" s="194"/>
      <c r="K16" s="194"/>
      <c r="L16" s="194"/>
      <c r="M16" s="194"/>
      <c r="N16" s="195">
        <f t="shared" si="8"/>
        <v>0</v>
      </c>
    </row>
    <row r="17" spans="1:14" s="196" customFormat="1" x14ac:dyDescent="0.25">
      <c r="A17" s="202" t="str">
        <f>IPO監視一覧!H13</f>
        <v>B</v>
      </c>
      <c r="B17" s="49" t="str">
        <f>IPO監視一覧!B13</f>
        <v>ファイバーゲート</v>
      </c>
      <c r="C17" s="50">
        <f>IPO監視一覧!G13</f>
        <v>1050</v>
      </c>
      <c r="D17" s="52">
        <f>IPO監視一覧!O13</f>
        <v>43182</v>
      </c>
      <c r="E17" s="50">
        <f>IPO監視一覧!P13</f>
        <v>2388</v>
      </c>
      <c r="F17" s="193">
        <f t="shared" si="6"/>
        <v>106618.53</v>
      </c>
      <c r="G17" s="53">
        <f t="shared" ca="1" si="7"/>
        <v>39</v>
      </c>
      <c r="H17" s="53"/>
      <c r="I17" s="194"/>
      <c r="J17" s="194"/>
      <c r="K17" s="194"/>
      <c r="L17" s="194"/>
      <c r="M17" s="194"/>
      <c r="N17" s="195">
        <f t="shared" si="8"/>
        <v>0</v>
      </c>
    </row>
    <row r="18" spans="1:14" s="196" customFormat="1" x14ac:dyDescent="0.25">
      <c r="A18" s="202" t="str">
        <f>IPO監視一覧!H14</f>
        <v>B</v>
      </c>
      <c r="B18" s="49" t="str">
        <f>IPO監視一覧!B14</f>
        <v>ＲＰＡHD</v>
      </c>
      <c r="C18" s="50">
        <f>IPO監視一覧!G14</f>
        <v>3570</v>
      </c>
      <c r="D18" s="52">
        <f>IPO監視一覧!O14</f>
        <v>43186</v>
      </c>
      <c r="E18" s="50">
        <f>IPO監視一覧!P14</f>
        <v>14280</v>
      </c>
      <c r="F18" s="193">
        <f t="shared" si="6"/>
        <v>853426.35</v>
      </c>
      <c r="G18" s="53">
        <f t="shared" ca="1" si="7"/>
        <v>37</v>
      </c>
      <c r="H18" s="53"/>
      <c r="I18" s="194"/>
      <c r="J18" s="194"/>
      <c r="K18" s="194"/>
      <c r="L18" s="194"/>
      <c r="M18" s="194"/>
      <c r="N18" s="195">
        <f t="shared" si="8"/>
        <v>0</v>
      </c>
    </row>
    <row r="19" spans="1:14" s="196" customFormat="1" x14ac:dyDescent="0.25">
      <c r="A19" s="202" t="str">
        <f>IPO監視一覧!H15</f>
        <v>A</v>
      </c>
      <c r="B19" s="49" t="str">
        <f>IPO監視一覧!B15</f>
        <v>アジャイルメディア・ネットワーク</v>
      </c>
      <c r="C19" s="50">
        <f>IPO監視一覧!G15</f>
        <v>3000</v>
      </c>
      <c r="D19" s="52">
        <f>IPO監視一覧!O15</f>
        <v>43187</v>
      </c>
      <c r="E19" s="50">
        <f>IPO監視一覧!P15</f>
        <v>15470</v>
      </c>
      <c r="F19" s="193">
        <f t="shared" si="6"/>
        <v>993671.95</v>
      </c>
      <c r="G19" s="53">
        <f t="shared" ca="1" si="7"/>
        <v>36</v>
      </c>
      <c r="H19" s="53"/>
      <c r="I19" s="194"/>
      <c r="J19" s="194"/>
      <c r="K19" s="194"/>
      <c r="L19" s="194"/>
      <c r="M19" s="194"/>
      <c r="N19" s="195">
        <f t="shared" si="8"/>
        <v>0</v>
      </c>
    </row>
    <row r="20" spans="1:14" s="196" customFormat="1" x14ac:dyDescent="0.25">
      <c r="A20" s="202" t="str">
        <f>IPO監視一覧!H16</f>
        <v>B</v>
      </c>
      <c r="B20" s="49" t="str">
        <f>IPO監視一覧!B16</f>
        <v>アズ企画設計</v>
      </c>
      <c r="C20" s="50">
        <f>IPO監視一覧!G16</f>
        <v>2160</v>
      </c>
      <c r="D20" s="52">
        <f>IPO監視一覧!O16</f>
        <v>43188</v>
      </c>
      <c r="E20" s="50">
        <f>IPO監視一覧!P16</f>
        <v>4705</v>
      </c>
      <c r="F20" s="193">
        <f t="shared" si="6"/>
        <v>202798.32499999998</v>
      </c>
      <c r="G20" s="53">
        <f t="shared" ca="1" si="7"/>
        <v>35</v>
      </c>
      <c r="H20" s="53"/>
      <c r="I20" s="194"/>
      <c r="J20" s="194"/>
      <c r="K20" s="194"/>
      <c r="L20" s="194"/>
      <c r="M20" s="194"/>
      <c r="N20" s="195">
        <f t="shared" si="8"/>
        <v>0</v>
      </c>
    </row>
    <row r="21" spans="1:14" s="196" customFormat="1" x14ac:dyDescent="0.25">
      <c r="A21" s="202" t="str">
        <f>IPO監視一覧!H17</f>
        <v>A</v>
      </c>
      <c r="B21" s="49" t="str">
        <f>IPO監視一覧!B17</f>
        <v>和心</v>
      </c>
      <c r="C21" s="50">
        <f>IPO監視一覧!G17</f>
        <v>1700</v>
      </c>
      <c r="D21" s="52">
        <f>IPO監視一覧!O17</f>
        <v>43188</v>
      </c>
      <c r="E21" s="50">
        <f>IPO監視一覧!P17</f>
        <v>4555</v>
      </c>
      <c r="F21" s="193">
        <f t="shared" si="6"/>
        <v>227500.67499999999</v>
      </c>
      <c r="G21" s="53">
        <f t="shared" ca="1" si="7"/>
        <v>35</v>
      </c>
      <c r="H21" s="53"/>
      <c r="I21" s="194"/>
      <c r="J21" s="194"/>
      <c r="K21" s="194"/>
      <c r="L21" s="194"/>
      <c r="M21" s="194"/>
      <c r="N21" s="195">
        <f t="shared" si="8"/>
        <v>0</v>
      </c>
    </row>
    <row r="22" spans="1:14" s="196" customFormat="1" x14ac:dyDescent="0.25">
      <c r="A22" s="202" t="str">
        <f>IPO監視一覧!H18</f>
        <v>A</v>
      </c>
      <c r="B22" s="49" t="str">
        <f>IPO監視一覧!B18</f>
        <v>日本リビング保証</v>
      </c>
      <c r="C22" s="50">
        <f>IPO監視一覧!G18</f>
        <v>1760</v>
      </c>
      <c r="D22" s="52">
        <f>IPO監視一覧!O18</f>
        <v>43189</v>
      </c>
      <c r="E22" s="50">
        <f>IPO監視一覧!P18</f>
        <v>5100</v>
      </c>
      <c r="F22" s="193">
        <f t="shared" si="6"/>
        <v>266147.89999999997</v>
      </c>
      <c r="G22" s="53">
        <f t="shared" ca="1" si="7"/>
        <v>34</v>
      </c>
      <c r="H22" s="53"/>
      <c r="I22" s="194"/>
      <c r="J22" s="194"/>
      <c r="K22" s="194"/>
      <c r="L22" s="194"/>
      <c r="M22" s="194"/>
      <c r="N22" s="195">
        <f t="shared" si="8"/>
        <v>0</v>
      </c>
    </row>
    <row r="23" spans="1:14" s="196" customFormat="1" x14ac:dyDescent="0.25">
      <c r="A23" s="202" t="str">
        <f>IPO監視一覧!H19</f>
        <v>A</v>
      </c>
      <c r="B23" s="49" t="str">
        <f>IPO監視一覧!B19</f>
        <v>ブティックス</v>
      </c>
      <c r="C23" s="50">
        <f>IPO監視一覧!G19</f>
        <v>1350</v>
      </c>
      <c r="D23" s="52">
        <f>IPO監視一覧!O19</f>
        <v>43193</v>
      </c>
      <c r="E23" s="50">
        <f>IPO監視一覧!P19</f>
        <v>3210</v>
      </c>
      <c r="F23" s="193">
        <f t="shared" si="6"/>
        <v>148214.09999999998</v>
      </c>
      <c r="G23" s="53">
        <f t="shared" ca="1" si="7"/>
        <v>32</v>
      </c>
      <c r="H23" s="53"/>
      <c r="I23" s="194"/>
      <c r="J23" s="194"/>
      <c r="K23" s="194"/>
      <c r="L23" s="194"/>
      <c r="M23" s="194"/>
      <c r="N23" s="195">
        <f t="shared" si="8"/>
        <v>0</v>
      </c>
    </row>
    <row r="24" spans="1:14" s="196" customFormat="1" x14ac:dyDescent="0.25">
      <c r="A24" s="202" t="str">
        <f>IPO監視一覧!H20</f>
        <v>A</v>
      </c>
      <c r="B24" s="49" t="str">
        <f>IPO監視一覧!B20</f>
        <v>ビープラッツ</v>
      </c>
      <c r="C24" s="50">
        <f>IPO監視一覧!G20</f>
        <v>2200</v>
      </c>
      <c r="D24" s="52">
        <f>IPO監視一覧!O20</f>
        <v>43194</v>
      </c>
      <c r="E24" s="50">
        <f>IPO監視一覧!P20</f>
        <v>10000</v>
      </c>
      <c r="F24" s="193">
        <f t="shared" si="6"/>
        <v>621543</v>
      </c>
      <c r="G24" s="53">
        <f t="shared" ca="1" si="7"/>
        <v>31</v>
      </c>
      <c r="H24" s="53"/>
      <c r="I24" s="194"/>
      <c r="J24" s="194"/>
      <c r="K24" s="194"/>
      <c r="L24" s="194"/>
      <c r="M24" s="194"/>
      <c r="N24" s="195">
        <f t="shared" si="8"/>
        <v>0</v>
      </c>
    </row>
    <row r="25" spans="1:14" s="196" customFormat="1" x14ac:dyDescent="0.25">
      <c r="A25" s="202" t="str">
        <f>IPO監視一覧!H21</f>
        <v>A</v>
      </c>
      <c r="B25" s="49" t="str">
        <f>IPO監視一覧!B21</f>
        <v>ヒューマン・アソシエイツ・HD</v>
      </c>
      <c r="C25" s="50">
        <f>IPO監視一覧!G21</f>
        <v>1170</v>
      </c>
      <c r="D25" s="52">
        <f>IPO監視一覧!O21</f>
        <v>43200</v>
      </c>
      <c r="E25" s="50">
        <f>IPO監視一覧!P21</f>
        <v>3600</v>
      </c>
      <c r="F25" s="193">
        <f t="shared" si="6"/>
        <v>193634.55</v>
      </c>
      <c r="G25" s="53">
        <f t="shared" ca="1" si="7"/>
        <v>27</v>
      </c>
      <c r="H25" s="53"/>
      <c r="I25" s="194"/>
      <c r="J25" s="194"/>
      <c r="K25" s="194"/>
      <c r="L25" s="194"/>
      <c r="M25" s="194"/>
      <c r="N25" s="195">
        <f t="shared" si="8"/>
        <v>0</v>
      </c>
    </row>
    <row r="26" spans="1:14" s="196" customFormat="1" x14ac:dyDescent="0.25">
      <c r="A26" s="202" t="str">
        <f>IPO監視一覧!H22</f>
        <v>B</v>
      </c>
      <c r="B26" s="49" t="str">
        <f>IPO監視一覧!B22</f>
        <v>コンヴァノ</v>
      </c>
      <c r="C26" s="50">
        <f>IPO監視一覧!G22</f>
        <v>930</v>
      </c>
      <c r="D26" s="52">
        <f>IPO監視一覧!O22</f>
        <v>43201</v>
      </c>
      <c r="E26" s="50">
        <f>IPO監視一覧!P22</f>
        <v>2189</v>
      </c>
      <c r="F26" s="193">
        <f t="shared" si="6"/>
        <v>100323.41499999999</v>
      </c>
      <c r="G26" s="53">
        <f t="shared" ca="1" si="7"/>
        <v>26</v>
      </c>
      <c r="H26" s="53"/>
      <c r="I26" s="194"/>
      <c r="J26" s="194"/>
      <c r="K26" s="194"/>
      <c r="L26" s="194"/>
      <c r="M26" s="194"/>
      <c r="N26" s="195">
        <f t="shared" si="8"/>
        <v>0</v>
      </c>
    </row>
    <row r="27" spans="1:14" s="196" customFormat="1" x14ac:dyDescent="0.25">
      <c r="A27" s="202" t="str">
        <f>IPO監視一覧!H23</f>
        <v>A</v>
      </c>
      <c r="B27" s="49" t="str">
        <f>IPO監視一覧!B23</f>
        <v>ＨＥＲＯＺ</v>
      </c>
      <c r="C27" s="50">
        <f>IPO監視一覧!G23</f>
        <v>4500</v>
      </c>
      <c r="D27" s="52">
        <f>IPO監視一覧!O23</f>
        <v>43210</v>
      </c>
      <c r="E27" s="50">
        <f>IPO監視一覧!P23</f>
        <v>49000</v>
      </c>
      <c r="F27" s="193">
        <f t="shared" si="6"/>
        <v>3545982.4999999995</v>
      </c>
      <c r="G27" s="53">
        <f t="shared" ca="1" si="7"/>
        <v>19</v>
      </c>
      <c r="H27" s="53"/>
      <c r="I27" s="194"/>
      <c r="J27" s="194"/>
      <c r="K27" s="194"/>
      <c r="L27" s="194"/>
      <c r="M27" s="194"/>
      <c r="N27" s="195">
        <f t="shared" si="8"/>
        <v>0</v>
      </c>
    </row>
    <row r="28" spans="1:14" s="196" customFormat="1" x14ac:dyDescent="0.25">
      <c r="A28" s="202" t="str">
        <f>IPO監視一覧!H24</f>
        <v>A</v>
      </c>
      <c r="B28" s="49" t="str">
        <f>IPO監視一覧!B24</f>
        <v>ベストワンドットコム</v>
      </c>
      <c r="C28" s="50">
        <f>IPO監視一覧!G24</f>
        <v>4330</v>
      </c>
      <c r="D28" s="52">
        <f>IPO監視一覧!O24</f>
        <v>43215</v>
      </c>
      <c r="E28" s="50">
        <f>IPO監視一覧!P24</f>
        <v>14830</v>
      </c>
      <c r="F28" s="193">
        <f t="shared" si="6"/>
        <v>836692.5</v>
      </c>
      <c r="G28" s="53">
        <f t="shared" ca="1" si="7"/>
        <v>16</v>
      </c>
      <c r="H28" s="53"/>
      <c r="I28" s="194"/>
      <c r="J28" s="194"/>
      <c r="K28" s="194"/>
      <c r="L28" s="194"/>
      <c r="M28" s="194"/>
      <c r="N28" s="195">
        <f t="shared" si="8"/>
        <v>0</v>
      </c>
    </row>
    <row r="29" spans="1:14" s="196" customFormat="1" x14ac:dyDescent="0.25">
      <c r="A29" s="202" t="str">
        <f>IPO監視一覧!H25</f>
        <v>B</v>
      </c>
      <c r="B29" s="49" t="str">
        <f>IPO監視一覧!B25</f>
        <v>アイペット損害保険</v>
      </c>
      <c r="C29" s="50">
        <f>IPO監視一覧!G25</f>
        <v>2850</v>
      </c>
      <c r="D29" s="52">
        <f>IPO監視一覧!O25</f>
        <v>43215</v>
      </c>
      <c r="E29" s="50">
        <f>IPO監視一覧!P25</f>
        <v>4500</v>
      </c>
      <c r="F29" s="193">
        <f t="shared" si="6"/>
        <v>131480.25</v>
      </c>
      <c r="G29" s="53">
        <f t="shared" ca="1" si="7"/>
        <v>16</v>
      </c>
      <c r="H29" s="53"/>
      <c r="I29" s="194"/>
      <c r="J29" s="194"/>
      <c r="K29" s="194"/>
      <c r="L29" s="194"/>
      <c r="M29" s="194"/>
      <c r="N29" s="195">
        <f t="shared" si="8"/>
        <v>0</v>
      </c>
    </row>
    <row r="30" spans="1:14" s="196" customFormat="1" x14ac:dyDescent="0.25">
      <c r="A30" s="202" t="str">
        <f>IPO監視一覧!H26</f>
        <v>B</v>
      </c>
      <c r="B30" s="49" t="str">
        <f>IPO監視一覧!B26</f>
        <v>エヌリンクス</v>
      </c>
      <c r="C30" s="50">
        <f>IPO監視一覧!G26</f>
        <v>1810</v>
      </c>
      <c r="D30" s="52">
        <f>IPO監視一覧!O26</f>
        <v>43217</v>
      </c>
      <c r="E30" s="50">
        <f>IPO監視一覧!P26</f>
        <v>3780</v>
      </c>
      <c r="F30" s="193">
        <f t="shared" si="6"/>
        <v>156979.44999999998</v>
      </c>
      <c r="G30" s="53">
        <f t="shared" ca="1" si="7"/>
        <v>14</v>
      </c>
      <c r="H30" s="53"/>
      <c r="I30" s="194"/>
      <c r="J30" s="194"/>
      <c r="K30" s="194"/>
      <c r="L30" s="194"/>
      <c r="M30" s="194"/>
      <c r="N30" s="195">
        <f t="shared" si="8"/>
        <v>0</v>
      </c>
    </row>
    <row r="31" spans="1:14" s="196" customFormat="1" x14ac:dyDescent="0.25">
      <c r="A31" s="202" t="str">
        <f>IPO監視一覧!H27</f>
        <v>D</v>
      </c>
      <c r="B31" s="49" t="str">
        <f>IPO監視一覧!B27</f>
        <v>ラクスル</v>
      </c>
      <c r="C31" s="50">
        <f>IPO監視一覧!G27</f>
        <v>1500</v>
      </c>
      <c r="D31" s="52">
        <f>IPO監視一覧!O27</f>
        <v>43251</v>
      </c>
      <c r="E31" s="50">
        <f>IPO監視一覧!P27</f>
        <v>0</v>
      </c>
      <c r="F31" s="193">
        <f t="shared" si="6"/>
        <v>-150000</v>
      </c>
      <c r="G31" s="53">
        <f t="shared" ca="1" si="7"/>
        <v>-12</v>
      </c>
      <c r="H31" s="53"/>
      <c r="I31" s="194"/>
      <c r="J31" s="194"/>
      <c r="K31" s="194"/>
      <c r="L31" s="194"/>
      <c r="M31" s="194"/>
      <c r="N31" s="195">
        <f t="shared" si="8"/>
        <v>0</v>
      </c>
    </row>
    <row r="32" spans="1:14" s="196" customFormat="1" x14ac:dyDescent="0.25">
      <c r="A32" s="202" t="str">
        <f>IPO監視一覧!H28</f>
        <v>B</v>
      </c>
      <c r="B32" s="49" t="str">
        <f>IPO監視一覧!B28</f>
        <v>メルカリ</v>
      </c>
      <c r="C32" s="50">
        <f>IPO監視一覧!G28</f>
        <v>0</v>
      </c>
      <c r="D32" s="52">
        <f>IPO監視一覧!O28</f>
        <v>43270</v>
      </c>
      <c r="E32" s="50">
        <f>IPO監視一覧!P28</f>
        <v>0</v>
      </c>
      <c r="F32" s="193">
        <f t="shared" si="6"/>
        <v>0</v>
      </c>
      <c r="G32" s="53">
        <f t="shared" ca="1" si="7"/>
        <v>-25</v>
      </c>
      <c r="H32" s="53"/>
      <c r="I32" s="194"/>
      <c r="J32" s="194"/>
      <c r="K32" s="194"/>
      <c r="L32" s="194"/>
      <c r="M32" s="194"/>
      <c r="N32" s="195">
        <f t="shared" si="8"/>
        <v>0</v>
      </c>
    </row>
    <row r="33" spans="1:14" s="196" customFormat="1" x14ac:dyDescent="0.25">
      <c r="A33" s="202">
        <f>IPO監視一覧!H29</f>
        <v>0</v>
      </c>
      <c r="B33" s="49">
        <f>IPO監視一覧!B29</f>
        <v>0</v>
      </c>
      <c r="C33" s="50">
        <f>IPO監視一覧!G29</f>
        <v>0</v>
      </c>
      <c r="D33" s="52">
        <f>IPO監視一覧!O29</f>
        <v>0</v>
      </c>
      <c r="E33" s="50">
        <f>IPO監視一覧!P29</f>
        <v>0</v>
      </c>
      <c r="F33" s="193">
        <f t="shared" si="6"/>
        <v>0</v>
      </c>
      <c r="G33" s="53">
        <f t="shared" ca="1" si="7"/>
        <v>30883</v>
      </c>
      <c r="H33" s="53"/>
      <c r="I33" s="194"/>
      <c r="J33" s="194"/>
      <c r="K33" s="194"/>
      <c r="L33" s="194"/>
      <c r="M33" s="194"/>
      <c r="N33" s="195">
        <f t="shared" si="8"/>
        <v>0</v>
      </c>
    </row>
    <row r="34" spans="1:14" s="196" customFormat="1" x14ac:dyDescent="0.25">
      <c r="A34" s="202">
        <f>IPO監視一覧!H30</f>
        <v>0</v>
      </c>
      <c r="B34" s="49">
        <f>IPO監視一覧!B30</f>
        <v>0</v>
      </c>
      <c r="C34" s="50">
        <f>IPO監視一覧!G30</f>
        <v>0</v>
      </c>
      <c r="D34" s="52">
        <f>IPO監視一覧!O30</f>
        <v>0</v>
      </c>
      <c r="E34" s="50">
        <f>IPO監視一覧!P30</f>
        <v>0</v>
      </c>
      <c r="F34" s="193">
        <f t="shared" si="6"/>
        <v>0</v>
      </c>
      <c r="G34" s="53">
        <f t="shared" ca="1" si="7"/>
        <v>30883</v>
      </c>
      <c r="H34" s="53"/>
      <c r="I34" s="194"/>
      <c r="J34" s="194"/>
      <c r="K34" s="194"/>
      <c r="L34" s="194"/>
      <c r="M34" s="194"/>
      <c r="N34" s="195">
        <f t="shared" si="8"/>
        <v>0</v>
      </c>
    </row>
    <row r="35" spans="1:14" s="196" customFormat="1" x14ac:dyDescent="0.25">
      <c r="A35" s="202">
        <f>IPO監視一覧!H31</f>
        <v>0</v>
      </c>
      <c r="B35" s="49">
        <f>IPO監視一覧!B31</f>
        <v>0</v>
      </c>
      <c r="C35" s="50">
        <f>IPO監視一覧!G31</f>
        <v>0</v>
      </c>
      <c r="D35" s="52">
        <f>IPO監視一覧!O31</f>
        <v>0</v>
      </c>
      <c r="E35" s="50">
        <f>IPO監視一覧!P31</f>
        <v>0</v>
      </c>
      <c r="F35" s="193">
        <f t="shared" si="6"/>
        <v>0</v>
      </c>
      <c r="G35" s="53">
        <f t="shared" ca="1" si="7"/>
        <v>30883</v>
      </c>
      <c r="H35" s="53"/>
      <c r="I35" s="194"/>
      <c r="J35" s="194"/>
      <c r="K35" s="194"/>
      <c r="L35" s="194"/>
      <c r="M35" s="194"/>
      <c r="N35" s="195">
        <f t="shared" si="8"/>
        <v>0</v>
      </c>
    </row>
    <row r="36" spans="1:14" s="196" customFormat="1" x14ac:dyDescent="0.25">
      <c r="A36" s="202">
        <f>IPO監視一覧!H32</f>
        <v>0</v>
      </c>
      <c r="B36" s="49">
        <f>IPO監視一覧!B32</f>
        <v>0</v>
      </c>
      <c r="C36" s="50">
        <f>IPO監視一覧!G32</f>
        <v>0</v>
      </c>
      <c r="D36" s="52">
        <f>IPO監視一覧!O32</f>
        <v>0</v>
      </c>
      <c r="E36" s="50">
        <f>IPO監視一覧!P32</f>
        <v>0</v>
      </c>
      <c r="F36" s="193">
        <f t="shared" si="6"/>
        <v>0</v>
      </c>
      <c r="G36" s="53">
        <f t="shared" ca="1" si="7"/>
        <v>30883</v>
      </c>
      <c r="H36" s="53"/>
      <c r="I36" s="194"/>
      <c r="J36" s="194"/>
      <c r="K36" s="194"/>
      <c r="L36" s="194"/>
      <c r="M36" s="194"/>
      <c r="N36" s="195">
        <f t="shared" si="8"/>
        <v>0</v>
      </c>
    </row>
    <row r="37" spans="1:14" s="196" customFormat="1" x14ac:dyDescent="0.25">
      <c r="A37" s="202">
        <f>IPO監視一覧!H33</f>
        <v>0</v>
      </c>
      <c r="B37" s="49">
        <f>IPO監視一覧!B33</f>
        <v>0</v>
      </c>
      <c r="C37" s="50">
        <f>IPO監視一覧!G33</f>
        <v>0</v>
      </c>
      <c r="D37" s="52">
        <f>IPO監視一覧!O33</f>
        <v>0</v>
      </c>
      <c r="E37" s="50">
        <f>IPO監視一覧!P33</f>
        <v>0</v>
      </c>
      <c r="F37" s="193">
        <f t="shared" si="6"/>
        <v>0</v>
      </c>
      <c r="G37" s="53">
        <f t="shared" ca="1" si="7"/>
        <v>30883</v>
      </c>
      <c r="H37" s="53"/>
      <c r="I37" s="194"/>
      <c r="J37" s="194"/>
      <c r="K37" s="194"/>
      <c r="L37" s="194"/>
      <c r="M37" s="194"/>
      <c r="N37" s="195">
        <f t="shared" si="8"/>
        <v>0</v>
      </c>
    </row>
    <row r="38" spans="1:14" s="196" customFormat="1" x14ac:dyDescent="0.25">
      <c r="A38" s="202">
        <f>IPO監視一覧!H34</f>
        <v>0</v>
      </c>
      <c r="B38" s="49">
        <f>IPO監視一覧!B34</f>
        <v>0</v>
      </c>
      <c r="C38" s="50">
        <f>IPO監視一覧!G34</f>
        <v>0</v>
      </c>
      <c r="D38" s="52">
        <f>IPO監視一覧!O34</f>
        <v>0</v>
      </c>
      <c r="E38" s="50">
        <f>IPO監視一覧!P34</f>
        <v>0</v>
      </c>
      <c r="F38" s="193">
        <f t="shared" si="6"/>
        <v>0</v>
      </c>
      <c r="G38" s="53">
        <f t="shared" ca="1" si="7"/>
        <v>30883</v>
      </c>
      <c r="H38" s="53"/>
      <c r="I38" s="194"/>
      <c r="J38" s="194"/>
      <c r="K38" s="194"/>
      <c r="L38" s="194"/>
      <c r="M38" s="194"/>
      <c r="N38" s="195">
        <f t="shared" si="8"/>
        <v>0</v>
      </c>
    </row>
    <row r="39" spans="1:14" s="196" customFormat="1" x14ac:dyDescent="0.25">
      <c r="A39" s="202">
        <f>IPO監視一覧!H35</f>
        <v>0</v>
      </c>
      <c r="B39" s="49">
        <f>IPO監視一覧!B35</f>
        <v>0</v>
      </c>
      <c r="C39" s="50">
        <f>IPO監視一覧!G35</f>
        <v>0</v>
      </c>
      <c r="D39" s="52">
        <f>IPO監視一覧!O35</f>
        <v>0</v>
      </c>
      <c r="E39" s="50">
        <f>IPO監視一覧!P35</f>
        <v>0</v>
      </c>
      <c r="F39" s="193">
        <f t="shared" si="6"/>
        <v>0</v>
      </c>
      <c r="G39" s="53">
        <f t="shared" ca="1" si="7"/>
        <v>30883</v>
      </c>
      <c r="H39" s="53"/>
      <c r="I39" s="194"/>
      <c r="J39" s="194"/>
      <c r="K39" s="194"/>
      <c r="L39" s="194"/>
      <c r="M39" s="194"/>
      <c r="N39" s="195">
        <f t="shared" si="8"/>
        <v>0</v>
      </c>
    </row>
    <row r="40" spans="1:14" s="196" customFormat="1" x14ac:dyDescent="0.25">
      <c r="A40" s="202">
        <f>IPO監視一覧!H36</f>
        <v>0</v>
      </c>
      <c r="B40" s="49">
        <f>IPO監視一覧!B36</f>
        <v>0</v>
      </c>
      <c r="C40" s="50">
        <f>IPO監視一覧!G36</f>
        <v>0</v>
      </c>
      <c r="D40" s="52">
        <f>IPO監視一覧!O36</f>
        <v>0</v>
      </c>
      <c r="E40" s="50">
        <f>IPO監視一覧!P36</f>
        <v>0</v>
      </c>
      <c r="F40" s="193">
        <f t="shared" si="6"/>
        <v>0</v>
      </c>
      <c r="G40" s="53">
        <f t="shared" ca="1" si="7"/>
        <v>30883</v>
      </c>
      <c r="H40" s="53"/>
      <c r="I40" s="194"/>
      <c r="J40" s="194"/>
      <c r="K40" s="194"/>
      <c r="L40" s="194"/>
      <c r="M40" s="194"/>
      <c r="N40" s="195">
        <f t="shared" si="8"/>
        <v>0</v>
      </c>
    </row>
    <row r="41" spans="1:14" s="196" customFormat="1" x14ac:dyDescent="0.25">
      <c r="A41" s="202">
        <f>IPO監視一覧!H37</f>
        <v>0</v>
      </c>
      <c r="B41" s="49">
        <f>IPO監視一覧!B37</f>
        <v>0</v>
      </c>
      <c r="C41" s="50">
        <f>IPO監視一覧!G37</f>
        <v>0</v>
      </c>
      <c r="D41" s="52">
        <f>IPO監視一覧!O37</f>
        <v>0</v>
      </c>
      <c r="E41" s="50">
        <f>IPO監視一覧!P37</f>
        <v>0</v>
      </c>
      <c r="F41" s="193">
        <f t="shared" si="6"/>
        <v>0</v>
      </c>
      <c r="G41" s="53">
        <f t="shared" ca="1" si="7"/>
        <v>30883</v>
      </c>
      <c r="H41" s="53"/>
      <c r="I41" s="194"/>
      <c r="J41" s="194"/>
      <c r="K41" s="194"/>
      <c r="L41" s="194"/>
      <c r="M41" s="194"/>
      <c r="N41" s="195">
        <f t="shared" si="8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40"/>
  <sheetViews>
    <sheetView zoomScale="85" zoomScaleNormal="85" workbookViewId="0">
      <pane ySplit="2" topLeftCell="A3" activePane="bottomLeft" state="frozen"/>
      <selection activeCell="F62" sqref="F62"/>
      <selection pane="bottomLeft" activeCell="G29" sqref="G29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31" t="s">
        <v>91</v>
      </c>
      <c r="J1" s="231"/>
      <c r="K1" s="231"/>
      <c r="M1" s="232" t="s">
        <v>92</v>
      </c>
      <c r="N1" s="232"/>
      <c r="P1" s="38" t="s">
        <v>93</v>
      </c>
      <c r="Y1" s="12" t="s">
        <v>154</v>
      </c>
      <c r="Z1" s="147" t="s">
        <v>156</v>
      </c>
      <c r="AA1" s="148" t="s">
        <v>157</v>
      </c>
      <c r="AB1" s="149" t="s">
        <v>158</v>
      </c>
      <c r="AC1" s="12" t="s">
        <v>265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155</v>
      </c>
      <c r="R2" s="115" t="s">
        <v>123</v>
      </c>
      <c r="T2" s="115" t="s">
        <v>263</v>
      </c>
      <c r="W2" s="115" t="s">
        <v>264</v>
      </c>
      <c r="Z2" s="150">
        <f t="shared" ref="Z2:AA2" ca="1" si="0">COUNTIFS($Q$3:$Q$1048576,Z1)/$AC$2</f>
        <v>0.34782608695652173</v>
      </c>
      <c r="AA2" s="150">
        <f t="shared" ca="1" si="0"/>
        <v>8.6956521739130432E-2</v>
      </c>
      <c r="AB2" s="150">
        <f ca="1">COUNTIFS($Q$3:$Q$1048576,AB1)/$AC$2</f>
        <v>0.56521739130434778</v>
      </c>
      <c r="AC2" s="12">
        <f ca="1">COUNTIFS(Q3:Q1048576,"割安") + COUNTIFS(Q3:Q1048576,"普通") + COUNTIFS(Q3:Q1048576,"割高")</f>
        <v>23</v>
      </c>
    </row>
    <row r="3" spans="1:29" ht="16.5" thickTop="1" x14ac:dyDescent="0.25">
      <c r="B3" s="49" t="str">
        <f>セカンダリ投資分析!B3</f>
        <v>リミックスポイント</v>
      </c>
      <c r="C3" s="198" t="str">
        <f>株価一覧!H2</f>
        <v>---</v>
      </c>
      <c r="D3" s="15">
        <f ca="1">OFFSET(終値履歴!A3,0,COUNTA(終値履歴!G3:'終値履歴'!XFD3)+2,1,-1)</f>
        <v>1029</v>
      </c>
      <c r="E3" s="15">
        <f ca="1">OFFSET(終値履歴!A3,0,COUNTA(終値履歴!G3:'終値履歴'!XFD3)+3,1,-1)</f>
        <v>1042</v>
      </c>
      <c r="F3" s="15">
        <f ca="1">OFFSET(終値履歴!A3,0,COUNTA(終値履歴!G3:'終値履歴'!XFD3)+4,1,-1)</f>
        <v>1107</v>
      </c>
      <c r="G3" s="15">
        <f ca="1">OFFSET(終値履歴!A3,0,COUNTA(終値履歴!G3:'終値履歴'!XFD3)+5,1,-1)</f>
        <v>1407</v>
      </c>
      <c r="I3" s="60">
        <f ca="1">IF(ISERROR((G3-F3)/F3),"",(G3-F3)/F3)</f>
        <v>0.27100271002710025</v>
      </c>
      <c r="J3" s="60">
        <f ca="1">IF(ISERROR((G3-E3)/E3),"",(G3-E3)/E3)</f>
        <v>0.35028790786948177</v>
      </c>
      <c r="K3" s="60">
        <f ca="1">IF(ISERROR((G3-D3)/D3),"",(G3-D3)/D3)</f>
        <v>0.36734693877551022</v>
      </c>
      <c r="M3" s="60">
        <f t="shared" ref="M3:M5" ca="1" si="1">(F3-E3)/E3</f>
        <v>6.2380038387715928E-2</v>
      </c>
      <c r="N3" s="60">
        <f t="shared" ref="N3:N5" ca="1" si="2">(F3-D3)/D3</f>
        <v>7.5801749271137031E-2</v>
      </c>
      <c r="P3" s="57" t="str">
        <f t="shared" ref="P3:P5" ca="1" si="3">IF(G3-F3 &gt; 0,CONCATENATE("＋",G3-F3),G3-F3)</f>
        <v>＋300</v>
      </c>
      <c r="Q3" s="12" t="str">
        <f ca="1">IF(T3=0,"集計外",IF(AND(G3&lt;=T3,G3&lt;=R3),"割安",IF(AND(G3&gt;T3,G3&lt;=R3),"普通",IF(AND(G3&lt;=T3,G3&gt;R3),"普通","割高"))))</f>
        <v>割高</v>
      </c>
      <c r="R3" s="21">
        <f ca="1">終値履歴!D3</f>
        <v>1126.4000000000001</v>
      </c>
      <c r="S3" s="107">
        <f ca="1">(G3-R3)/E3</f>
        <v>0.26928982725527822</v>
      </c>
      <c r="T3" s="21">
        <f ca="1">終値履歴!E3</f>
        <v>1073.5333333333333</v>
      </c>
      <c r="U3" s="107">
        <f ca="1">(G3-T3)/G3</f>
        <v>0.23700544894574749</v>
      </c>
      <c r="W3" s="21">
        <f ca="1">終値履歴!F3</f>
        <v>991</v>
      </c>
      <c r="X3" s="107">
        <f ca="1">(G3-W3)/G3</f>
        <v>0.29566453447050461</v>
      </c>
    </row>
    <row r="4" spans="1:29" x14ac:dyDescent="0.25">
      <c r="B4" s="49" t="str">
        <f>セカンダリ投資分析!B5</f>
        <v>トレイダーズHD</v>
      </c>
      <c r="C4" s="198">
        <f>株価一覧!H3</f>
        <v>2737700</v>
      </c>
      <c r="D4" s="15">
        <f ca="1">OFFSET(終値履歴!A4,0,COUNTA(終値履歴!G4:'終値履歴'!XFD4)+2,1,-1)</f>
        <v>115</v>
      </c>
      <c r="E4" s="15">
        <f ca="1">OFFSET(終値履歴!A4,0,COUNTA(終値履歴!G4:'終値履歴'!XFD4)+3,1,-1)</f>
        <v>118</v>
      </c>
      <c r="F4" s="15">
        <f ca="1">OFFSET(終値履歴!A4,0,COUNTA(終値履歴!G4:'終値履歴'!XFD4)+4,1,-1)</f>
        <v>112</v>
      </c>
      <c r="G4" s="15">
        <f ca="1">OFFSET(終値履歴!A4,0,COUNTA(終値履歴!G4:'終値履歴'!XFD4)+5,1,-1)</f>
        <v>114</v>
      </c>
      <c r="I4" s="60">
        <f t="shared" ref="I4:I40" ca="1" si="4">IF(ISERROR((G4-F4)/F4),"",(G4-F4)/F4)</f>
        <v>1.7857142857142856E-2</v>
      </c>
      <c r="J4" s="60">
        <f t="shared" ref="J4:J40" ca="1" si="5">IF(ISERROR((G4-E4)/E4),"",(G4-E4)/E4)</f>
        <v>-3.3898305084745763E-2</v>
      </c>
      <c r="K4" s="60">
        <f t="shared" ref="K4:K40" ca="1" si="6">IF(ISERROR((G4-D4)/D4),"",(G4-D4)/D4)</f>
        <v>-8.6956521739130436E-3</v>
      </c>
      <c r="M4" s="60">
        <f t="shared" ca="1" si="1"/>
        <v>-5.0847457627118647E-2</v>
      </c>
      <c r="N4" s="60">
        <f t="shared" ca="1" si="2"/>
        <v>-2.6086956521739129E-2</v>
      </c>
      <c r="P4" s="57" t="str">
        <f t="shared" ca="1" si="3"/>
        <v>＋2</v>
      </c>
      <c r="Q4" s="12" t="str">
        <f t="shared" ref="Q4:Q40" ca="1" si="7">IF(T4=0,"集計外",IF(AND(G4&lt;=T4,G4&lt;=R4),"割安",IF(AND(G4&gt;T4,G4&lt;=R4),"普通",IF(AND(G4&lt;=T4,G4&gt;R4),"普通","割高"))))</f>
        <v>割安</v>
      </c>
      <c r="R4" s="21">
        <f ca="1">終値履歴!D4</f>
        <v>115</v>
      </c>
      <c r="S4" s="107">
        <f t="shared" ref="S4:S5" ca="1" si="8">(G4-R4)/E4</f>
        <v>-8.4745762711864406E-3</v>
      </c>
      <c r="T4" s="21">
        <f ca="1">終値履歴!E4</f>
        <v>115.6</v>
      </c>
      <c r="U4" s="107">
        <f t="shared" ref="U4:U5" ca="1" si="9">(G4-T4)/G4</f>
        <v>-1.4035087719298196E-2</v>
      </c>
      <c r="W4" s="21">
        <f ca="1">終値履歴!F4</f>
        <v>108</v>
      </c>
      <c r="X4" s="107">
        <f t="shared" ref="X4:X5" ca="1" si="10">(G4-W4)/G4</f>
        <v>5.2631578947368418E-2</v>
      </c>
    </row>
    <row r="5" spans="1:29" x14ac:dyDescent="0.25">
      <c r="B5" s="49" t="str">
        <f>セカンダリ投資分析!B6</f>
        <v>ソレイジア・ファーマ</v>
      </c>
      <c r="C5" s="198">
        <f>株価一覧!H4</f>
        <v>2436700</v>
      </c>
      <c r="D5" s="15">
        <f ca="1">OFFSET(終値履歴!A5,0,COUNTA(終値履歴!G5:'終値履歴'!XFD5)+2,1,-1)</f>
        <v>336</v>
      </c>
      <c r="E5" s="15">
        <f ca="1">OFFSET(終値履歴!A5,0,COUNTA(終値履歴!G5:'終値履歴'!XFD5)+3,1,-1)</f>
        <v>337</v>
      </c>
      <c r="F5" s="15">
        <f ca="1">OFFSET(終値履歴!A5,0,COUNTA(終値履歴!G5:'終値履歴'!XFD5)+4,1,-1)</f>
        <v>328</v>
      </c>
      <c r="G5" s="15">
        <f ca="1">OFFSET(終値履歴!A5,0,COUNTA(終値履歴!G5:'終値履歴'!XFD5)+5,1,-1)</f>
        <v>341</v>
      </c>
      <c r="I5" s="60">
        <f t="shared" ca="1" si="4"/>
        <v>3.9634146341463415E-2</v>
      </c>
      <c r="J5" s="60">
        <f t="shared" ca="1" si="5"/>
        <v>1.1869436201780416E-2</v>
      </c>
      <c r="K5" s="60">
        <f t="shared" ca="1" si="6"/>
        <v>1.488095238095238E-2</v>
      </c>
      <c r="M5" s="60">
        <f t="shared" ca="1" si="1"/>
        <v>-2.6706231454005934E-2</v>
      </c>
      <c r="N5" s="60">
        <f t="shared" ca="1" si="2"/>
        <v>-2.3809523809523808E-2</v>
      </c>
      <c r="P5" s="57" t="str">
        <f t="shared" ca="1" si="3"/>
        <v>＋13</v>
      </c>
      <c r="Q5" s="12" t="str">
        <f t="shared" ca="1" si="7"/>
        <v>割高</v>
      </c>
      <c r="R5" s="21">
        <f ca="1">終値履歴!D5</f>
        <v>336</v>
      </c>
      <c r="S5" s="107">
        <f t="shared" ca="1" si="8"/>
        <v>1.483679525222552E-2</v>
      </c>
      <c r="T5" s="21">
        <f ca="1">終値履歴!E5</f>
        <v>337.86666666666667</v>
      </c>
      <c r="U5" s="107">
        <f t="shared" ca="1" si="9"/>
        <v>9.1886608015640057E-3</v>
      </c>
      <c r="W5" s="21">
        <f ca="1">終値履歴!F5</f>
        <v>328</v>
      </c>
      <c r="X5" s="107">
        <f t="shared" ca="1" si="10"/>
        <v>3.8123167155425221E-2</v>
      </c>
    </row>
    <row r="6" spans="1:29" x14ac:dyDescent="0.25">
      <c r="B6" s="49" t="str">
        <f>IPO監視一覧!B3</f>
        <v>Ｍマート</v>
      </c>
      <c r="C6" s="198">
        <f>株価一覧!H5</f>
        <v>22600</v>
      </c>
      <c r="D6" s="15">
        <f ca="1">OFFSET(終値履歴!A6,0,COUNTA(終値履歴!G6:'終値履歴'!XFD6)+2,1,-1)</f>
        <v>3740</v>
      </c>
      <c r="E6" s="15">
        <f ca="1">OFFSET(終値履歴!A6,0,COUNTA(終値履歴!G6:'終値履歴'!XFD6)+3,1,-1)</f>
        <v>3870</v>
      </c>
      <c r="F6" s="15">
        <f ca="1">OFFSET(終値履歴!A6,0,COUNTA(終値履歴!G6:'終値履歴'!XFD6)+4,1,-1)</f>
        <v>3770</v>
      </c>
      <c r="G6" s="15">
        <f ca="1">OFFSET(終値履歴!A6,0,COUNTA(終値履歴!G6:'終値履歴'!XFD6)+5,1,-1)</f>
        <v>3555</v>
      </c>
      <c r="I6" s="60">
        <f t="shared" ca="1" si="4"/>
        <v>-5.7029177718832889E-2</v>
      </c>
      <c r="J6" s="60">
        <f t="shared" ca="1" si="5"/>
        <v>-8.1395348837209308E-2</v>
      </c>
      <c r="K6" s="60">
        <f t="shared" ca="1" si="6"/>
        <v>-4.9465240641711233E-2</v>
      </c>
      <c r="M6" s="60">
        <f ca="1">(F6-E6)/E6</f>
        <v>-2.5839793281653745E-2</v>
      </c>
      <c r="N6" s="60">
        <f ca="1">(F6-D6)/D6</f>
        <v>8.0213903743315516E-3</v>
      </c>
      <c r="P6" s="57">
        <f ca="1">IF(G6-F6 &gt; 0,CONCATENATE("＋",G6-F6),G6-F6)</f>
        <v>-215</v>
      </c>
      <c r="Q6" s="12" t="str">
        <f t="shared" ca="1" si="7"/>
        <v>割安</v>
      </c>
      <c r="R6" s="227">
        <f ca="1">終値履歴!D6</f>
        <v>3705</v>
      </c>
      <c r="S6" s="107">
        <f t="shared" ref="S6:S8" ca="1" si="11">(G6-R6)/E6</f>
        <v>-3.875968992248062E-2</v>
      </c>
      <c r="T6" s="227">
        <f ca="1">終値履歴!E6</f>
        <v>3668</v>
      </c>
      <c r="U6" s="107">
        <f t="shared" ref="U6:U11" ca="1" si="12">(G6-T6)/G6</f>
        <v>-3.1786216596343175E-2</v>
      </c>
      <c r="W6" s="227">
        <f ca="1">終値履歴!F6</f>
        <v>3525</v>
      </c>
      <c r="X6" s="107">
        <f t="shared" ref="X6:X11" ca="1" si="13">(G6-W6)/G6</f>
        <v>8.4388185654008432E-3</v>
      </c>
    </row>
    <row r="7" spans="1:29" x14ac:dyDescent="0.25">
      <c r="B7" s="49" t="str">
        <f>IPO監視一覧!B4</f>
        <v>ジェイテックコーポレーション</v>
      </c>
      <c r="C7" s="198">
        <f>株価一覧!H6</f>
        <v>142400</v>
      </c>
      <c r="D7" s="15">
        <f ca="1">OFFSET(終値履歴!A7,0,COUNTA(終値履歴!G7:'終値履歴'!XFD7)+2,1,-1)</f>
        <v>8160</v>
      </c>
      <c r="E7" s="15">
        <f ca="1">OFFSET(終値履歴!A7,0,COUNTA(終値履歴!G7:'終値履歴'!XFD7)+3,1,-1)</f>
        <v>8410</v>
      </c>
      <c r="F7" s="15">
        <f ca="1">OFFSET(終値履歴!A7,0,COUNTA(終値履歴!G7:'終値履歴'!XFD7)+4,1,-1)</f>
        <v>7320</v>
      </c>
      <c r="G7" s="15">
        <f ca="1">OFFSET(終値履歴!A7,0,COUNTA(終値履歴!G7:'終値履歴'!XFD7)+5,1,-1)</f>
        <v>7080</v>
      </c>
      <c r="I7" s="60">
        <f t="shared" ca="1" si="4"/>
        <v>-3.2786885245901641E-2</v>
      </c>
      <c r="J7" s="60">
        <f t="shared" ca="1" si="5"/>
        <v>-0.15814506539833531</v>
      </c>
      <c r="K7" s="60">
        <f t="shared" ca="1" si="6"/>
        <v>-0.13235294117647059</v>
      </c>
      <c r="M7" s="60">
        <f t="shared" ref="M7:M11" ca="1" si="14">(F7-E7)/E7</f>
        <v>-0.12960760998810938</v>
      </c>
      <c r="N7" s="60">
        <f t="shared" ref="N7:N11" ca="1" si="15">(F7-D7)/D7</f>
        <v>-0.10294117647058823</v>
      </c>
      <c r="P7" s="57">
        <f t="shared" ref="P7:P11" ca="1" si="16">IF(G7-F7 &gt; 0,CONCATENATE("＋",G7-F7),G7-F7)</f>
        <v>-240</v>
      </c>
      <c r="Q7" s="12" t="str">
        <f t="shared" ca="1" si="7"/>
        <v>割安</v>
      </c>
      <c r="R7" s="227">
        <f ca="1">終値履歴!D7</f>
        <v>7820</v>
      </c>
      <c r="S7" s="107">
        <f t="shared" ca="1" si="11"/>
        <v>-8.7990487514863255E-2</v>
      </c>
      <c r="T7" s="227">
        <f ca="1">終値履歴!E7</f>
        <v>8361.3333333333339</v>
      </c>
      <c r="U7" s="107">
        <f t="shared" ca="1" si="12"/>
        <v>-0.18097928436911495</v>
      </c>
      <c r="W7" s="227">
        <f ca="1">終値履歴!F7</f>
        <v>7080</v>
      </c>
      <c r="X7" s="107">
        <f t="shared" ca="1" si="13"/>
        <v>0</v>
      </c>
    </row>
    <row r="8" spans="1:29" x14ac:dyDescent="0.25">
      <c r="B8" s="49" t="str">
        <f>IPO監視一覧!B5</f>
        <v>ＳＥＲＩＯＨＤ</v>
      </c>
      <c r="C8" s="198">
        <f>株価一覧!H7</f>
        <v>5900</v>
      </c>
      <c r="D8" s="15">
        <f ca="1">OFFSET(終値履歴!A8,0,COUNTA(終値履歴!G8:'終値履歴'!XFD8)+2,1,-1)</f>
        <v>2146</v>
      </c>
      <c r="E8" s="15">
        <f ca="1">OFFSET(終値履歴!A8,0,COUNTA(終値履歴!G8:'終値履歴'!XFD8)+3,1,-1)</f>
        <v>2212</v>
      </c>
      <c r="F8" s="15">
        <f ca="1">OFFSET(終値履歴!A8,0,COUNTA(終値履歴!G8:'終値履歴'!XFD8)+4,1,-1)</f>
        <v>2076</v>
      </c>
      <c r="G8" s="15">
        <f ca="1">OFFSET(終値履歴!A8,0,COUNTA(終値履歴!G8:'終値履歴'!XFD8)+5,1,-1)</f>
        <v>2021</v>
      </c>
      <c r="I8" s="60">
        <f t="shared" ca="1" si="4"/>
        <v>-2.6493256262042388E-2</v>
      </c>
      <c r="J8" s="60">
        <f t="shared" ca="1" si="5"/>
        <v>-8.6347197106690782E-2</v>
      </c>
      <c r="K8" s="60">
        <f t="shared" ca="1" si="6"/>
        <v>-5.8247903075489285E-2</v>
      </c>
      <c r="M8" s="60">
        <f t="shared" ca="1" si="14"/>
        <v>-6.148282097649186E-2</v>
      </c>
      <c r="N8" s="60">
        <f t="shared" ca="1" si="15"/>
        <v>-3.2618825722273995E-2</v>
      </c>
      <c r="P8" s="57">
        <f t="shared" ca="1" si="16"/>
        <v>-55</v>
      </c>
      <c r="Q8" s="12" t="str">
        <f t="shared" ca="1" si="7"/>
        <v>割安</v>
      </c>
      <c r="R8" s="227">
        <f ca="1">終値履歴!D8</f>
        <v>2113</v>
      </c>
      <c r="S8" s="107">
        <f t="shared" ca="1" si="11"/>
        <v>-4.1591320072332731E-2</v>
      </c>
      <c r="T8" s="227">
        <f ca="1">終値履歴!E8</f>
        <v>2105.6</v>
      </c>
      <c r="U8" s="107">
        <f t="shared" ca="1" si="12"/>
        <v>-4.1860465116279028E-2</v>
      </c>
      <c r="W8" s="227">
        <f ca="1">終値履歴!F8</f>
        <v>2008</v>
      </c>
      <c r="X8" s="107">
        <f t="shared" ca="1" si="13"/>
        <v>6.4324591786244431E-3</v>
      </c>
    </row>
    <row r="9" spans="1:29" x14ac:dyDescent="0.25">
      <c r="B9" s="49" t="str">
        <f>IPO監視一覧!B6</f>
        <v>神戸天然物化学</v>
      </c>
      <c r="C9" s="198">
        <f>株価一覧!H8</f>
        <v>168600</v>
      </c>
      <c r="D9" s="15">
        <f ca="1">OFFSET(終値履歴!A9,0,COUNTA(終値履歴!G9:'終値履歴'!XFD9)+2,1,-1)</f>
        <v>3455</v>
      </c>
      <c r="E9" s="15">
        <f ca="1">OFFSET(終値履歴!A9,0,COUNTA(終値履歴!G9:'終値履歴'!XFD9)+3,1,-1)</f>
        <v>3635</v>
      </c>
      <c r="F9" s="15">
        <f ca="1">OFFSET(終値履歴!A9,0,COUNTA(終値履歴!G9:'終値履歴'!XFD9)+4,1,-1)</f>
        <v>3350</v>
      </c>
      <c r="G9" s="15">
        <f ca="1">OFFSET(終値履歴!A9,0,COUNTA(終値履歴!G9:'終値履歴'!XFD9)+5,1,-1)</f>
        <v>3225</v>
      </c>
      <c r="I9" s="60">
        <f t="shared" ca="1" si="4"/>
        <v>-3.7313432835820892E-2</v>
      </c>
      <c r="J9" s="60">
        <f t="shared" ca="1" si="5"/>
        <v>-0.11279229711141678</v>
      </c>
      <c r="K9" s="60">
        <f t="shared" ca="1" si="6"/>
        <v>-6.6570188133140376E-2</v>
      </c>
      <c r="M9" s="60">
        <f t="shared" ca="1" si="14"/>
        <v>-7.8404401650618988E-2</v>
      </c>
      <c r="N9" s="60">
        <f t="shared" ca="1" si="15"/>
        <v>-3.0390738060781478E-2</v>
      </c>
      <c r="P9" s="57">
        <f t="shared" ca="1" si="16"/>
        <v>-125</v>
      </c>
      <c r="Q9" s="12" t="str">
        <f t="shared" ca="1" si="7"/>
        <v>割安</v>
      </c>
      <c r="R9" s="227">
        <f ca="1">終値履歴!D9</f>
        <v>3444</v>
      </c>
      <c r="S9" s="107">
        <f ca="1">(G9-R9)/E9</f>
        <v>-6.0247592847317746E-2</v>
      </c>
      <c r="T9" s="227">
        <f ca="1">終値履歴!E9</f>
        <v>3576.6666666666665</v>
      </c>
      <c r="U9" s="107">
        <f t="shared" ca="1" si="12"/>
        <v>-0.10904392764857876</v>
      </c>
      <c r="W9" s="227">
        <f ca="1">終値履歴!F9</f>
        <v>3225</v>
      </c>
      <c r="X9" s="107">
        <f t="shared" ca="1" si="13"/>
        <v>0</v>
      </c>
    </row>
    <row r="10" spans="1:29" x14ac:dyDescent="0.25">
      <c r="B10" s="49" t="str">
        <f>IPO監視一覧!B7</f>
        <v>日総工産</v>
      </c>
      <c r="C10" s="198">
        <f>株価一覧!H9</f>
        <v>66400</v>
      </c>
      <c r="D10" s="15">
        <f ca="1">OFFSET(終値履歴!A10,0,COUNTA(終値履歴!G10:'終値履歴'!XFD10)+2,1,-1)</f>
        <v>4565</v>
      </c>
      <c r="E10" s="15">
        <f ca="1">OFFSET(終値履歴!A10,0,COUNTA(終値履歴!G10:'終値履歴'!XFD10)+3,1,-1)</f>
        <v>4795</v>
      </c>
      <c r="F10" s="15">
        <f ca="1">OFFSET(終値履歴!A10,0,COUNTA(終値履歴!G10:'終値履歴'!XFD10)+4,1,-1)</f>
        <v>4865</v>
      </c>
      <c r="G10" s="15">
        <f ca="1">OFFSET(終値履歴!A10,0,COUNTA(終値履歴!G10:'終値履歴'!XFD10)+5,1,-1)</f>
        <v>4860</v>
      </c>
      <c r="I10" s="60">
        <f t="shared" ca="1" si="4"/>
        <v>-1.0277492291880781E-3</v>
      </c>
      <c r="J10" s="60">
        <f t="shared" ca="1" si="5"/>
        <v>1.3555787278415016E-2</v>
      </c>
      <c r="K10" s="60">
        <f t="shared" ca="1" si="6"/>
        <v>6.4622124863088715E-2</v>
      </c>
      <c r="M10" s="60">
        <f t="shared" ca="1" si="14"/>
        <v>1.4598540145985401E-2</v>
      </c>
      <c r="N10" s="60">
        <f t="shared" ca="1" si="15"/>
        <v>6.5717415115005479E-2</v>
      </c>
      <c r="P10" s="57">
        <f t="shared" ca="1" si="16"/>
        <v>-5</v>
      </c>
      <c r="Q10" s="12" t="str">
        <f t="shared" ca="1" si="7"/>
        <v>割高</v>
      </c>
      <c r="R10" s="227">
        <f ca="1">終値履歴!D10</f>
        <v>4747</v>
      </c>
      <c r="S10" s="107">
        <f t="shared" ref="S10:S11" ca="1" si="17">(G10-R10)/E10</f>
        <v>2.3566214807090719E-2</v>
      </c>
      <c r="T10" s="227">
        <f ca="1">終値履歴!E10</f>
        <v>4431</v>
      </c>
      <c r="U10" s="107">
        <f t="shared" ca="1" si="12"/>
        <v>8.8271604938271603E-2</v>
      </c>
      <c r="W10" s="227">
        <f ca="1">終値履歴!F10</f>
        <v>3930</v>
      </c>
      <c r="X10" s="107">
        <f t="shared" ca="1" si="13"/>
        <v>0.19135802469135801</v>
      </c>
    </row>
    <row r="11" spans="1:29" x14ac:dyDescent="0.25">
      <c r="B11" s="49" t="str">
        <f>IPO監視一覧!B8</f>
        <v>フェイスネットワーク</v>
      </c>
      <c r="C11" s="198">
        <f>株価一覧!H10</f>
        <v>35500</v>
      </c>
      <c r="D11" s="15">
        <f ca="1">OFFSET(終値履歴!A11,0,COUNTA(終値履歴!G11:'終値履歴'!XFD11)+2,1,-1)</f>
        <v>1917</v>
      </c>
      <c r="E11" s="15">
        <f ca="1">OFFSET(終値履歴!A11,0,COUNTA(終値履歴!G11:'終値履歴'!XFD11)+3,1,-1)</f>
        <v>2018</v>
      </c>
      <c r="F11" s="15">
        <f ca="1">OFFSET(終値履歴!A11,0,COUNTA(終値履歴!G11:'終値履歴'!XFD11)+4,1,-1)</f>
        <v>2105</v>
      </c>
      <c r="G11" s="15">
        <f ca="1">OFFSET(終値履歴!A11,0,COUNTA(終値履歴!G11:'終値履歴'!XFD11)+5,1,-1)</f>
        <v>2033</v>
      </c>
      <c r="I11" s="60">
        <f t="shared" ca="1" si="4"/>
        <v>-3.4204275534441803E-2</v>
      </c>
      <c r="J11" s="60">
        <f t="shared" ca="1" si="5"/>
        <v>7.4331020812685826E-3</v>
      </c>
      <c r="K11" s="60">
        <f t="shared" ca="1" si="6"/>
        <v>6.0511215440792902E-2</v>
      </c>
      <c r="M11" s="60">
        <f t="shared" ca="1" si="14"/>
        <v>4.3111992071357783E-2</v>
      </c>
      <c r="N11" s="60">
        <f t="shared" ca="1" si="15"/>
        <v>9.80699008868023E-2</v>
      </c>
      <c r="P11" s="57">
        <f t="shared" ca="1" si="16"/>
        <v>-72</v>
      </c>
      <c r="Q11" s="12" t="str">
        <f t="shared" ca="1" si="7"/>
        <v>割高</v>
      </c>
      <c r="R11" s="227">
        <f ca="1">終値履歴!D11</f>
        <v>1995.2</v>
      </c>
      <c r="S11" s="107">
        <f t="shared" ca="1" si="17"/>
        <v>1.8731417244796805E-2</v>
      </c>
      <c r="T11" s="227">
        <f ca="1">終値履歴!E11</f>
        <v>1922.4</v>
      </c>
      <c r="U11" s="107">
        <f t="shared" ca="1" si="12"/>
        <v>5.4402361042793855E-2</v>
      </c>
      <c r="W11" s="227">
        <f ca="1">終値履歴!F11</f>
        <v>1794</v>
      </c>
      <c r="X11" s="107">
        <f t="shared" ca="1" si="13"/>
        <v>0.11756025577963601</v>
      </c>
    </row>
    <row r="12" spans="1:29" x14ac:dyDescent="0.25">
      <c r="B12" s="49" t="str">
        <f>IPO監視一覧!B9</f>
        <v>共和コーポレーション</v>
      </c>
      <c r="C12" s="62">
        <f>株価一覧!H11</f>
        <v>53600</v>
      </c>
      <c r="D12" s="15">
        <f ca="1">OFFSET(終値履歴!A12,0,COUNTA(終値履歴!G12:'終値履歴'!XFD12)+2,1,-1)</f>
        <v>2047</v>
      </c>
      <c r="E12" s="15">
        <f ca="1">OFFSET(終値履歴!A12,0,COUNTA(終値履歴!G12:'終値履歴'!XFD12)+3,1,-1)</f>
        <v>2018</v>
      </c>
      <c r="F12" s="15">
        <f ca="1">OFFSET(終値履歴!A12,0,COUNTA(終値履歴!G12:'終値履歴'!XFD12)+4,1,-1)</f>
        <v>1799</v>
      </c>
      <c r="G12" s="15">
        <f ca="1">OFFSET(終値履歴!A12,0,COUNTA(終値履歴!G12:'終値履歴'!XFD12)+5,1,-1)</f>
        <v>1702</v>
      </c>
      <c r="I12" s="60">
        <f t="shared" ca="1" si="4"/>
        <v>-5.3918843802112287E-2</v>
      </c>
      <c r="J12" s="60">
        <f t="shared" ca="1" si="5"/>
        <v>-0.15659068384539149</v>
      </c>
      <c r="K12" s="60">
        <f t="shared" ca="1" si="6"/>
        <v>-0.16853932584269662</v>
      </c>
      <c r="M12" s="60">
        <f t="shared" ref="M12" ca="1" si="18">(F12-E12)/E12</f>
        <v>-0.10852329038652131</v>
      </c>
      <c r="N12" s="60">
        <f t="shared" ref="N12" ca="1" si="19">(F12-D12)/D12</f>
        <v>-0.12115290669272105</v>
      </c>
      <c r="P12" s="57">
        <f t="shared" ref="P12" ca="1" si="20">IF(G12-F12 &gt; 0,CONCATENATE("＋",G12-F12),G12-F12)</f>
        <v>-97</v>
      </c>
      <c r="Q12" s="12" t="str">
        <f t="shared" ca="1" si="7"/>
        <v>割安</v>
      </c>
      <c r="R12" s="21">
        <f ca="1">終値履歴!D12</f>
        <v>1927</v>
      </c>
      <c r="S12" s="107">
        <f t="shared" ref="S12" ca="1" si="21">(G12-R12)/E12</f>
        <v>-0.11149653121902874</v>
      </c>
      <c r="T12" s="21">
        <f ca="1">終値履歴!E12</f>
        <v>1965.2</v>
      </c>
      <c r="U12" s="107">
        <f t="shared" ref="U12" ca="1" si="22">(G12-T12)/G12</f>
        <v>-0.154641598119859</v>
      </c>
      <c r="W12" s="21">
        <f ca="1">終値履歴!F12</f>
        <v>1702</v>
      </c>
      <c r="X12" s="107">
        <f t="shared" ref="X12" ca="1" si="23">(G12-W12)/G12</f>
        <v>0</v>
      </c>
    </row>
    <row r="13" spans="1:29" x14ac:dyDescent="0.25">
      <c r="B13" s="49" t="str">
        <f>IPO監視一覧!B10</f>
        <v>信和</v>
      </c>
      <c r="C13" s="62">
        <f>株価一覧!H12</f>
        <v>243100</v>
      </c>
      <c r="D13" s="15">
        <f ca="1">OFFSET(終値履歴!A13,0,COUNTA(終値履歴!G13:'終値履歴'!XFD13)+2,1,-1)</f>
        <v>1158</v>
      </c>
      <c r="E13" s="15">
        <f ca="1">OFFSET(終値履歴!A13,0,COUNTA(終値履歴!G13:'終値履歴'!XFD13)+3,1,-1)</f>
        <v>1163</v>
      </c>
      <c r="F13" s="15">
        <f ca="1">OFFSET(終値履歴!A13,0,COUNTA(終値履歴!G13:'終値履歴'!XFD13)+4,1,-1)</f>
        <v>1170</v>
      </c>
      <c r="G13" s="15">
        <f ca="1">OFFSET(終値履歴!A13,0,COUNTA(終値履歴!G13:'終値履歴'!XFD13)+5,1,-1)</f>
        <v>1154</v>
      </c>
      <c r="I13" s="60">
        <f t="shared" ca="1" si="4"/>
        <v>-1.3675213675213675E-2</v>
      </c>
      <c r="J13" s="60">
        <f t="shared" ca="1" si="5"/>
        <v>-7.7386070507308681E-3</v>
      </c>
      <c r="K13" s="60">
        <f t="shared" ca="1" si="6"/>
        <v>-3.4542314335060447E-3</v>
      </c>
      <c r="M13" s="60">
        <f t="shared" ref="M13:M25" ca="1" si="24">(F13-E13)/E13</f>
        <v>6.0189165950128975E-3</v>
      </c>
      <c r="N13" s="60">
        <f t="shared" ref="N13:N25" ca="1" si="25">(F13-D13)/D13</f>
        <v>1.0362694300518135E-2</v>
      </c>
      <c r="P13" s="57">
        <f t="shared" ref="P13:P25" ca="1" si="26">IF(G13-F13 &gt; 0,CONCATENATE("＋",G13-F13),G13-F13)</f>
        <v>-16</v>
      </c>
      <c r="Q13" s="12" t="str">
        <f t="shared" ca="1" si="7"/>
        <v>普通</v>
      </c>
      <c r="R13" s="21">
        <f ca="1">終値履歴!D13</f>
        <v>1162</v>
      </c>
      <c r="S13" s="107">
        <f t="shared" ref="S13:S25" ca="1" si="27">(G13-R13)/E13</f>
        <v>-6.8787618228718832E-3</v>
      </c>
      <c r="T13" s="21">
        <f ca="1">終値履歴!E13</f>
        <v>1126.0666666666666</v>
      </c>
      <c r="U13" s="107">
        <f t="shared" ref="U13:U25" ca="1" si="28">(G13-T13)/G13</f>
        <v>2.420566146735996E-2</v>
      </c>
      <c r="W13" s="21">
        <f ca="1">終値履歴!F13</f>
        <v>1096</v>
      </c>
      <c r="X13" s="107">
        <f t="shared" ref="X13:X25" ca="1" si="29">(G13-W13)/G13</f>
        <v>5.0259965337954939E-2</v>
      </c>
    </row>
    <row r="14" spans="1:29" x14ac:dyDescent="0.25">
      <c r="B14" s="49" t="str">
        <f>IPO監視一覧!B11</f>
        <v>ＳＯＵ</v>
      </c>
      <c r="C14" s="62">
        <f>株価一覧!H13</f>
        <v>99800</v>
      </c>
      <c r="D14" s="15">
        <f ca="1">OFFSET(終値履歴!A14,0,COUNTA(終値履歴!G14:'終値履歴'!XFD14)+2,1,-1)</f>
        <v>5450</v>
      </c>
      <c r="E14" s="15">
        <f ca="1">OFFSET(終値履歴!A14,0,COUNTA(終値履歴!G14:'終値履歴'!XFD14)+3,1,-1)</f>
        <v>5160</v>
      </c>
      <c r="F14" s="15">
        <f ca="1">OFFSET(終値履歴!A14,0,COUNTA(終値履歴!G14:'終値履歴'!XFD14)+4,1,-1)</f>
        <v>5170</v>
      </c>
      <c r="G14" s="15">
        <f ca="1">OFFSET(終値履歴!A14,0,COUNTA(終値履歴!G14:'終値履歴'!XFD14)+5,1,-1)</f>
        <v>4900</v>
      </c>
      <c r="I14" s="60">
        <f t="shared" ca="1" si="4"/>
        <v>-5.2224371373307543E-2</v>
      </c>
      <c r="J14" s="60">
        <f t="shared" ca="1" si="5"/>
        <v>-5.0387596899224806E-2</v>
      </c>
      <c r="K14" s="60">
        <f t="shared" ca="1" si="6"/>
        <v>-0.10091743119266056</v>
      </c>
      <c r="M14" s="60">
        <f t="shared" ca="1" si="24"/>
        <v>1.937984496124031E-3</v>
      </c>
      <c r="N14" s="60">
        <f t="shared" ca="1" si="25"/>
        <v>-5.1376146788990829E-2</v>
      </c>
      <c r="P14" s="57">
        <f t="shared" ca="1" si="26"/>
        <v>-270</v>
      </c>
      <c r="Q14" s="12" t="str">
        <f t="shared" ca="1" si="7"/>
        <v>割安</v>
      </c>
      <c r="R14" s="21">
        <f ca="1">終値履歴!D14</f>
        <v>5266</v>
      </c>
      <c r="S14" s="107">
        <f t="shared" ca="1" si="27"/>
        <v>-7.093023255813953E-2</v>
      </c>
      <c r="T14" s="21">
        <f ca="1">終値履歴!E14</f>
        <v>5591.333333333333</v>
      </c>
      <c r="U14" s="107">
        <f t="shared" ca="1" si="28"/>
        <v>-0.14108843537414958</v>
      </c>
      <c r="W14" s="21">
        <f ca="1">終値履歴!F14</f>
        <v>4900</v>
      </c>
      <c r="X14" s="107">
        <f t="shared" ca="1" si="29"/>
        <v>0</v>
      </c>
    </row>
    <row r="15" spans="1:29" x14ac:dyDescent="0.25">
      <c r="B15" s="49" t="str">
        <f>IPO監視一覧!B12</f>
        <v>キュービーネットHD</v>
      </c>
      <c r="C15" s="62">
        <f>株価一覧!H14</f>
        <v>252900</v>
      </c>
      <c r="D15" s="15">
        <f ca="1">OFFSET(終値履歴!A15,0,COUNTA(終値履歴!G15:'終値履歴'!XFD15)+2,1,-1)</f>
        <v>1947</v>
      </c>
      <c r="E15" s="15">
        <f ca="1">OFFSET(終値履歴!A15,0,COUNTA(終値履歴!G15:'終値履歴'!XFD15)+3,1,-1)</f>
        <v>1924</v>
      </c>
      <c r="F15" s="15">
        <f ca="1">OFFSET(終値履歴!A15,0,COUNTA(終値履歴!G15:'終値履歴'!XFD15)+4,1,-1)</f>
        <v>1963</v>
      </c>
      <c r="G15" s="15">
        <f ca="1">OFFSET(終値履歴!A15,0,COUNTA(終値履歴!G15:'終値履歴'!XFD15)+5,1,-1)</f>
        <v>1896</v>
      </c>
      <c r="I15" s="60">
        <f t="shared" ca="1" si="4"/>
        <v>-3.4131431482424861E-2</v>
      </c>
      <c r="J15" s="60">
        <f t="shared" ca="1" si="5"/>
        <v>-1.4553014553014554E-2</v>
      </c>
      <c r="K15" s="60">
        <f t="shared" ca="1" si="6"/>
        <v>-2.6194144838212634E-2</v>
      </c>
      <c r="M15" s="60">
        <f t="shared" ca="1" si="24"/>
        <v>2.0270270270270271E-2</v>
      </c>
      <c r="N15" s="60">
        <f t="shared" ca="1" si="25"/>
        <v>8.2177709296353367E-3</v>
      </c>
      <c r="P15" s="57">
        <f t="shared" ca="1" si="26"/>
        <v>-67</v>
      </c>
      <c r="Q15" s="12" t="str">
        <f t="shared" ca="1" si="7"/>
        <v>割安</v>
      </c>
      <c r="R15" s="21">
        <f ca="1">終値履歴!D15</f>
        <v>1936.4</v>
      </c>
      <c r="S15" s="107">
        <f t="shared" ca="1" si="27"/>
        <v>-2.0997920997921044E-2</v>
      </c>
      <c r="T15" s="21">
        <f ca="1">終値履歴!E15</f>
        <v>2012.2</v>
      </c>
      <c r="U15" s="107">
        <f t="shared" ca="1" si="28"/>
        <v>-6.1286919831223655E-2</v>
      </c>
      <c r="W15" s="21">
        <f ca="1">終値履歴!F15</f>
        <v>1876</v>
      </c>
      <c r="X15" s="107">
        <f t="shared" ca="1" si="29"/>
        <v>1.0548523206751054E-2</v>
      </c>
    </row>
    <row r="16" spans="1:29" x14ac:dyDescent="0.25">
      <c r="B16" s="49" t="str">
        <f>IPO監視一覧!B13</f>
        <v>ファイバーゲート</v>
      </c>
      <c r="C16" s="62">
        <f>株価一覧!H15</f>
        <v>591900</v>
      </c>
      <c r="D16" s="15">
        <f ca="1">OFFSET(終値履歴!A16,0,COUNTA(終値履歴!G16:'終値履歴'!XFD16)+2,1,-1)</f>
        <v>2384</v>
      </c>
      <c r="E16" s="15">
        <f ca="1">OFFSET(終値履歴!A16,0,COUNTA(終値履歴!G16:'終値履歴'!XFD16)+3,1,-1)</f>
        <v>2370</v>
      </c>
      <c r="F16" s="15">
        <f ca="1">OFFSET(終値履歴!A16,0,COUNTA(終値履歴!G16:'終値履歴'!XFD16)+4,1,-1)</f>
        <v>2448</v>
      </c>
      <c r="G16" s="15">
        <f ca="1">OFFSET(終値履歴!A16,0,COUNTA(終値履歴!G16:'終値履歴'!XFD16)+5,1,-1)</f>
        <v>2749</v>
      </c>
      <c r="I16" s="60">
        <f t="shared" ca="1" si="4"/>
        <v>0.12295751633986927</v>
      </c>
      <c r="J16" s="60">
        <f t="shared" ca="1" si="5"/>
        <v>0.15991561181434599</v>
      </c>
      <c r="K16" s="60">
        <f t="shared" ca="1" si="6"/>
        <v>0.15310402684563759</v>
      </c>
      <c r="M16" s="60">
        <f t="shared" ca="1" si="24"/>
        <v>3.2911392405063293E-2</v>
      </c>
      <c r="N16" s="60">
        <f t="shared" ca="1" si="25"/>
        <v>2.6845637583892617E-2</v>
      </c>
      <c r="P16" s="57" t="str">
        <f t="shared" ca="1" si="26"/>
        <v>＋301</v>
      </c>
      <c r="Q16" s="12" t="str">
        <f t="shared" ca="1" si="7"/>
        <v>割高</v>
      </c>
      <c r="R16" s="21">
        <f ca="1">終値履歴!D16</f>
        <v>2513</v>
      </c>
      <c r="S16" s="107">
        <f t="shared" ca="1" si="27"/>
        <v>9.9578059071729952E-2</v>
      </c>
      <c r="T16" s="21">
        <f ca="1">終値履歴!E16</f>
        <v>2400</v>
      </c>
      <c r="U16" s="107">
        <f t="shared" ca="1" si="28"/>
        <v>0.12695525645689343</v>
      </c>
      <c r="W16" s="21">
        <f ca="1">終値履歴!F16</f>
        <v>2210</v>
      </c>
      <c r="X16" s="107">
        <f t="shared" ca="1" si="29"/>
        <v>0.19607129865405601</v>
      </c>
    </row>
    <row r="17" spans="2:24" x14ac:dyDescent="0.25">
      <c r="B17" s="49" t="str">
        <f>IPO監視一覧!B14</f>
        <v>ＲＰＡHD</v>
      </c>
      <c r="C17" s="62">
        <f>株価一覧!H16</f>
        <v>37600</v>
      </c>
      <c r="D17" s="15">
        <f ca="1">OFFSET(終値履歴!A17,0,COUNTA(終値履歴!G17:'終値履歴'!XFD17)+2,1,-1)</f>
        <v>14450</v>
      </c>
      <c r="E17" s="15">
        <f ca="1">OFFSET(終値履歴!A17,0,COUNTA(終値履歴!G17:'終値履歴'!XFD17)+3,1,-1)</f>
        <v>14020</v>
      </c>
      <c r="F17" s="15">
        <f ca="1">OFFSET(終値履歴!A17,0,COUNTA(終値履歴!G17:'終値履歴'!XFD17)+4,1,-1)</f>
        <v>14050</v>
      </c>
      <c r="G17" s="15">
        <f ca="1">OFFSET(終値履歴!A17,0,COUNTA(終値履歴!G17:'終値履歴'!XFD17)+5,1,-1)</f>
        <v>14170</v>
      </c>
      <c r="I17" s="60">
        <f t="shared" ca="1" si="4"/>
        <v>8.5409252669039152E-3</v>
      </c>
      <c r="J17" s="60">
        <f t="shared" ca="1" si="5"/>
        <v>1.0699001426533523E-2</v>
      </c>
      <c r="K17" s="60">
        <f t="shared" ca="1" si="6"/>
        <v>-1.9377162629757784E-2</v>
      </c>
      <c r="M17" s="60">
        <f t="shared" ca="1" si="24"/>
        <v>2.1398002853067048E-3</v>
      </c>
      <c r="N17" s="60">
        <f t="shared" ca="1" si="25"/>
        <v>-2.768166089965398E-2</v>
      </c>
      <c r="P17" s="57" t="str">
        <f t="shared" ca="1" si="26"/>
        <v>＋120</v>
      </c>
      <c r="Q17" s="12" t="str">
        <f t="shared" ca="1" si="7"/>
        <v>割安</v>
      </c>
      <c r="R17" s="21">
        <f ca="1">終値履歴!D17</f>
        <v>14214</v>
      </c>
      <c r="S17" s="107">
        <f t="shared" ca="1" si="27"/>
        <v>-3.1383737517831668E-3</v>
      </c>
      <c r="T17" s="21">
        <f ca="1">終値履歴!E17</f>
        <v>15702</v>
      </c>
      <c r="U17" s="107">
        <f t="shared" ca="1" si="28"/>
        <v>-0.10811573747353564</v>
      </c>
      <c r="W17" s="21">
        <f ca="1">終値履歴!F17</f>
        <v>14020</v>
      </c>
      <c r="X17" s="107">
        <f t="shared" ca="1" si="29"/>
        <v>1.058574453069866E-2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140600</v>
      </c>
      <c r="D18" s="15">
        <f ca="1">OFFSET(終値履歴!A18,0,COUNTA(終値履歴!G18:'終値履歴'!XFD18)+2,1,-1)</f>
        <v>7870</v>
      </c>
      <c r="E18" s="15">
        <f ca="1">OFFSET(終値履歴!A18,0,COUNTA(終値履歴!G18:'終値履歴'!XFD18)+3,1,-1)</f>
        <v>7380</v>
      </c>
      <c r="F18" s="15">
        <f ca="1">OFFSET(終値履歴!A18,0,COUNTA(終値履歴!G18:'終値履歴'!XFD18)+4,1,-1)</f>
        <v>7800</v>
      </c>
      <c r="G18" s="15">
        <f ca="1">OFFSET(終値履歴!A18,0,COUNTA(終値履歴!G18:'終値履歴'!XFD18)+5,1,-1)</f>
        <v>8700</v>
      </c>
      <c r="I18" s="60">
        <f t="shared" ca="1" si="4"/>
        <v>0.11538461538461539</v>
      </c>
      <c r="J18" s="60">
        <f t="shared" ca="1" si="5"/>
        <v>0.17886178861788618</v>
      </c>
      <c r="K18" s="60">
        <f t="shared" ca="1" si="6"/>
        <v>0.10546378653113088</v>
      </c>
      <c r="M18" s="60">
        <f t="shared" ca="1" si="24"/>
        <v>5.6910569105691054E-2</v>
      </c>
      <c r="N18" s="60">
        <f t="shared" ca="1" si="25"/>
        <v>-8.8945362134688691E-3</v>
      </c>
      <c r="P18" s="57" t="str">
        <f t="shared" ca="1" si="26"/>
        <v>＋900</v>
      </c>
      <c r="Q18" s="12" t="str">
        <f t="shared" ca="1" si="7"/>
        <v>普通</v>
      </c>
      <c r="R18" s="21">
        <f ca="1">終値履歴!D18</f>
        <v>7998</v>
      </c>
      <c r="S18" s="107">
        <f t="shared" ca="1" si="27"/>
        <v>9.5121951219512196E-2</v>
      </c>
      <c r="T18" s="21">
        <f ca="1">終値履歴!E18</f>
        <v>9254.6666666666661</v>
      </c>
      <c r="U18" s="107">
        <f t="shared" ca="1" si="28"/>
        <v>-6.3754789272030585E-2</v>
      </c>
      <c r="W18" s="21">
        <f ca="1">終値履歴!F18</f>
        <v>7380</v>
      </c>
      <c r="X18" s="107">
        <f t="shared" ca="1" si="29"/>
        <v>0.15172413793103448</v>
      </c>
    </row>
    <row r="19" spans="2:24" x14ac:dyDescent="0.25">
      <c r="B19" s="49" t="str">
        <f>IPO監視一覧!B16</f>
        <v>アズ企画設計</v>
      </c>
      <c r="C19" s="62">
        <f>株価一覧!H18</f>
        <v>9400</v>
      </c>
      <c r="D19" s="15">
        <f ca="1">OFFSET(終値履歴!A19,0,COUNTA(終値履歴!G19:'終値履歴'!XFD19)+2,1,-1)</f>
        <v>3305</v>
      </c>
      <c r="E19" s="15">
        <f ca="1">OFFSET(終値履歴!A19,0,COUNTA(終値履歴!G19:'終値履歴'!XFD19)+3,1,-1)</f>
        <v>3355</v>
      </c>
      <c r="F19" s="15">
        <f ca="1">OFFSET(終値履歴!A19,0,COUNTA(終値履歴!G19:'終値履歴'!XFD19)+4,1,-1)</f>
        <v>3260</v>
      </c>
      <c r="G19" s="15">
        <f ca="1">OFFSET(終値履歴!A19,0,COUNTA(終値履歴!G19:'終値履歴'!XFD19)+5,1,-1)</f>
        <v>3185</v>
      </c>
      <c r="I19" s="60">
        <f t="shared" ca="1" si="4"/>
        <v>-2.3006134969325152E-2</v>
      </c>
      <c r="J19" s="60">
        <f t="shared" ca="1" si="5"/>
        <v>-5.0670640834575259E-2</v>
      </c>
      <c r="K19" s="60">
        <f t="shared" ca="1" si="6"/>
        <v>-3.6308623298033284E-2</v>
      </c>
      <c r="M19" s="60">
        <f t="shared" ca="1" si="24"/>
        <v>-2.8315946348733235E-2</v>
      </c>
      <c r="N19" s="60">
        <f t="shared" ca="1" si="25"/>
        <v>-1.3615733736762481E-2</v>
      </c>
      <c r="P19" s="57">
        <f t="shared" ca="1" si="26"/>
        <v>-75</v>
      </c>
      <c r="Q19" s="12" t="str">
        <f t="shared" ca="1" si="7"/>
        <v>割安</v>
      </c>
      <c r="R19" s="21">
        <f ca="1">終値履歴!D19</f>
        <v>3247</v>
      </c>
      <c r="S19" s="107">
        <f t="shared" ca="1" si="27"/>
        <v>-1.8479880774962744E-2</v>
      </c>
      <c r="T19" s="21">
        <f ca="1">終値履歴!E19</f>
        <v>3307.6666666666665</v>
      </c>
      <c r="U19" s="107">
        <f t="shared" ca="1" si="28"/>
        <v>-3.8513867085295611E-2</v>
      </c>
      <c r="W19" s="21">
        <f ca="1">終値履歴!F19</f>
        <v>3130</v>
      </c>
      <c r="X19" s="107">
        <f t="shared" ca="1" si="29"/>
        <v>1.726844583987441E-2</v>
      </c>
    </row>
    <row r="20" spans="2:24" x14ac:dyDescent="0.25">
      <c r="B20" s="49" t="str">
        <f>IPO監視一覧!B17</f>
        <v>和心</v>
      </c>
      <c r="C20" s="62">
        <f>株価一覧!H19</f>
        <v>171300</v>
      </c>
      <c r="D20" s="15">
        <f ca="1">OFFSET(終値履歴!A20,0,COUNTA(終値履歴!G20:'終値履歴'!XFD20)+2,1,-1)</f>
        <v>3725</v>
      </c>
      <c r="E20" s="15">
        <f ca="1">OFFSET(終値履歴!A20,0,COUNTA(終値履歴!G20:'終値履歴'!XFD20)+3,1,-1)</f>
        <v>3820</v>
      </c>
      <c r="F20" s="15">
        <f ca="1">OFFSET(終値履歴!A20,0,COUNTA(終値履歴!G20:'終値履歴'!XFD20)+4,1,-1)</f>
        <v>3380</v>
      </c>
      <c r="G20" s="15">
        <f ca="1">OFFSET(終値履歴!A20,0,COUNTA(終値履歴!G20:'終値履歴'!XFD20)+5,1,-1)</f>
        <v>2691</v>
      </c>
      <c r="I20" s="60">
        <f t="shared" ca="1" si="4"/>
        <v>-0.20384615384615384</v>
      </c>
      <c r="J20" s="60">
        <f t="shared" ca="1" si="5"/>
        <v>-0.29554973821989527</v>
      </c>
      <c r="K20" s="60">
        <f t="shared" ca="1" si="6"/>
        <v>-0.27758389261744965</v>
      </c>
      <c r="M20" s="60">
        <f t="shared" ca="1" si="24"/>
        <v>-0.11518324607329843</v>
      </c>
      <c r="N20" s="60">
        <f t="shared" ca="1" si="25"/>
        <v>-9.261744966442953E-2</v>
      </c>
      <c r="P20" s="57">
        <f t="shared" ca="1" si="26"/>
        <v>-689</v>
      </c>
      <c r="Q20" s="12" t="str">
        <f t="shared" ca="1" si="7"/>
        <v>割安</v>
      </c>
      <c r="R20" s="21">
        <f ca="1">終値履歴!D20</f>
        <v>3487.2</v>
      </c>
      <c r="S20" s="107">
        <f t="shared" ca="1" si="27"/>
        <v>-0.20842931937172771</v>
      </c>
      <c r="T20" s="21">
        <f ca="1">終値履歴!E20</f>
        <v>3496.4</v>
      </c>
      <c r="U20" s="107">
        <f t="shared" ca="1" si="28"/>
        <v>-0.29929394277220367</v>
      </c>
      <c r="W20" s="21">
        <f ca="1">終値履歴!F20</f>
        <v>2691</v>
      </c>
      <c r="X20" s="107">
        <f t="shared" ca="1" si="29"/>
        <v>0</v>
      </c>
    </row>
    <row r="21" spans="2:24" x14ac:dyDescent="0.25">
      <c r="B21" s="49" t="str">
        <f>IPO監視一覧!B18</f>
        <v>日本リビング保証</v>
      </c>
      <c r="C21" s="62">
        <f>株価一覧!H20</f>
        <v>4400</v>
      </c>
      <c r="D21" s="15">
        <f ca="1">OFFSET(終値履歴!A21,0,COUNTA(終値履歴!G21:'終値履歴'!XFD21)+2,1,-1)</f>
        <v>3340</v>
      </c>
      <c r="E21" s="15">
        <f ca="1">OFFSET(終値履歴!A21,0,COUNTA(終値履歴!G21:'終値履歴'!XFD21)+3,1,-1)</f>
        <v>3510</v>
      </c>
      <c r="F21" s="15">
        <f ca="1">OFFSET(終値履歴!A21,0,COUNTA(終値履歴!G21:'終値履歴'!XFD21)+4,1,-1)</f>
        <v>3530</v>
      </c>
      <c r="G21" s="15">
        <f ca="1">OFFSET(終値履歴!A21,0,COUNTA(終値履歴!G21:'終値履歴'!XFD21)+5,1,-1)</f>
        <v>3215</v>
      </c>
      <c r="I21" s="60">
        <f t="shared" ca="1" si="4"/>
        <v>-8.9235127478753534E-2</v>
      </c>
      <c r="J21" s="60">
        <f t="shared" ca="1" si="5"/>
        <v>-8.4045584045584043E-2</v>
      </c>
      <c r="K21" s="60">
        <f t="shared" ca="1" si="6"/>
        <v>-3.7425149700598799E-2</v>
      </c>
      <c r="M21" s="60">
        <f t="shared" ca="1" si="24"/>
        <v>5.6980056980056983E-3</v>
      </c>
      <c r="N21" s="60">
        <f t="shared" ca="1" si="25"/>
        <v>5.6886227544910177E-2</v>
      </c>
      <c r="P21" s="57">
        <f t="shared" ca="1" si="26"/>
        <v>-315</v>
      </c>
      <c r="Q21" s="12" t="str">
        <f t="shared" ca="1" si="7"/>
        <v>割安</v>
      </c>
      <c r="R21" s="21">
        <f ca="1">終値履歴!D21</f>
        <v>3387</v>
      </c>
      <c r="S21" s="107">
        <f t="shared" ca="1" si="27"/>
        <v>-4.9002849002849E-2</v>
      </c>
      <c r="T21" s="21">
        <f ca="1">終値履歴!E21</f>
        <v>3399</v>
      </c>
      <c r="U21" s="107">
        <f t="shared" ca="1" si="28"/>
        <v>-5.7231726283048213E-2</v>
      </c>
      <c r="W21" s="21">
        <f ca="1">終値履歴!F21</f>
        <v>3170</v>
      </c>
      <c r="X21" s="107">
        <f t="shared" ca="1" si="29"/>
        <v>1.3996889580093312E-2</v>
      </c>
    </row>
    <row r="22" spans="2:24" x14ac:dyDescent="0.25">
      <c r="B22" s="49" t="str">
        <f>IPO監視一覧!B19</f>
        <v>ブティックス</v>
      </c>
      <c r="C22" s="62">
        <f>株価一覧!H21</f>
        <v>80900</v>
      </c>
      <c r="D22" s="15">
        <f ca="1">OFFSET(終値履歴!A22,0,COUNTA(終値履歴!G22:'終値履歴'!XFD22)+2,1,-1)</f>
        <v>2963</v>
      </c>
      <c r="E22" s="15">
        <f ca="1">OFFSET(終値履歴!A22,0,COUNTA(終値履歴!G22:'終値履歴'!XFD22)+3,1,-1)</f>
        <v>3090</v>
      </c>
      <c r="F22" s="15">
        <f ca="1">OFFSET(終値履歴!A22,0,COUNTA(終値履歴!G22:'終値履歴'!XFD22)+4,1,-1)</f>
        <v>3250</v>
      </c>
      <c r="G22" s="15">
        <f ca="1">OFFSET(終値履歴!A22,0,COUNTA(終値履歴!G22:'終値履歴'!XFD22)+5,1,-1)</f>
        <v>3685</v>
      </c>
      <c r="I22" s="60">
        <f t="shared" ca="1" si="4"/>
        <v>0.13384615384615384</v>
      </c>
      <c r="J22" s="60">
        <f t="shared" ca="1" si="5"/>
        <v>0.19255663430420711</v>
      </c>
      <c r="K22" s="60">
        <f t="shared" ca="1" si="6"/>
        <v>0.24367195410057374</v>
      </c>
      <c r="M22" s="60">
        <f t="shared" ca="1" si="24"/>
        <v>5.1779935275080909E-2</v>
      </c>
      <c r="N22" s="60">
        <f t="shared" ca="1" si="25"/>
        <v>9.6861289233884582E-2</v>
      </c>
      <c r="P22" s="57" t="str">
        <f t="shared" ca="1" si="26"/>
        <v>＋435</v>
      </c>
      <c r="Q22" s="12" t="str">
        <f t="shared" ca="1" si="7"/>
        <v>割高</v>
      </c>
      <c r="R22" s="21">
        <f ca="1">終値履歴!D22</f>
        <v>3187</v>
      </c>
      <c r="S22" s="107">
        <f t="shared" ca="1" si="27"/>
        <v>0.16116504854368932</v>
      </c>
      <c r="T22" s="21">
        <f ca="1">終値履歴!E22</f>
        <v>3356</v>
      </c>
      <c r="U22" s="107">
        <f t="shared" ca="1" si="28"/>
        <v>8.9280868385345991E-2</v>
      </c>
      <c r="W22" s="21">
        <f ca="1">終値履歴!F22</f>
        <v>2947</v>
      </c>
      <c r="X22" s="107">
        <f t="shared" ca="1" si="29"/>
        <v>0.20027137042062415</v>
      </c>
    </row>
    <row r="23" spans="2:24" x14ac:dyDescent="0.25">
      <c r="B23" s="49" t="str">
        <f>IPO監視一覧!B20</f>
        <v>ビープラッツ</v>
      </c>
      <c r="C23" s="62">
        <f>株価一覧!H22</f>
        <v>137400</v>
      </c>
      <c r="D23" s="15">
        <f ca="1">OFFSET(終値履歴!A23,0,COUNTA(終値履歴!G23:'終値履歴'!XFD23)+2,1,-1)</f>
        <v>5670</v>
      </c>
      <c r="E23" s="15">
        <f ca="1">OFFSET(終値履歴!A23,0,COUNTA(終値履歴!G23:'終値履歴'!XFD23)+3,1,-1)</f>
        <v>6670</v>
      </c>
      <c r="F23" s="15">
        <f ca="1">OFFSET(終値履歴!A23,0,COUNTA(終値履歴!G23:'終値履歴'!XFD23)+4,1,-1)</f>
        <v>7670</v>
      </c>
      <c r="G23" s="15">
        <f ca="1">OFFSET(終値履歴!A23,0,COUNTA(終値履歴!G23:'終値履歴'!XFD23)+5,1,-1)</f>
        <v>7300</v>
      </c>
      <c r="I23" s="60">
        <f t="shared" ca="1" si="4"/>
        <v>-4.8239895697522815E-2</v>
      </c>
      <c r="J23" s="60">
        <f t="shared" ca="1" si="5"/>
        <v>9.4452773613193403E-2</v>
      </c>
      <c r="K23" s="60">
        <f t="shared" ca="1" si="6"/>
        <v>0.2874779541446208</v>
      </c>
      <c r="M23" s="60">
        <f t="shared" ca="1" si="24"/>
        <v>0.14992503748125938</v>
      </c>
      <c r="N23" s="60">
        <f t="shared" ca="1" si="25"/>
        <v>0.35273368606701938</v>
      </c>
      <c r="P23" s="57">
        <f t="shared" ca="1" si="26"/>
        <v>-370</v>
      </c>
      <c r="Q23" s="12" t="str">
        <f t="shared" ca="1" si="7"/>
        <v>割高</v>
      </c>
      <c r="R23" s="21">
        <f ca="1">終値履歴!D23</f>
        <v>6602</v>
      </c>
      <c r="S23" s="107">
        <f t="shared" ca="1" si="27"/>
        <v>0.10464767616191904</v>
      </c>
      <c r="T23" s="21">
        <f ca="1">終値履歴!E23</f>
        <v>6186</v>
      </c>
      <c r="U23" s="107">
        <f t="shared" ca="1" si="28"/>
        <v>0.15260273972602739</v>
      </c>
      <c r="W23" s="21">
        <f ca="1">終値履歴!F23</f>
        <v>5490</v>
      </c>
      <c r="X23" s="107">
        <f t="shared" ca="1" si="29"/>
        <v>0.24794520547945206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64500</v>
      </c>
      <c r="D24" s="15">
        <f ca="1">OFFSET(終値履歴!A24,0,COUNTA(終値履歴!G24:'終値履歴'!XFD24)+2,1,-1)</f>
        <v>2558</v>
      </c>
      <c r="E24" s="15">
        <f ca="1">OFFSET(終値履歴!A24,0,COUNTA(終値履歴!G24:'終値履歴'!XFD24)+3,1,-1)</f>
        <v>2632</v>
      </c>
      <c r="F24" s="15">
        <f ca="1">OFFSET(終値履歴!A24,0,COUNTA(終値履歴!G24:'終値履歴'!XFD24)+4,1,-1)</f>
        <v>2430</v>
      </c>
      <c r="G24" s="15">
        <f ca="1">OFFSET(終値履歴!A24,0,COUNTA(終値履歴!G24:'終値履歴'!XFD24)+5,1,-1)</f>
        <v>2255</v>
      </c>
      <c r="I24" s="60">
        <f t="shared" ca="1" si="4"/>
        <v>-7.2016460905349799E-2</v>
      </c>
      <c r="J24" s="60">
        <f t="shared" ca="1" si="5"/>
        <v>-0.1432370820668693</v>
      </c>
      <c r="K24" s="60">
        <f t="shared" ca="1" si="6"/>
        <v>-0.11845191555903049</v>
      </c>
      <c r="M24" s="60">
        <f t="shared" ca="1" si="24"/>
        <v>-7.6747720364741645E-2</v>
      </c>
      <c r="N24" s="60">
        <f t="shared" ca="1" si="25"/>
        <v>-5.0039093041438623E-2</v>
      </c>
      <c r="P24" s="57">
        <f t="shared" ca="1" si="26"/>
        <v>-175</v>
      </c>
      <c r="Q24" s="12" t="str">
        <f t="shared" ca="1" si="7"/>
        <v>割安</v>
      </c>
      <c r="R24" s="21">
        <f ca="1">終値履歴!D24</f>
        <v>2482.1999999999998</v>
      </c>
      <c r="S24" s="107">
        <f t="shared" ca="1" si="27"/>
        <v>-8.6322188449847959E-2</v>
      </c>
      <c r="T24" s="21">
        <f ca="1">終値履歴!E24</f>
        <v>2527.1999999999998</v>
      </c>
      <c r="U24" s="107">
        <f t="shared" ca="1" si="28"/>
        <v>-0.12070953436807087</v>
      </c>
      <c r="W24" s="21">
        <f ca="1">終値履歴!F24</f>
        <v>2255</v>
      </c>
      <c r="X24" s="107">
        <f t="shared" ca="1" si="29"/>
        <v>0</v>
      </c>
    </row>
    <row r="25" spans="2:24" x14ac:dyDescent="0.25">
      <c r="B25" s="49" t="str">
        <f>IPO監視一覧!B22</f>
        <v>コンヴァノ</v>
      </c>
      <c r="C25" s="62">
        <f>株価一覧!H24</f>
        <v>413500</v>
      </c>
      <c r="D25" s="15">
        <f ca="1">OFFSET(終値履歴!A25,0,COUNTA(終値履歴!G25:'終値履歴'!XFD25)+2,1,-1)</f>
        <v>1626</v>
      </c>
      <c r="E25" s="15">
        <f ca="1">OFFSET(終値履歴!A25,0,COUNTA(終値履歴!G25:'終値履歴'!XFD25)+3,1,-1)</f>
        <v>1646</v>
      </c>
      <c r="F25" s="15">
        <f ca="1">OFFSET(終値履歴!A25,0,COUNTA(終値履歴!G25:'終値履歴'!XFD25)+4,1,-1)</f>
        <v>1691</v>
      </c>
      <c r="G25" s="15">
        <f ca="1">OFFSET(終値履歴!A25,0,COUNTA(終値履歴!G25:'終値履歴'!XFD25)+5,1,-1)</f>
        <v>1780</v>
      </c>
      <c r="I25" s="60">
        <f t="shared" ca="1" si="4"/>
        <v>5.2631578947368418E-2</v>
      </c>
      <c r="J25" s="60">
        <f t="shared" ca="1" si="5"/>
        <v>8.1409477521263665E-2</v>
      </c>
      <c r="K25" s="60">
        <f t="shared" ca="1" si="6"/>
        <v>9.4710947109471089E-2</v>
      </c>
      <c r="M25" s="60">
        <f t="shared" ca="1" si="24"/>
        <v>2.7339003645200487E-2</v>
      </c>
      <c r="N25" s="60">
        <f t="shared" ca="1" si="25"/>
        <v>3.997539975399754E-2</v>
      </c>
      <c r="P25" s="57" t="str">
        <f t="shared" ca="1" si="26"/>
        <v>＋89</v>
      </c>
      <c r="Q25" s="12" t="str">
        <f t="shared" ca="1" si="7"/>
        <v>割高</v>
      </c>
      <c r="R25" s="21">
        <f ca="1">終値履歴!D25</f>
        <v>1707.4</v>
      </c>
      <c r="S25" s="107">
        <f t="shared" ca="1" si="27"/>
        <v>4.4106925880923395E-2</v>
      </c>
      <c r="T25" s="21">
        <f ca="1">終値履歴!E25</f>
        <v>1604.2666666666667</v>
      </c>
      <c r="U25" s="107">
        <f t="shared" ca="1" si="28"/>
        <v>9.8726591760299631E-2</v>
      </c>
      <c r="W25" s="21">
        <f ca="1">終値履歴!F25</f>
        <v>1396</v>
      </c>
      <c r="X25" s="107">
        <f t="shared" ca="1" si="29"/>
        <v>0.21573033707865169</v>
      </c>
    </row>
    <row r="26" spans="2:24" x14ac:dyDescent="0.25">
      <c r="B26" s="49" t="str">
        <f>IPO監視一覧!B23</f>
        <v>ＨＥＲＯＺ</v>
      </c>
      <c r="C26" s="62">
        <f>株価一覧!H25</f>
        <v>179200</v>
      </c>
      <c r="D26" s="15">
        <f ca="1">OFFSET(終値履歴!A26,0,COUNTA(終値履歴!G26:'終値履歴'!XFD26)+2,1,-1)</f>
        <v>21940</v>
      </c>
      <c r="E26" s="15">
        <f ca="1">OFFSET(終値履歴!A26,0,COUNTA(終値履歴!G26:'終値履歴'!XFD26)+3,1,-1)</f>
        <v>22310</v>
      </c>
      <c r="F26" s="15">
        <f ca="1">OFFSET(終値履歴!A26,0,COUNTA(終値履歴!G26:'終値履歴'!XFD26)+4,1,-1)</f>
        <v>20100</v>
      </c>
      <c r="G26" s="15">
        <f ca="1">OFFSET(終値履歴!A26,0,COUNTA(終値履歴!G26:'終値履歴'!XFD26)+5,1,-1)</f>
        <v>20960</v>
      </c>
      <c r="I26" s="60">
        <f t="shared" ca="1" si="4"/>
        <v>4.2786069651741296E-2</v>
      </c>
      <c r="J26" s="60">
        <f t="shared" ca="1" si="5"/>
        <v>-6.0510981622590769E-2</v>
      </c>
      <c r="K26" s="60">
        <f t="shared" ca="1" si="6"/>
        <v>-4.4667274384685506E-2</v>
      </c>
      <c r="M26" s="60">
        <f t="shared" ref="M26:M31" ca="1" si="30">(F26-E26)/E26</f>
        <v>-9.905871806364859E-2</v>
      </c>
      <c r="N26" s="60">
        <f t="shared" ref="N26:N31" ca="1" si="31">(F26-D26)/D26</f>
        <v>-8.3865086599817687E-2</v>
      </c>
      <c r="P26" s="57" t="str">
        <f t="shared" ref="P26:P31" ca="1" si="32">IF(G26-F26 &gt; 0,CONCATENATE("＋",G26-F26),G26-F26)</f>
        <v>＋860</v>
      </c>
      <c r="Q26" s="12" t="str">
        <f t="shared" ca="1" si="7"/>
        <v>集計外</v>
      </c>
      <c r="R26" s="21">
        <f ca="1">終値履歴!D26</f>
        <v>21236</v>
      </c>
      <c r="S26" s="107">
        <f t="shared" ref="S26:S31" ca="1" si="33">(G26-R26)/E26</f>
        <v>-1.2371134020618556E-2</v>
      </c>
      <c r="T26" s="21">
        <f ca="1">終値履歴!E26</f>
        <v>0</v>
      </c>
      <c r="U26" s="107">
        <f t="shared" ref="U26:U31" ca="1" si="34">(G26-T26)/G26</f>
        <v>1</v>
      </c>
      <c r="W26" s="21">
        <f ca="1">終値履歴!F26</f>
        <v>0</v>
      </c>
      <c r="X26" s="107">
        <f t="shared" ref="X26:X31" ca="1" si="35">(G26-W26)/G26</f>
        <v>1</v>
      </c>
    </row>
    <row r="27" spans="2:24" x14ac:dyDescent="0.25">
      <c r="B27" s="49" t="str">
        <f>IPO監視一覧!B24</f>
        <v>ベストワンドットコム</v>
      </c>
      <c r="C27" s="62">
        <f>株価一覧!H26</f>
        <v>11100</v>
      </c>
      <c r="D27" s="15">
        <f ca="1">OFFSET(終値履歴!A27,0,COUNTA(終値履歴!G27:'終値履歴'!XFD27)+2,1,-1)</f>
        <v>11850</v>
      </c>
      <c r="E27" s="15">
        <f ca="1">OFFSET(終値履歴!A27,0,COUNTA(終値履歴!G27:'終値履歴'!XFD27)+3,1,-1)</f>
        <v>11370</v>
      </c>
      <c r="F27" s="15">
        <f ca="1">OFFSET(終値履歴!A27,0,COUNTA(終値履歴!G27:'終値履歴'!XFD27)+4,1,-1)</f>
        <v>10660</v>
      </c>
      <c r="G27" s="15">
        <f ca="1">OFFSET(終値履歴!A27,0,COUNTA(終値履歴!G27:'終値履歴'!XFD27)+5,1,-1)</f>
        <v>11290</v>
      </c>
      <c r="I27" s="60">
        <f t="shared" ca="1" si="4"/>
        <v>5.9099437148217637E-2</v>
      </c>
      <c r="J27" s="60">
        <f t="shared" ca="1" si="5"/>
        <v>-7.0360598065083556E-3</v>
      </c>
      <c r="K27" s="60">
        <f t="shared" ca="1" si="6"/>
        <v>-4.7257383966244723E-2</v>
      </c>
      <c r="M27" s="60">
        <f t="shared" ca="1" si="30"/>
        <v>-6.2445030782761653E-2</v>
      </c>
      <c r="N27" s="60">
        <f t="shared" ca="1" si="31"/>
        <v>-0.10042194092827005</v>
      </c>
      <c r="P27" s="57" t="str">
        <f t="shared" ca="1" si="32"/>
        <v>＋630</v>
      </c>
      <c r="Q27" s="12" t="str">
        <f t="shared" ca="1" si="7"/>
        <v>集計外</v>
      </c>
      <c r="R27" s="21">
        <f ca="1">終値履歴!D27</f>
        <v>11474</v>
      </c>
      <c r="S27" s="107">
        <f t="shared" ca="1" si="33"/>
        <v>-1.6182937554969218E-2</v>
      </c>
      <c r="T27" s="21">
        <f ca="1">終値履歴!E27</f>
        <v>0</v>
      </c>
      <c r="U27" s="107">
        <f t="shared" ca="1" si="34"/>
        <v>1</v>
      </c>
      <c r="W27" s="21">
        <f ca="1">終値履歴!F27</f>
        <v>0</v>
      </c>
      <c r="X27" s="107">
        <f t="shared" ca="1" si="35"/>
        <v>1</v>
      </c>
    </row>
    <row r="28" spans="2:24" x14ac:dyDescent="0.25">
      <c r="B28" s="49" t="str">
        <f>IPO監視一覧!B25</f>
        <v>アイペット損害保険</v>
      </c>
      <c r="C28" s="62">
        <f>株価一覧!H27</f>
        <v>86900</v>
      </c>
      <c r="D28" s="15">
        <f ca="1">OFFSET(終値履歴!A28,0,COUNTA(終値履歴!G28:'終値履歴'!XFD28)+2,1,-1)</f>
        <v>3950</v>
      </c>
      <c r="E28" s="15">
        <f ca="1">OFFSET(終値履歴!A28,0,COUNTA(終値履歴!G28:'終値履歴'!XFD28)+3,1,-1)</f>
        <v>4040</v>
      </c>
      <c r="F28" s="15">
        <f ca="1">OFFSET(終値履歴!A28,0,COUNTA(終値履歴!G28:'終値履歴'!XFD28)+4,1,-1)</f>
        <v>3980</v>
      </c>
      <c r="G28" s="15">
        <f ca="1">OFFSET(終値履歴!A28,0,COUNTA(終値履歴!G28:'終値履歴'!XFD28)+5,1,-1)</f>
        <v>3720</v>
      </c>
      <c r="I28" s="60">
        <f t="shared" ca="1" si="4"/>
        <v>-6.5326633165829151E-2</v>
      </c>
      <c r="J28" s="60">
        <f t="shared" ca="1" si="5"/>
        <v>-7.9207920792079209E-2</v>
      </c>
      <c r="K28" s="60">
        <f t="shared" ca="1" si="6"/>
        <v>-5.8227848101265821E-2</v>
      </c>
      <c r="M28" s="60">
        <f t="shared" ca="1" si="30"/>
        <v>-1.4851485148514851E-2</v>
      </c>
      <c r="N28" s="60">
        <f t="shared" ca="1" si="31"/>
        <v>7.5949367088607592E-3</v>
      </c>
      <c r="P28" s="57">
        <f t="shared" ca="1" si="32"/>
        <v>-260</v>
      </c>
      <c r="Q28" s="12" t="str">
        <f t="shared" ca="1" si="7"/>
        <v>集計外</v>
      </c>
      <c r="R28" s="21">
        <f ca="1">終値履歴!D28</f>
        <v>3843</v>
      </c>
      <c r="S28" s="107">
        <f t="shared" ca="1" si="33"/>
        <v>-3.0445544554455445E-2</v>
      </c>
      <c r="T28" s="21">
        <f ca="1">終値履歴!E28</f>
        <v>0</v>
      </c>
      <c r="U28" s="107">
        <f t="shared" ca="1" si="34"/>
        <v>1</v>
      </c>
      <c r="W28" s="21">
        <f ca="1">終値履歴!F28</f>
        <v>0</v>
      </c>
      <c r="X28" s="107">
        <f t="shared" ca="1" si="35"/>
        <v>1</v>
      </c>
    </row>
    <row r="29" spans="2:24" x14ac:dyDescent="0.25">
      <c r="B29" s="49" t="str">
        <f>IPO監視一覧!B26</f>
        <v>エヌリンクス</v>
      </c>
      <c r="C29" s="62">
        <f>株価一覧!H28</f>
        <v>29800</v>
      </c>
      <c r="D29" s="15">
        <f ca="1">OFFSET(終値履歴!A29,0,COUNTA(終値履歴!G29:'終値履歴'!XFD29)+2,1,-1)</f>
        <v>2521</v>
      </c>
      <c r="E29" s="15">
        <f ca="1">OFFSET(終値履歴!A29,0,COUNTA(終値履歴!G29:'終値履歴'!XFD29)+3,1,-1)</f>
        <v>2576</v>
      </c>
      <c r="F29" s="15">
        <f ca="1">OFFSET(終値履歴!A29,0,COUNTA(終値履歴!G29:'終値履歴'!XFD29)+4,1,-1)</f>
        <v>2540</v>
      </c>
      <c r="G29" s="15">
        <f ca="1">OFFSET(終値履歴!A29,0,COUNTA(終値履歴!G29:'終値履歴'!XFD29)+5,1,-1)</f>
        <v>2409</v>
      </c>
      <c r="I29" s="60">
        <f t="shared" ca="1" si="4"/>
        <v>-5.1574803149606302E-2</v>
      </c>
      <c r="J29" s="60">
        <f t="shared" ca="1" si="5"/>
        <v>-6.4829192546583855E-2</v>
      </c>
      <c r="K29" s="60">
        <f t="shared" ca="1" si="6"/>
        <v>-4.4426814756049184E-2</v>
      </c>
      <c r="M29" s="60">
        <f t="shared" ca="1" si="30"/>
        <v>-1.3975155279503106E-2</v>
      </c>
      <c r="N29" s="60">
        <f t="shared" ca="1" si="31"/>
        <v>7.5366917889726302E-3</v>
      </c>
      <c r="P29" s="57">
        <f t="shared" ca="1" si="32"/>
        <v>-131</v>
      </c>
      <c r="Q29" s="12" t="str">
        <f t="shared" ca="1" si="7"/>
        <v>集計外</v>
      </c>
      <c r="R29" s="21">
        <f ca="1">終値履歴!D29</f>
        <v>2522.1999999999998</v>
      </c>
      <c r="S29" s="107">
        <f t="shared" ca="1" si="33"/>
        <v>-4.3944099378881919E-2</v>
      </c>
      <c r="T29" s="21">
        <f ca="1">終値履歴!E29</f>
        <v>0</v>
      </c>
      <c r="U29" s="107">
        <f t="shared" ca="1" si="34"/>
        <v>1</v>
      </c>
      <c r="W29" s="21">
        <f ca="1">終値履歴!F29</f>
        <v>0</v>
      </c>
      <c r="X29" s="107">
        <f t="shared" ca="1" si="35"/>
        <v>1</v>
      </c>
    </row>
    <row r="30" spans="2:24" x14ac:dyDescent="0.25">
      <c r="B30" s="49" t="str">
        <f>IPO監視一覧!B27</f>
        <v>ラクスル</v>
      </c>
      <c r="C30" s="62">
        <f>株価一覧!H29</f>
        <v>0</v>
      </c>
      <c r="D30" s="15">
        <f ca="1">OFFSET(終値履歴!A30,0,COUNTA(終値履歴!G30:'終値履歴'!XFD30)+2,1,-1)</f>
        <v>0</v>
      </c>
      <c r="E30" s="15">
        <f ca="1">OFFSET(終値履歴!A30,0,COUNTA(終値履歴!G30:'終値履歴'!XFD30)+3,1,-1)</f>
        <v>0</v>
      </c>
      <c r="F30" s="15">
        <f ca="1">OFFSET(終値履歴!A30,0,COUNTA(終値履歴!G30:'終値履歴'!XFD30)+4,1,-1)</f>
        <v>0</v>
      </c>
      <c r="G30" s="15">
        <f ca="1">OFFSET(終値履歴!A30,0,COUNTA(終値履歴!G30:'終値履歴'!XFD30)+5,1,-1)</f>
        <v>0</v>
      </c>
      <c r="I30" s="60" t="str">
        <f t="shared" ca="1" si="4"/>
        <v/>
      </c>
      <c r="J30" s="60" t="str">
        <f t="shared" ca="1" si="5"/>
        <v/>
      </c>
      <c r="K30" s="60" t="str">
        <f t="shared" ca="1" si="6"/>
        <v/>
      </c>
      <c r="M30" s="60" t="e">
        <f t="shared" ca="1" si="30"/>
        <v>#DIV/0!</v>
      </c>
      <c r="N30" s="60" t="e">
        <f t="shared" ca="1" si="31"/>
        <v>#DIV/0!</v>
      </c>
      <c r="P30" s="57">
        <f t="shared" ca="1" si="32"/>
        <v>0</v>
      </c>
      <c r="Q30" s="12" t="str">
        <f t="shared" ca="1" si="7"/>
        <v>集計外</v>
      </c>
      <c r="R30" s="21">
        <f ca="1">終値履歴!D30</f>
        <v>0</v>
      </c>
      <c r="S30" s="107" t="e">
        <f t="shared" ca="1" si="33"/>
        <v>#DIV/0!</v>
      </c>
      <c r="T30" s="21">
        <f ca="1">終値履歴!E30</f>
        <v>0</v>
      </c>
      <c r="U30" s="107" t="e">
        <f t="shared" ca="1" si="34"/>
        <v>#DIV/0!</v>
      </c>
      <c r="W30" s="21">
        <f ca="1">終値履歴!F30</f>
        <v>0</v>
      </c>
      <c r="X30" s="107" t="e">
        <f t="shared" ca="1" si="35"/>
        <v>#DIV/0!</v>
      </c>
    </row>
    <row r="31" spans="2:24" x14ac:dyDescent="0.25">
      <c r="B31" s="49" t="str">
        <f>IPO監視一覧!B28</f>
        <v>メルカリ</v>
      </c>
      <c r="C31" s="62">
        <f>株価一覧!H30</f>
        <v>0</v>
      </c>
      <c r="D31" s="15">
        <f ca="1">OFFSET(終値履歴!A31,0,COUNTA(終値履歴!G31:'終値履歴'!XFD31)+2,1,-1)</f>
        <v>0</v>
      </c>
      <c r="E31" s="15">
        <f ca="1">OFFSET(終値履歴!A31,0,COUNTA(終値履歴!G31:'終値履歴'!XFD31)+3,1,-1)</f>
        <v>0</v>
      </c>
      <c r="F31" s="15">
        <f ca="1">OFFSET(終値履歴!A31,0,COUNTA(終値履歴!G31:'終値履歴'!XFD31)+4,1,-1)</f>
        <v>0</v>
      </c>
      <c r="G31" s="15">
        <f ca="1">OFFSET(終値履歴!A31,0,COUNTA(終値履歴!G31:'終値履歴'!XFD31)+5,1,-1)</f>
        <v>0</v>
      </c>
      <c r="I31" s="60" t="str">
        <f t="shared" ca="1" si="4"/>
        <v/>
      </c>
      <c r="J31" s="60" t="str">
        <f t="shared" ca="1" si="5"/>
        <v/>
      </c>
      <c r="K31" s="60" t="str">
        <f t="shared" ca="1" si="6"/>
        <v/>
      </c>
      <c r="M31" s="60" t="e">
        <f t="shared" ca="1" si="30"/>
        <v>#DIV/0!</v>
      </c>
      <c r="N31" s="60" t="e">
        <f t="shared" ca="1" si="31"/>
        <v>#DIV/0!</v>
      </c>
      <c r="P31" s="57">
        <f t="shared" ca="1" si="32"/>
        <v>0</v>
      </c>
      <c r="Q31" s="12" t="str">
        <f t="shared" ca="1" si="7"/>
        <v>集計外</v>
      </c>
      <c r="R31" s="21">
        <f ca="1">終値履歴!D31</f>
        <v>0</v>
      </c>
      <c r="S31" s="107" t="e">
        <f t="shared" ca="1" si="33"/>
        <v>#DIV/0!</v>
      </c>
      <c r="T31" s="21">
        <f ca="1">終値履歴!E31</f>
        <v>0</v>
      </c>
      <c r="U31" s="107" t="e">
        <f t="shared" ca="1" si="34"/>
        <v>#DIV/0!</v>
      </c>
      <c r="W31" s="21">
        <f ca="1">終値履歴!F31</f>
        <v>0</v>
      </c>
      <c r="X31" s="107" t="e">
        <f t="shared" ca="1" si="35"/>
        <v>#DIV/0!</v>
      </c>
    </row>
    <row r="32" spans="2:24" x14ac:dyDescent="0.25">
      <c r="B32" s="49">
        <f>IPO監視一覧!B29</f>
        <v>0</v>
      </c>
      <c r="C32" s="62">
        <f>株価一覧!H31</f>
        <v>0</v>
      </c>
      <c r="D32" s="15">
        <f ca="1">OFFSET(終値履歴!A32,0,COUNTA(終値履歴!G32:'終値履歴'!XFD32)+2,1,-1)</f>
        <v>0</v>
      </c>
      <c r="E32" s="15">
        <f ca="1">OFFSET(終値履歴!A32,0,COUNTA(終値履歴!G32:'終値履歴'!XFD32)+3,1,-1)</f>
        <v>0</v>
      </c>
      <c r="F32" s="15">
        <f ca="1">OFFSET(終値履歴!A32,0,COUNTA(終値履歴!G32:'終値履歴'!XFD32)+4,1,-1)</f>
        <v>0</v>
      </c>
      <c r="G32" s="15">
        <f ca="1">OFFSET(終値履歴!A32,0,COUNTA(終値履歴!G32:'終値履歴'!XFD32)+5,1,-1)</f>
        <v>0</v>
      </c>
      <c r="I32" s="60" t="str">
        <f t="shared" ca="1" si="4"/>
        <v/>
      </c>
      <c r="J32" s="60" t="str">
        <f t="shared" ca="1" si="5"/>
        <v/>
      </c>
      <c r="K32" s="60" t="str">
        <f t="shared" ca="1" si="6"/>
        <v/>
      </c>
      <c r="M32" s="60" t="e">
        <f t="shared" ref="M32:M40" ca="1" si="36">(F32-E32)/E32</f>
        <v>#DIV/0!</v>
      </c>
      <c r="N32" s="60" t="e">
        <f t="shared" ref="N32:N40" ca="1" si="37">(F32-D32)/D32</f>
        <v>#DIV/0!</v>
      </c>
      <c r="P32" s="57">
        <f t="shared" ref="P32:P40" ca="1" si="38">IF(G32-F32 &gt; 0,CONCATENATE("＋",G32-F32),G32-F32)</f>
        <v>0</v>
      </c>
      <c r="Q32" s="12" t="str">
        <f t="shared" ca="1" si="7"/>
        <v>集計外</v>
      </c>
      <c r="R32" s="21">
        <f ca="1">終値履歴!D32</f>
        <v>0</v>
      </c>
      <c r="S32" s="107" t="e">
        <f t="shared" ref="S32:S40" ca="1" si="39">(G32-R32)/E32</f>
        <v>#DIV/0!</v>
      </c>
      <c r="T32" s="21">
        <f ca="1">終値履歴!E32</f>
        <v>0</v>
      </c>
      <c r="U32" s="107" t="e">
        <f t="shared" ref="U32:U40" ca="1" si="40">(G32-T32)/G32</f>
        <v>#DIV/0!</v>
      </c>
      <c r="W32" s="21">
        <f ca="1">終値履歴!F32</f>
        <v>0</v>
      </c>
      <c r="X32" s="107" t="e">
        <f t="shared" ref="X32:X40" ca="1" si="41">(G32-W32)/G32</f>
        <v>#DIV/0!</v>
      </c>
    </row>
    <row r="33" spans="2:24" x14ac:dyDescent="0.25">
      <c r="B33" s="49">
        <f>IPO監視一覧!B30</f>
        <v>0</v>
      </c>
      <c r="C33" s="62">
        <f>株価一覧!H32</f>
        <v>0</v>
      </c>
      <c r="D33" s="15">
        <f ca="1">OFFSET(終値履歴!A33,0,COUNTA(終値履歴!G33:'終値履歴'!XFD33)+2,1,-1)</f>
        <v>0</v>
      </c>
      <c r="E33" s="15">
        <f ca="1">OFFSET(終値履歴!A33,0,COUNTA(終値履歴!G33:'終値履歴'!XFD33)+3,1,-1)</f>
        <v>0</v>
      </c>
      <c r="F33" s="15">
        <f ca="1">OFFSET(終値履歴!A33,0,COUNTA(終値履歴!G33:'終値履歴'!XFD33)+4,1,-1)</f>
        <v>0</v>
      </c>
      <c r="G33" s="15">
        <f ca="1">OFFSET(終値履歴!A33,0,COUNTA(終値履歴!G33:'終値履歴'!XFD33)+5,1,-1)</f>
        <v>0</v>
      </c>
      <c r="I33" s="60" t="str">
        <f t="shared" ca="1" si="4"/>
        <v/>
      </c>
      <c r="J33" s="60" t="str">
        <f t="shared" ca="1" si="5"/>
        <v/>
      </c>
      <c r="K33" s="60" t="str">
        <f t="shared" ca="1" si="6"/>
        <v/>
      </c>
      <c r="M33" s="60" t="e">
        <f t="shared" ca="1" si="36"/>
        <v>#DIV/0!</v>
      </c>
      <c r="N33" s="60" t="e">
        <f t="shared" ca="1" si="37"/>
        <v>#DIV/0!</v>
      </c>
      <c r="P33" s="57">
        <f t="shared" ca="1" si="38"/>
        <v>0</v>
      </c>
      <c r="Q33" s="12" t="str">
        <f t="shared" ca="1" si="7"/>
        <v>集計外</v>
      </c>
      <c r="R33" s="21">
        <f ca="1">終値履歴!D33</f>
        <v>0</v>
      </c>
      <c r="S33" s="107" t="e">
        <f t="shared" ca="1" si="39"/>
        <v>#DIV/0!</v>
      </c>
      <c r="T33" s="21">
        <f ca="1">終値履歴!E33</f>
        <v>0</v>
      </c>
      <c r="U33" s="107" t="e">
        <f t="shared" ca="1" si="40"/>
        <v>#DIV/0!</v>
      </c>
      <c r="W33" s="21">
        <f ca="1">終値履歴!F33</f>
        <v>0</v>
      </c>
      <c r="X33" s="107" t="e">
        <f t="shared" ca="1" si="41"/>
        <v>#DIV/0!</v>
      </c>
    </row>
    <row r="34" spans="2:24" x14ac:dyDescent="0.25">
      <c r="B34" s="49">
        <f>IPO監視一覧!B31</f>
        <v>0</v>
      </c>
      <c r="C34" s="62">
        <f>株価一覧!H33</f>
        <v>0</v>
      </c>
      <c r="D34" s="15">
        <f ca="1">OFFSET(終値履歴!A34,0,COUNTA(終値履歴!G34:'終値履歴'!XFD34)+2,1,-1)</f>
        <v>0</v>
      </c>
      <c r="E34" s="15">
        <f ca="1">OFFSET(終値履歴!A34,0,COUNTA(終値履歴!G34:'終値履歴'!XFD34)+3,1,-1)</f>
        <v>0</v>
      </c>
      <c r="F34" s="15">
        <f ca="1">OFFSET(終値履歴!A34,0,COUNTA(終値履歴!G34:'終値履歴'!XFD34)+4,1,-1)</f>
        <v>0</v>
      </c>
      <c r="G34" s="15">
        <f ca="1">OFFSET(終値履歴!A34,0,COUNTA(終値履歴!G34:'終値履歴'!XFD34)+5,1,-1)</f>
        <v>0</v>
      </c>
      <c r="I34" s="60" t="str">
        <f t="shared" ca="1" si="4"/>
        <v/>
      </c>
      <c r="J34" s="60" t="str">
        <f t="shared" ca="1" si="5"/>
        <v/>
      </c>
      <c r="K34" s="60" t="str">
        <f t="shared" ca="1" si="6"/>
        <v/>
      </c>
      <c r="M34" s="60" t="e">
        <f t="shared" ca="1" si="36"/>
        <v>#DIV/0!</v>
      </c>
      <c r="N34" s="60" t="e">
        <f t="shared" ca="1" si="37"/>
        <v>#DIV/0!</v>
      </c>
      <c r="P34" s="57">
        <f t="shared" ca="1" si="38"/>
        <v>0</v>
      </c>
      <c r="Q34" s="12" t="str">
        <f t="shared" si="7"/>
        <v>集計外</v>
      </c>
      <c r="R34" s="21">
        <f>終値履歴!D34</f>
        <v>0</v>
      </c>
      <c r="S34" s="107" t="e">
        <f t="shared" ca="1" si="39"/>
        <v>#DIV/0!</v>
      </c>
      <c r="T34" s="21">
        <f>終値履歴!E34</f>
        <v>0</v>
      </c>
      <c r="U34" s="107" t="e">
        <f t="shared" ca="1" si="40"/>
        <v>#DIV/0!</v>
      </c>
      <c r="W34" s="21">
        <f>終値履歴!F34</f>
        <v>0</v>
      </c>
      <c r="X34" s="107" t="e">
        <f t="shared" ca="1" si="41"/>
        <v>#DIV/0!</v>
      </c>
    </row>
    <row r="35" spans="2:24" x14ac:dyDescent="0.25">
      <c r="B35" s="49">
        <f>IPO監視一覧!B32</f>
        <v>0</v>
      </c>
      <c r="C35" s="62">
        <f>株価一覧!H34</f>
        <v>0</v>
      </c>
      <c r="D35" s="15">
        <f ca="1">OFFSET(終値履歴!A35,0,COUNTA(終値履歴!G35:'終値履歴'!XFD35)+2,1,-1)</f>
        <v>0</v>
      </c>
      <c r="E35" s="15">
        <f ca="1">OFFSET(終値履歴!A35,0,COUNTA(終値履歴!G35:'終値履歴'!XFD35)+3,1,-1)</f>
        <v>0</v>
      </c>
      <c r="F35" s="15">
        <f ca="1">OFFSET(終値履歴!A35,0,COUNTA(終値履歴!G35:'終値履歴'!XFD35)+4,1,-1)</f>
        <v>0</v>
      </c>
      <c r="G35" s="15">
        <f ca="1">OFFSET(終値履歴!A35,0,COUNTA(終値履歴!G35:'終値履歴'!XFD35)+5,1,-1)</f>
        <v>0</v>
      </c>
      <c r="I35" s="60" t="str">
        <f t="shared" ca="1" si="4"/>
        <v/>
      </c>
      <c r="J35" s="60" t="str">
        <f t="shared" ca="1" si="5"/>
        <v/>
      </c>
      <c r="K35" s="60" t="str">
        <f t="shared" ca="1" si="6"/>
        <v/>
      </c>
      <c r="M35" s="60" t="e">
        <f t="shared" ca="1" si="36"/>
        <v>#DIV/0!</v>
      </c>
      <c r="N35" s="60" t="e">
        <f t="shared" ca="1" si="37"/>
        <v>#DIV/0!</v>
      </c>
      <c r="P35" s="57">
        <f t="shared" ca="1" si="38"/>
        <v>0</v>
      </c>
      <c r="Q35" s="12" t="str">
        <f t="shared" si="7"/>
        <v>集計外</v>
      </c>
      <c r="R35" s="21">
        <f>終値履歴!D35</f>
        <v>0</v>
      </c>
      <c r="S35" s="107" t="e">
        <f t="shared" ca="1" si="39"/>
        <v>#DIV/0!</v>
      </c>
      <c r="T35" s="21">
        <f>終値履歴!E35</f>
        <v>0</v>
      </c>
      <c r="U35" s="107" t="e">
        <f t="shared" ca="1" si="40"/>
        <v>#DIV/0!</v>
      </c>
      <c r="W35" s="21">
        <f>終値履歴!F35</f>
        <v>0</v>
      </c>
      <c r="X35" s="107" t="e">
        <f t="shared" ca="1" si="41"/>
        <v>#DIV/0!</v>
      </c>
    </row>
    <row r="36" spans="2:24" x14ac:dyDescent="0.25">
      <c r="B36" s="49">
        <f>IPO監視一覧!B33</f>
        <v>0</v>
      </c>
      <c r="C36" s="62">
        <f>株価一覧!H35</f>
        <v>0</v>
      </c>
      <c r="D36" s="15">
        <f ca="1">OFFSET(終値履歴!A36,0,COUNTA(終値履歴!G36:'終値履歴'!XFD36)+2,1,-1)</f>
        <v>0</v>
      </c>
      <c r="E36" s="15">
        <f ca="1">OFFSET(終値履歴!A36,0,COUNTA(終値履歴!G36:'終値履歴'!XFD36)+3,1,-1)</f>
        <v>0</v>
      </c>
      <c r="F36" s="15">
        <f ca="1">OFFSET(終値履歴!A36,0,COUNTA(終値履歴!G36:'終値履歴'!XFD36)+4,1,-1)</f>
        <v>0</v>
      </c>
      <c r="G36" s="15">
        <f ca="1">OFFSET(終値履歴!A36,0,COUNTA(終値履歴!G36:'終値履歴'!XFD36)+5,1,-1)</f>
        <v>0</v>
      </c>
      <c r="I36" s="60" t="str">
        <f t="shared" ca="1" si="4"/>
        <v/>
      </c>
      <c r="J36" s="60" t="str">
        <f t="shared" ca="1" si="5"/>
        <v/>
      </c>
      <c r="K36" s="60" t="str">
        <f t="shared" ca="1" si="6"/>
        <v/>
      </c>
      <c r="M36" s="60" t="e">
        <f t="shared" ca="1" si="36"/>
        <v>#DIV/0!</v>
      </c>
      <c r="N36" s="60" t="e">
        <f t="shared" ca="1" si="37"/>
        <v>#DIV/0!</v>
      </c>
      <c r="P36" s="57">
        <f t="shared" ca="1" si="38"/>
        <v>0</v>
      </c>
      <c r="Q36" s="12" t="str">
        <f t="shared" si="7"/>
        <v>集計外</v>
      </c>
      <c r="R36" s="21">
        <f>終値履歴!D36</f>
        <v>0</v>
      </c>
      <c r="S36" s="107" t="e">
        <f t="shared" ca="1" si="39"/>
        <v>#DIV/0!</v>
      </c>
      <c r="T36" s="21">
        <f>終値履歴!E36</f>
        <v>0</v>
      </c>
      <c r="U36" s="107" t="e">
        <f t="shared" ca="1" si="40"/>
        <v>#DIV/0!</v>
      </c>
      <c r="W36" s="21">
        <f>終値履歴!F36</f>
        <v>0</v>
      </c>
      <c r="X36" s="107" t="e">
        <f t="shared" ca="1" si="41"/>
        <v>#DIV/0!</v>
      </c>
    </row>
    <row r="37" spans="2:24" x14ac:dyDescent="0.25">
      <c r="B37" s="49">
        <f>IPO監視一覧!B34</f>
        <v>0</v>
      </c>
      <c r="C37" s="62">
        <f>株価一覧!H36</f>
        <v>0</v>
      </c>
      <c r="D37" s="15">
        <f ca="1">OFFSET(終値履歴!A37,0,COUNTA(終値履歴!G37:'終値履歴'!XFD37)+2,1,-1)</f>
        <v>0</v>
      </c>
      <c r="E37" s="15">
        <f ca="1">OFFSET(終値履歴!A37,0,COUNTA(終値履歴!G37:'終値履歴'!XFD37)+3,1,-1)</f>
        <v>0</v>
      </c>
      <c r="F37" s="15">
        <f ca="1">OFFSET(終値履歴!A37,0,COUNTA(終値履歴!G37:'終値履歴'!XFD37)+4,1,-1)</f>
        <v>0</v>
      </c>
      <c r="G37" s="15">
        <f ca="1">OFFSET(終値履歴!A37,0,COUNTA(終値履歴!G37:'終値履歴'!XFD37)+5,1,-1)</f>
        <v>0</v>
      </c>
      <c r="I37" s="60" t="str">
        <f t="shared" ca="1" si="4"/>
        <v/>
      </c>
      <c r="J37" s="60" t="str">
        <f t="shared" ca="1" si="5"/>
        <v/>
      </c>
      <c r="K37" s="60" t="str">
        <f t="shared" ca="1" si="6"/>
        <v/>
      </c>
      <c r="M37" s="60" t="e">
        <f t="shared" ca="1" si="36"/>
        <v>#DIV/0!</v>
      </c>
      <c r="N37" s="60" t="e">
        <f t="shared" ca="1" si="37"/>
        <v>#DIV/0!</v>
      </c>
      <c r="P37" s="57">
        <f t="shared" ca="1" si="38"/>
        <v>0</v>
      </c>
      <c r="Q37" s="12" t="str">
        <f t="shared" si="7"/>
        <v>集計外</v>
      </c>
      <c r="R37" s="21">
        <f>終値履歴!D37</f>
        <v>0</v>
      </c>
      <c r="S37" s="107" t="e">
        <f t="shared" ca="1" si="39"/>
        <v>#DIV/0!</v>
      </c>
      <c r="T37" s="21">
        <f>終値履歴!E37</f>
        <v>0</v>
      </c>
      <c r="U37" s="107" t="e">
        <f t="shared" ca="1" si="40"/>
        <v>#DIV/0!</v>
      </c>
      <c r="W37" s="21">
        <f>終値履歴!F37</f>
        <v>0</v>
      </c>
      <c r="X37" s="107" t="e">
        <f t="shared" ca="1" si="41"/>
        <v>#DIV/0!</v>
      </c>
    </row>
    <row r="38" spans="2:24" x14ac:dyDescent="0.25">
      <c r="B38" s="49">
        <f>IPO監視一覧!B35</f>
        <v>0</v>
      </c>
      <c r="C38" s="62">
        <f>株価一覧!H37</f>
        <v>0</v>
      </c>
      <c r="D38" s="15">
        <f ca="1">OFFSET(終値履歴!A38,0,COUNTA(終値履歴!G38:'終値履歴'!XFD38)+2,1,-1)</f>
        <v>0</v>
      </c>
      <c r="E38" s="15">
        <f ca="1">OFFSET(終値履歴!A38,0,COUNTA(終値履歴!G38:'終値履歴'!XFD38)+3,1,-1)</f>
        <v>0</v>
      </c>
      <c r="F38" s="15">
        <f ca="1">OFFSET(終値履歴!A38,0,COUNTA(終値履歴!G38:'終値履歴'!XFD38)+4,1,-1)</f>
        <v>0</v>
      </c>
      <c r="G38" s="15">
        <f ca="1">OFFSET(終値履歴!A38,0,COUNTA(終値履歴!G38:'終値履歴'!XFD38)+5,1,-1)</f>
        <v>0</v>
      </c>
      <c r="I38" s="60" t="str">
        <f t="shared" ca="1" si="4"/>
        <v/>
      </c>
      <c r="J38" s="60" t="str">
        <f t="shared" ca="1" si="5"/>
        <v/>
      </c>
      <c r="K38" s="60" t="str">
        <f t="shared" ca="1" si="6"/>
        <v/>
      </c>
      <c r="M38" s="60" t="e">
        <f t="shared" ca="1" si="36"/>
        <v>#DIV/0!</v>
      </c>
      <c r="N38" s="60" t="e">
        <f t="shared" ca="1" si="37"/>
        <v>#DIV/0!</v>
      </c>
      <c r="P38" s="57">
        <f t="shared" ca="1" si="38"/>
        <v>0</v>
      </c>
      <c r="Q38" s="12" t="str">
        <f t="shared" si="7"/>
        <v>集計外</v>
      </c>
      <c r="R38" s="21">
        <f>終値履歴!D38</f>
        <v>0</v>
      </c>
      <c r="S38" s="107" t="e">
        <f t="shared" ca="1" si="39"/>
        <v>#DIV/0!</v>
      </c>
      <c r="T38" s="21">
        <f>終値履歴!E38</f>
        <v>0</v>
      </c>
      <c r="U38" s="107" t="e">
        <f t="shared" ca="1" si="40"/>
        <v>#DIV/0!</v>
      </c>
      <c r="W38" s="21">
        <f>終値履歴!F38</f>
        <v>0</v>
      </c>
      <c r="X38" s="107" t="e">
        <f t="shared" ca="1" si="41"/>
        <v>#DIV/0!</v>
      </c>
    </row>
    <row r="39" spans="2:24" x14ac:dyDescent="0.25">
      <c r="B39" s="49">
        <f>IPO監視一覧!B36</f>
        <v>0</v>
      </c>
      <c r="C39" s="62">
        <f>株価一覧!H38</f>
        <v>0</v>
      </c>
      <c r="D39" s="15">
        <f ca="1">OFFSET(終値履歴!A39,0,COUNTA(終値履歴!G39:'終値履歴'!XFD39)+2,1,-1)</f>
        <v>0</v>
      </c>
      <c r="E39" s="15">
        <f ca="1">OFFSET(終値履歴!A39,0,COUNTA(終値履歴!G39:'終値履歴'!XFD39)+3,1,-1)</f>
        <v>0</v>
      </c>
      <c r="F39" s="15">
        <f ca="1">OFFSET(終値履歴!A39,0,COUNTA(終値履歴!G39:'終値履歴'!XFD39)+4,1,-1)</f>
        <v>0</v>
      </c>
      <c r="G39" s="15">
        <f ca="1">OFFSET(終値履歴!A39,0,COUNTA(終値履歴!G39:'終値履歴'!XFD39)+5,1,-1)</f>
        <v>0</v>
      </c>
      <c r="I39" s="60" t="str">
        <f t="shared" ca="1" si="4"/>
        <v/>
      </c>
      <c r="J39" s="60" t="str">
        <f t="shared" ca="1" si="5"/>
        <v/>
      </c>
      <c r="K39" s="60" t="str">
        <f t="shared" ca="1" si="6"/>
        <v/>
      </c>
      <c r="M39" s="60" t="e">
        <f t="shared" ca="1" si="36"/>
        <v>#DIV/0!</v>
      </c>
      <c r="N39" s="60" t="e">
        <f t="shared" ca="1" si="37"/>
        <v>#DIV/0!</v>
      </c>
      <c r="P39" s="57">
        <f t="shared" ca="1" si="38"/>
        <v>0</v>
      </c>
      <c r="Q39" s="12" t="str">
        <f t="shared" si="7"/>
        <v>集計外</v>
      </c>
      <c r="R39" s="21">
        <f>終値履歴!D39</f>
        <v>0</v>
      </c>
      <c r="S39" s="107" t="e">
        <f t="shared" ca="1" si="39"/>
        <v>#DIV/0!</v>
      </c>
      <c r="T39" s="21">
        <f>終値履歴!E39</f>
        <v>0</v>
      </c>
      <c r="U39" s="107" t="e">
        <f t="shared" ca="1" si="40"/>
        <v>#DIV/0!</v>
      </c>
      <c r="W39" s="21">
        <f>終値履歴!F39</f>
        <v>0</v>
      </c>
      <c r="X39" s="107" t="e">
        <f t="shared" ca="1" si="41"/>
        <v>#DIV/0!</v>
      </c>
    </row>
    <row r="40" spans="2:24" x14ac:dyDescent="0.25">
      <c r="B40" s="49">
        <f>IPO監視一覧!B37</f>
        <v>0</v>
      </c>
      <c r="C40" s="62">
        <f>株価一覧!H39</f>
        <v>0</v>
      </c>
      <c r="D40" s="15">
        <f ca="1">OFFSET(終値履歴!A40,0,COUNTA(終値履歴!G40:'終値履歴'!XFD40)+2,1,-1)</f>
        <v>0</v>
      </c>
      <c r="E40" s="15">
        <f ca="1">OFFSET(終値履歴!A40,0,COUNTA(終値履歴!G40:'終値履歴'!XFD40)+3,1,-1)</f>
        <v>0</v>
      </c>
      <c r="F40" s="15">
        <f ca="1">OFFSET(終値履歴!A40,0,COUNTA(終値履歴!G40:'終値履歴'!XFD40)+4,1,-1)</f>
        <v>0</v>
      </c>
      <c r="G40" s="15">
        <f ca="1">OFFSET(終値履歴!A40,0,COUNTA(終値履歴!G40:'終値履歴'!XFD40)+5,1,-1)</f>
        <v>0</v>
      </c>
      <c r="I40" s="60" t="str">
        <f t="shared" ca="1" si="4"/>
        <v/>
      </c>
      <c r="J40" s="60" t="str">
        <f t="shared" ca="1" si="5"/>
        <v/>
      </c>
      <c r="K40" s="60" t="str">
        <f t="shared" ca="1" si="6"/>
        <v/>
      </c>
      <c r="M40" s="60" t="e">
        <f t="shared" ca="1" si="36"/>
        <v>#DIV/0!</v>
      </c>
      <c r="N40" s="60" t="e">
        <f t="shared" ca="1" si="37"/>
        <v>#DIV/0!</v>
      </c>
      <c r="P40" s="57">
        <f t="shared" ca="1" si="38"/>
        <v>0</v>
      </c>
      <c r="Q40" s="12" t="str">
        <f t="shared" si="7"/>
        <v>集計外</v>
      </c>
      <c r="R40" s="21">
        <f>終値履歴!D40</f>
        <v>0</v>
      </c>
      <c r="S40" s="107" t="e">
        <f t="shared" ca="1" si="39"/>
        <v>#DIV/0!</v>
      </c>
      <c r="T40" s="21">
        <f>終値履歴!E40</f>
        <v>0</v>
      </c>
      <c r="U40" s="107" t="e">
        <f t="shared" ca="1" si="40"/>
        <v>#DIV/0!</v>
      </c>
      <c r="W40" s="21">
        <f>終値履歴!F40</f>
        <v>0</v>
      </c>
      <c r="X40" s="107" t="e">
        <f t="shared" ca="1" si="41"/>
        <v>#DIV/0!</v>
      </c>
    </row>
  </sheetData>
  <mergeCells count="2">
    <mergeCell ref="I1:K1"/>
    <mergeCell ref="M1:N1"/>
  </mergeCells>
  <phoneticPr fontId="2"/>
  <conditionalFormatting sqref="O2">
    <cfRule type="cellIs" dxfId="36" priority="141" operator="lessThan">
      <formula>-0.1</formula>
    </cfRule>
  </conditionalFormatting>
  <conditionalFormatting sqref="O2">
    <cfRule type="cellIs" dxfId="35" priority="140" operator="lessThan">
      <formula>-0.1</formula>
    </cfRule>
  </conditionalFormatting>
  <conditionalFormatting sqref="I41:N1048576 L6:N40">
    <cfRule type="cellIs" dxfId="34" priority="139" operator="lessThan">
      <formula>-0.07</formula>
    </cfRule>
  </conditionalFormatting>
  <conditionalFormatting sqref="I41:N1048576 L6:N40">
    <cfRule type="cellIs" dxfId="33" priority="138" operator="greaterThan">
      <formula>0</formula>
    </cfRule>
  </conditionalFormatting>
  <conditionalFormatting sqref="C2 C12:C1048576">
    <cfRule type="cellIs" dxfId="32" priority="136" operator="lessThan">
      <formula>100000</formula>
    </cfRule>
    <cfRule type="cellIs" dxfId="31" priority="137" operator="lessThan">
      <formula>1000000</formula>
    </cfRule>
  </conditionalFormatting>
  <conditionalFormatting sqref="P6:P1048576">
    <cfRule type="cellIs" dxfId="30" priority="135" operator="greaterThan">
      <formula>0</formula>
    </cfRule>
  </conditionalFormatting>
  <conditionalFormatting sqref="P1:P2 P6:P1048576">
    <cfRule type="cellIs" dxfId="29" priority="134" operator="lessThan">
      <formula>0</formula>
    </cfRule>
  </conditionalFormatting>
  <conditionalFormatting sqref="U1:U2 S12:S1048576 U6:U1048576">
    <cfRule type="cellIs" dxfId="28" priority="132" operator="greaterThan">
      <formula>0.04</formula>
    </cfRule>
    <cfRule type="cellIs" dxfId="27" priority="133" operator="lessThan">
      <formula>0</formula>
    </cfRule>
  </conditionalFormatting>
  <conditionalFormatting sqref="B6:B1048576">
    <cfRule type="expression" dxfId="26" priority="130">
      <formula>$U6&gt;=0.1</formula>
    </cfRule>
    <cfRule type="expression" dxfId="25" priority="131">
      <formula>$G6&gt;$T6</formula>
    </cfRule>
  </conditionalFormatting>
  <conditionalFormatting sqref="X6:X1048576">
    <cfRule type="cellIs" dxfId="24" priority="128" operator="greaterThan">
      <formula>0.1</formula>
    </cfRule>
  </conditionalFormatting>
  <conditionalFormatting sqref="T6:XFD11 B6:B11 H6:H11 B41:XFD1048576 B12:H40 L12:XFD40 L6:Q11">
    <cfRule type="expression" dxfId="23" priority="116">
      <formula>CELL("ROW")=ROW()</formula>
    </cfRule>
  </conditionalFormatting>
  <conditionalFormatting sqref="V1:V1048576 L1:L1048576 O1:O1048576 Y1:Y1048576 H1:H1048576 A1:A1048576 Q1:Q1048576">
    <cfRule type="expression" dxfId="22" priority="115">
      <formula>CELL("ROW")=ROW()</formula>
    </cfRule>
  </conditionalFormatting>
  <conditionalFormatting sqref="S1:S2 S6:S11">
    <cfRule type="cellIs" dxfId="21" priority="113" operator="greaterThan">
      <formula>0.04</formula>
    </cfRule>
    <cfRule type="cellIs" dxfId="20" priority="114" operator="lessThan">
      <formula>0</formula>
    </cfRule>
  </conditionalFormatting>
  <conditionalFormatting sqref="R6:S11">
    <cfRule type="expression" dxfId="19" priority="110">
      <formula>CELL("ROW")=ROW()</formula>
    </cfRule>
  </conditionalFormatting>
  <conditionalFormatting sqref="Q1:Q2 Q6:Q1048576">
    <cfRule type="cellIs" dxfId="18" priority="108" operator="equal">
      <formula>"割安"</formula>
    </cfRule>
    <cfRule type="cellIs" dxfId="17" priority="109" operator="equal">
      <formula>"普通"</formula>
    </cfRule>
  </conditionalFormatting>
  <conditionalFormatting sqref="I3:N3 L4:N5 I4:K40">
    <cfRule type="cellIs" dxfId="16" priority="20" operator="lessThan">
      <formula>-0.07</formula>
    </cfRule>
  </conditionalFormatting>
  <conditionalFormatting sqref="I3:N3 L4:N5 I4:K40">
    <cfRule type="cellIs" dxfId="15" priority="19" operator="greaterThan">
      <formula>0</formula>
    </cfRule>
  </conditionalFormatting>
  <conditionalFormatting sqref="P3:P5">
    <cfRule type="cellIs" dxfId="14" priority="16" operator="greaterThan">
      <formula>0</formula>
    </cfRule>
  </conditionalFormatting>
  <conditionalFormatting sqref="P3:P5">
    <cfRule type="cellIs" dxfId="13" priority="15" operator="lessThan">
      <formula>0</formula>
    </cfRule>
  </conditionalFormatting>
  <conditionalFormatting sqref="S3:S5 U3:U5">
    <cfRule type="cellIs" dxfId="12" priority="13" operator="greaterThan">
      <formula>0.04</formula>
    </cfRule>
    <cfRule type="cellIs" dxfId="11" priority="14" operator="lessThan">
      <formula>0</formula>
    </cfRule>
  </conditionalFormatting>
  <conditionalFormatting sqref="X3:X5">
    <cfRule type="cellIs" dxfId="10" priority="10" operator="greaterThan">
      <formula>0.1</formula>
    </cfRule>
  </conditionalFormatting>
  <conditionalFormatting sqref="D3:XFD3 D6:G11 Q4:Q40 D4:H5 L4:XFD5 I4:K40">
    <cfRule type="expression" dxfId="9" priority="9">
      <formula>CELL("ROW")=ROW()</formula>
    </cfRule>
  </conditionalFormatting>
  <conditionalFormatting sqref="V3:V5 L3:L5 O3:O5 Y3:Y5 H3:H5 A3:A5 Q3:Q40">
    <cfRule type="expression" dxfId="8" priority="8">
      <formula>CELL("ROW")=ROW()</formula>
    </cfRule>
  </conditionalFormatting>
  <conditionalFormatting sqref="Q3:Q40">
    <cfRule type="cellIs" dxfId="7" priority="6" operator="equal">
      <formula>"割安"</formula>
    </cfRule>
    <cfRule type="cellIs" dxfId="6" priority="7" operator="equal">
      <formula>"普通"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BI33"/>
  <sheetViews>
    <sheetView zoomScale="70" zoomScaleNormal="70" workbookViewId="0">
      <pane xSplit="6" ySplit="2" topLeftCell="AY3" activePane="bottomRight" state="frozen"/>
      <selection pane="topRight" activeCell="G1" sqref="G1"/>
      <selection pane="bottomLeft" activeCell="A3" sqref="A3"/>
      <selection pane="bottomRight" activeCell="BI3" sqref="BI3:BI33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8" bestFit="1" customWidth="1"/>
    <col min="9" max="17" width="11.6640625" style="178" bestFit="1" customWidth="1"/>
    <col min="18" max="22" width="10.44140625" style="178" bestFit="1" customWidth="1"/>
    <col min="23" max="35" width="11.6640625" style="178" bestFit="1" customWidth="1"/>
    <col min="36" max="39" width="10.44140625" style="178" bestFit="1" customWidth="1"/>
    <col min="40" max="53" width="11.6640625" style="178" bestFit="1" customWidth="1"/>
    <col min="54" max="56" width="10.44140625" style="178" bestFit="1" customWidth="1"/>
    <col min="57" max="61" width="11.6640625" style="178" bestFit="1" customWidth="1"/>
    <col min="62" max="16384" width="8" style="178"/>
  </cols>
  <sheetData>
    <row r="1" spans="1:61" s="181" customFormat="1" x14ac:dyDescent="0.25">
      <c r="A1" s="180" t="s">
        <v>100</v>
      </c>
      <c r="B1" s="181" t="s">
        <v>101</v>
      </c>
      <c r="C1" s="182"/>
      <c r="D1" s="183"/>
      <c r="E1" s="182"/>
      <c r="F1" s="182"/>
    </row>
    <row r="2" spans="1:61" s="185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261</v>
      </c>
      <c r="F2" s="93" t="s">
        <v>262</v>
      </c>
      <c r="G2" s="184">
        <v>43145</v>
      </c>
      <c r="H2" s="184">
        <v>43150</v>
      </c>
      <c r="I2" s="184">
        <v>43151</v>
      </c>
      <c r="J2" s="184">
        <v>43152</v>
      </c>
      <c r="K2" s="184">
        <v>43153</v>
      </c>
      <c r="L2" s="184">
        <v>43154</v>
      </c>
      <c r="M2" s="184">
        <v>43157</v>
      </c>
      <c r="N2" s="184">
        <v>43158</v>
      </c>
      <c r="O2" s="184">
        <v>43159</v>
      </c>
      <c r="P2" s="184">
        <v>43160</v>
      </c>
      <c r="Q2" s="184">
        <v>43161</v>
      </c>
      <c r="R2" s="184">
        <v>43164</v>
      </c>
      <c r="S2" s="184">
        <v>43165</v>
      </c>
      <c r="T2" s="184">
        <v>43166</v>
      </c>
      <c r="U2" s="184">
        <v>43167</v>
      </c>
      <c r="V2" s="184">
        <v>43168</v>
      </c>
      <c r="W2" s="184">
        <v>43171</v>
      </c>
      <c r="X2" s="184">
        <v>43172</v>
      </c>
      <c r="Y2" s="184">
        <v>43173</v>
      </c>
      <c r="Z2" s="184">
        <v>43174</v>
      </c>
      <c r="AA2" s="184">
        <v>43175</v>
      </c>
      <c r="AB2" s="184">
        <v>43178</v>
      </c>
      <c r="AC2" s="184">
        <v>43181</v>
      </c>
      <c r="AD2" s="184">
        <v>43182</v>
      </c>
      <c r="AE2" s="184">
        <v>43185</v>
      </c>
      <c r="AF2" s="184">
        <v>43186</v>
      </c>
      <c r="AG2" s="184">
        <v>43187</v>
      </c>
      <c r="AH2" s="184">
        <v>43188</v>
      </c>
      <c r="AI2" s="184">
        <v>43189</v>
      </c>
      <c r="AJ2" s="184">
        <v>43192</v>
      </c>
      <c r="AK2" s="184">
        <v>43193</v>
      </c>
      <c r="AL2" s="184">
        <v>43194</v>
      </c>
      <c r="AM2" s="184">
        <v>43195</v>
      </c>
      <c r="AN2" s="184">
        <v>43200</v>
      </c>
      <c r="AO2" s="184">
        <v>43201</v>
      </c>
      <c r="AP2" s="184">
        <v>43202</v>
      </c>
      <c r="AQ2" s="184">
        <v>43203</v>
      </c>
      <c r="AR2" s="184">
        <v>43206</v>
      </c>
      <c r="AS2" s="184">
        <v>43207</v>
      </c>
      <c r="AT2" s="184">
        <v>43208</v>
      </c>
      <c r="AU2" s="184">
        <v>43209</v>
      </c>
      <c r="AV2" s="184">
        <v>43210</v>
      </c>
      <c r="AW2" s="184">
        <v>43213</v>
      </c>
      <c r="AX2" s="184">
        <v>43214</v>
      </c>
      <c r="AY2" s="184">
        <v>43215</v>
      </c>
      <c r="AZ2" s="184">
        <v>43216</v>
      </c>
      <c r="BA2" s="184">
        <v>43217</v>
      </c>
      <c r="BB2" s="184">
        <v>43227</v>
      </c>
      <c r="BC2" s="184">
        <v>43228</v>
      </c>
      <c r="BD2" s="184">
        <v>43229</v>
      </c>
      <c r="BE2" s="184">
        <v>43230</v>
      </c>
      <c r="BF2" s="184">
        <v>43231</v>
      </c>
      <c r="BG2" s="184">
        <v>43234</v>
      </c>
      <c r="BH2" s="184">
        <v>43235</v>
      </c>
      <c r="BI2" s="184">
        <v>43236</v>
      </c>
    </row>
    <row r="3" spans="1:61" s="179" customFormat="1" ht="16.5" thickTop="1" x14ac:dyDescent="0.25">
      <c r="A3" s="43" t="s">
        <v>126</v>
      </c>
      <c r="B3" s="43" t="str">
        <f>セカンダリ投資分析!B3</f>
        <v>リミックスポイント</v>
      </c>
      <c r="C3" s="177">
        <f>株価一覧!E2</f>
        <v>1407</v>
      </c>
      <c r="D3" s="177">
        <f t="shared" ref="D3:D11" ca="1" si="0">AVERAGE(OFFSET(A3,0,COUNTA(G3:XFD3)+5,1,-5))</f>
        <v>1126.4000000000001</v>
      </c>
      <c r="E3" s="177">
        <f ca="1">IF(F3=0,0,AVERAGE(OFFSET(A3,0,COUNTA(G3:XFD3)+5,1,-15)))</f>
        <v>1073.5333333333333</v>
      </c>
      <c r="F3" s="177">
        <f ca="1">MIN(OFFSET(B3,0,COUNTA(G3:XFD3)+5,1,-15))</f>
        <v>991</v>
      </c>
      <c r="G3" s="179">
        <v>875</v>
      </c>
      <c r="H3" s="179">
        <v>1042</v>
      </c>
      <c r="I3" s="179">
        <v>1062</v>
      </c>
      <c r="J3" s="179">
        <v>1008</v>
      </c>
      <c r="K3" s="179">
        <v>1084</v>
      </c>
      <c r="L3" s="179">
        <v>1071</v>
      </c>
      <c r="M3" s="179">
        <v>1052</v>
      </c>
      <c r="N3" s="179">
        <v>1015</v>
      </c>
      <c r="O3" s="179">
        <v>1059</v>
      </c>
      <c r="P3" s="179">
        <v>1044</v>
      </c>
      <c r="Q3" s="179">
        <v>1073</v>
      </c>
      <c r="R3" s="179">
        <v>1002</v>
      </c>
      <c r="S3" s="179">
        <v>982</v>
      </c>
      <c r="T3" s="179">
        <v>921</v>
      </c>
      <c r="U3" s="179">
        <v>952</v>
      </c>
      <c r="V3" s="179">
        <v>977</v>
      </c>
      <c r="W3" s="179">
        <v>966</v>
      </c>
      <c r="X3" s="179">
        <v>996</v>
      </c>
      <c r="Y3" s="179">
        <v>1030</v>
      </c>
      <c r="Z3" s="179">
        <v>1008</v>
      </c>
      <c r="AA3" s="179">
        <v>1040</v>
      </c>
      <c r="AB3" s="179">
        <v>976</v>
      </c>
      <c r="AC3" s="179">
        <v>902</v>
      </c>
      <c r="AD3" s="179">
        <v>838</v>
      </c>
      <c r="AE3" s="179">
        <v>852</v>
      </c>
      <c r="AF3" s="179">
        <v>845</v>
      </c>
      <c r="AG3" s="179">
        <v>890</v>
      </c>
      <c r="AH3" s="179">
        <v>871</v>
      </c>
      <c r="AI3" s="179">
        <v>874</v>
      </c>
      <c r="AJ3" s="179">
        <v>889</v>
      </c>
      <c r="AK3" s="179">
        <v>890</v>
      </c>
      <c r="AL3" s="179">
        <v>909</v>
      </c>
      <c r="AM3" s="179">
        <v>871</v>
      </c>
      <c r="AN3" s="179">
        <v>855</v>
      </c>
      <c r="AO3" s="179">
        <v>839</v>
      </c>
      <c r="AP3" s="179">
        <v>804</v>
      </c>
      <c r="AQ3" s="179">
        <v>818</v>
      </c>
      <c r="AR3" s="179">
        <v>810</v>
      </c>
      <c r="AS3" s="179">
        <v>811</v>
      </c>
      <c r="AT3" s="179">
        <v>820</v>
      </c>
      <c r="AU3" s="179">
        <v>904</v>
      </c>
      <c r="AV3" s="179">
        <v>991</v>
      </c>
      <c r="AW3" s="179">
        <v>1055</v>
      </c>
      <c r="AX3" s="179">
        <v>1025</v>
      </c>
      <c r="AY3" s="179">
        <v>1036</v>
      </c>
      <c r="AZ3" s="179">
        <v>1089</v>
      </c>
      <c r="BA3" s="179">
        <v>1042</v>
      </c>
      <c r="BB3" s="179">
        <v>1162</v>
      </c>
      <c r="BC3" s="179">
        <v>1098</v>
      </c>
      <c r="BD3" s="179">
        <v>1069</v>
      </c>
      <c r="BE3" s="179">
        <v>1047</v>
      </c>
      <c r="BF3" s="179">
        <v>1029</v>
      </c>
      <c r="BG3" s="179">
        <v>1042</v>
      </c>
      <c r="BH3" s="179">
        <v>1107</v>
      </c>
      <c r="BI3" s="179">
        <v>1407</v>
      </c>
    </row>
    <row r="4" spans="1:61" x14ac:dyDescent="0.25">
      <c r="A4" s="49" t="s">
        <v>126</v>
      </c>
      <c r="B4" s="49" t="str">
        <f>セカンダリ投資分析!B5</f>
        <v>トレイダーズHD</v>
      </c>
      <c r="C4" s="177">
        <f>株価一覧!E3</f>
        <v>114</v>
      </c>
      <c r="D4" s="105">
        <f t="shared" ca="1" si="0"/>
        <v>115</v>
      </c>
      <c r="E4" s="177">
        <f t="shared" ref="E4:E33" ca="1" si="1">IF(F4=0,0,AVERAGE(OFFSET(A4,0,COUNTA(G4:XFD4)+5,1,-15)))</f>
        <v>115.6</v>
      </c>
      <c r="F4" s="110">
        <f ca="1">MIN(OFFSET(B4,0,COUNTA(G4:XFD4)+5,1,-15))</f>
        <v>108</v>
      </c>
      <c r="G4" s="178">
        <v>125</v>
      </c>
      <c r="H4" s="178">
        <v>132</v>
      </c>
      <c r="I4" s="178">
        <v>128</v>
      </c>
      <c r="J4" s="178">
        <v>129</v>
      </c>
      <c r="K4" s="178">
        <v>127</v>
      </c>
      <c r="L4" s="178">
        <v>127</v>
      </c>
      <c r="M4" s="178">
        <v>126</v>
      </c>
      <c r="N4" s="178">
        <v>123</v>
      </c>
      <c r="O4" s="178">
        <v>126</v>
      </c>
      <c r="P4" s="178">
        <v>124</v>
      </c>
      <c r="Q4" s="178">
        <v>122</v>
      </c>
      <c r="R4" s="178">
        <v>116</v>
      </c>
      <c r="S4" s="178">
        <v>117</v>
      </c>
      <c r="T4" s="178">
        <v>114</v>
      </c>
      <c r="U4" s="178">
        <v>121</v>
      </c>
      <c r="V4" s="178">
        <v>121</v>
      </c>
      <c r="W4" s="178">
        <v>117</v>
      </c>
      <c r="X4" s="178">
        <v>119</v>
      </c>
      <c r="Y4" s="178">
        <v>118</v>
      </c>
      <c r="Z4" s="178">
        <v>119</v>
      </c>
      <c r="AA4" s="178">
        <v>116</v>
      </c>
      <c r="AB4" s="178">
        <v>113</v>
      </c>
      <c r="AC4" s="178">
        <v>108</v>
      </c>
      <c r="AD4" s="178">
        <v>102</v>
      </c>
      <c r="AE4" s="178">
        <v>101</v>
      </c>
      <c r="AF4" s="178">
        <v>101</v>
      </c>
      <c r="AG4" s="178">
        <v>107</v>
      </c>
      <c r="AH4" s="178">
        <v>107</v>
      </c>
      <c r="AI4" s="178">
        <v>111</v>
      </c>
      <c r="AJ4" s="178">
        <v>107</v>
      </c>
      <c r="AK4" s="178">
        <v>105</v>
      </c>
      <c r="AL4" s="178">
        <v>104</v>
      </c>
      <c r="AM4" s="178">
        <v>104</v>
      </c>
      <c r="AN4" s="178">
        <v>111</v>
      </c>
      <c r="AO4" s="178">
        <v>105</v>
      </c>
      <c r="AP4" s="178">
        <v>106</v>
      </c>
      <c r="AQ4" s="178">
        <v>106</v>
      </c>
      <c r="AR4" s="178">
        <v>104</v>
      </c>
      <c r="AS4" s="178">
        <v>102</v>
      </c>
      <c r="AT4" s="178">
        <v>112</v>
      </c>
      <c r="AU4" s="178">
        <v>106</v>
      </c>
      <c r="AV4" s="178">
        <v>108</v>
      </c>
      <c r="AW4" s="178">
        <v>112</v>
      </c>
      <c r="AX4" s="178">
        <v>121</v>
      </c>
      <c r="AY4" s="178">
        <v>119</v>
      </c>
      <c r="AZ4" s="178">
        <v>111</v>
      </c>
      <c r="BA4" s="178">
        <v>123</v>
      </c>
      <c r="BB4" s="178">
        <v>122</v>
      </c>
      <c r="BC4" s="178">
        <v>119</v>
      </c>
      <c r="BD4" s="178">
        <v>118</v>
      </c>
      <c r="BE4" s="178">
        <v>116</v>
      </c>
      <c r="BF4" s="178">
        <v>115</v>
      </c>
      <c r="BG4" s="178">
        <v>118</v>
      </c>
      <c r="BH4" s="178">
        <v>112</v>
      </c>
      <c r="BI4" s="178">
        <v>114</v>
      </c>
    </row>
    <row r="5" spans="1:61" x14ac:dyDescent="0.25">
      <c r="A5" s="49" t="s">
        <v>126</v>
      </c>
      <c r="B5" s="49" t="str">
        <f>セカンダリ投資分析!B6</f>
        <v>ソレイジア・ファーマ</v>
      </c>
      <c r="C5" s="177">
        <f>株価一覧!E4</f>
        <v>341</v>
      </c>
      <c r="D5" s="105">
        <f ca="1">AVERAGE(OFFSET(A5,0,COUNTA(G5:XFD5)+5,1,-5))</f>
        <v>336</v>
      </c>
      <c r="E5" s="177">
        <f t="shared" ca="1" si="1"/>
        <v>337.86666666666667</v>
      </c>
      <c r="F5" s="110">
        <f ca="1">MIN(OFFSET(B5,0,COUNTA(G5:XFD5)+5,1,-15))</f>
        <v>328</v>
      </c>
      <c r="G5" s="178">
        <v>290</v>
      </c>
      <c r="H5" s="178">
        <v>317</v>
      </c>
      <c r="I5" s="178">
        <v>313</v>
      </c>
      <c r="J5" s="178">
        <v>319</v>
      </c>
      <c r="K5" s="178">
        <v>309</v>
      </c>
      <c r="L5" s="178">
        <v>309</v>
      </c>
      <c r="M5" s="178">
        <v>309</v>
      </c>
      <c r="N5" s="178">
        <v>309</v>
      </c>
      <c r="O5" s="178">
        <v>314</v>
      </c>
      <c r="P5" s="178">
        <v>312</v>
      </c>
      <c r="Q5" s="178">
        <v>313</v>
      </c>
      <c r="R5" s="178">
        <v>306</v>
      </c>
      <c r="S5" s="178">
        <v>310</v>
      </c>
      <c r="T5" s="178">
        <v>304</v>
      </c>
      <c r="U5" s="178">
        <v>310</v>
      </c>
      <c r="V5" s="178">
        <v>311</v>
      </c>
      <c r="W5" s="178">
        <v>319</v>
      </c>
      <c r="X5" s="178">
        <v>368</v>
      </c>
      <c r="Y5" s="178">
        <v>380</v>
      </c>
      <c r="Z5" s="178">
        <v>380</v>
      </c>
      <c r="AA5" s="178">
        <v>361</v>
      </c>
      <c r="AB5" s="178">
        <v>375</v>
      </c>
      <c r="AC5" s="178">
        <v>374</v>
      </c>
      <c r="AD5" s="178">
        <v>359</v>
      </c>
      <c r="AE5" s="178">
        <v>367</v>
      </c>
      <c r="AF5" s="178">
        <v>361</v>
      </c>
      <c r="AG5" s="178">
        <v>369</v>
      </c>
      <c r="AH5" s="178">
        <v>391</v>
      </c>
      <c r="AI5" s="178">
        <v>376</v>
      </c>
      <c r="AJ5" s="178">
        <v>366</v>
      </c>
      <c r="AK5" s="178">
        <v>367</v>
      </c>
      <c r="AL5" s="178">
        <v>362</v>
      </c>
      <c r="AM5" s="178">
        <v>354</v>
      </c>
      <c r="AN5" s="178">
        <v>354</v>
      </c>
      <c r="AO5" s="178">
        <v>338</v>
      </c>
      <c r="AP5" s="178">
        <v>332</v>
      </c>
      <c r="AQ5" s="178">
        <v>344</v>
      </c>
      <c r="AR5" s="178">
        <v>335</v>
      </c>
      <c r="AS5" s="178">
        <v>325</v>
      </c>
      <c r="AT5" s="178">
        <v>327</v>
      </c>
      <c r="AU5" s="178">
        <v>324</v>
      </c>
      <c r="AV5" s="178">
        <v>335</v>
      </c>
      <c r="AW5" s="178">
        <v>338</v>
      </c>
      <c r="AX5" s="178">
        <v>343</v>
      </c>
      <c r="AY5" s="178">
        <v>350</v>
      </c>
      <c r="AZ5" s="178">
        <v>342</v>
      </c>
      <c r="BA5" s="178">
        <v>340</v>
      </c>
      <c r="BB5" s="178">
        <v>338</v>
      </c>
      <c r="BC5" s="178">
        <v>338</v>
      </c>
      <c r="BD5" s="178">
        <v>340</v>
      </c>
      <c r="BE5" s="178">
        <v>338</v>
      </c>
      <c r="BF5" s="178">
        <v>336</v>
      </c>
      <c r="BG5" s="178">
        <v>337</v>
      </c>
      <c r="BH5" s="178">
        <v>328</v>
      </c>
      <c r="BI5" s="178">
        <v>341</v>
      </c>
    </row>
    <row r="6" spans="1:61" s="179" customFormat="1" x14ac:dyDescent="0.25">
      <c r="A6" s="49" t="str">
        <f>IPO監視一覧!H3</f>
        <v>A</v>
      </c>
      <c r="B6" s="43" t="str">
        <f>IPO監視一覧!B3</f>
        <v>Ｍマート</v>
      </c>
      <c r="C6" s="177">
        <f>株価一覧!E5</f>
        <v>3555</v>
      </c>
      <c r="D6" s="110">
        <f ca="1">AVERAGE(OFFSET(A6,0,COUNTA(G6:XFD6)+5,1,-5))</f>
        <v>3705</v>
      </c>
      <c r="E6" s="177">
        <f t="shared" ca="1" si="1"/>
        <v>3668</v>
      </c>
      <c r="F6" s="110">
        <f ca="1">MIN(OFFSET(B6,0,COUNTA(G6:XFD6)+5,1,-15))</f>
        <v>3525</v>
      </c>
      <c r="G6" s="179">
        <v>0</v>
      </c>
      <c r="H6" s="179">
        <v>0</v>
      </c>
      <c r="I6" s="179">
        <v>0</v>
      </c>
      <c r="J6" s="179">
        <v>0</v>
      </c>
      <c r="K6" s="179">
        <v>0</v>
      </c>
      <c r="L6" s="179">
        <v>0</v>
      </c>
      <c r="M6" s="179">
        <v>6200</v>
      </c>
      <c r="N6" s="179">
        <v>5860</v>
      </c>
      <c r="O6" s="179">
        <v>5790</v>
      </c>
      <c r="P6" s="179">
        <v>5850</v>
      </c>
      <c r="Q6" s="179">
        <v>5370</v>
      </c>
      <c r="R6" s="179">
        <v>4610</v>
      </c>
      <c r="S6" s="179">
        <v>4485</v>
      </c>
      <c r="T6" s="179">
        <v>4255</v>
      </c>
      <c r="U6" s="179">
        <v>4400</v>
      </c>
      <c r="V6" s="179">
        <v>4450</v>
      </c>
      <c r="W6" s="179">
        <v>4295</v>
      </c>
      <c r="X6" s="179">
        <v>4350</v>
      </c>
      <c r="Y6" s="179">
        <v>4475</v>
      </c>
      <c r="Z6" s="179">
        <v>4515</v>
      </c>
      <c r="AA6" s="179">
        <v>4955</v>
      </c>
      <c r="AB6" s="179">
        <v>4535</v>
      </c>
      <c r="AC6" s="179">
        <v>4100</v>
      </c>
      <c r="AD6" s="179">
        <v>3755</v>
      </c>
      <c r="AE6" s="179">
        <v>3860</v>
      </c>
      <c r="AF6" s="179">
        <v>4070</v>
      </c>
      <c r="AG6" s="179">
        <v>4245</v>
      </c>
      <c r="AH6" s="179">
        <v>4240</v>
      </c>
      <c r="AI6" s="179">
        <v>4175</v>
      </c>
      <c r="AJ6" s="179">
        <v>4265</v>
      </c>
      <c r="AK6" s="179">
        <v>4135</v>
      </c>
      <c r="AL6" s="179">
        <v>3880</v>
      </c>
      <c r="AM6" s="179">
        <v>3985</v>
      </c>
      <c r="AN6" s="179">
        <v>4025</v>
      </c>
      <c r="AO6" s="179">
        <v>3890</v>
      </c>
      <c r="AP6" s="179">
        <v>3815</v>
      </c>
      <c r="AQ6" s="179">
        <v>3820</v>
      </c>
      <c r="AR6" s="179">
        <v>3720</v>
      </c>
      <c r="AS6" s="179">
        <v>3775</v>
      </c>
      <c r="AT6" s="179">
        <v>3830</v>
      </c>
      <c r="AU6" s="179">
        <v>3770</v>
      </c>
      <c r="AV6" s="179">
        <v>3755</v>
      </c>
      <c r="AW6" s="179">
        <v>3690</v>
      </c>
      <c r="AX6" s="179">
        <v>3700</v>
      </c>
      <c r="AY6" s="179">
        <v>3655</v>
      </c>
      <c r="AZ6" s="179">
        <v>3665</v>
      </c>
      <c r="BA6" s="179">
        <v>3590</v>
      </c>
      <c r="BB6" s="179">
        <v>3525</v>
      </c>
      <c r="BC6" s="179">
        <v>3565</v>
      </c>
      <c r="BD6" s="179">
        <v>3580</v>
      </c>
      <c r="BE6" s="179">
        <v>3590</v>
      </c>
      <c r="BF6" s="179">
        <v>3740</v>
      </c>
      <c r="BG6" s="179">
        <v>3870</v>
      </c>
      <c r="BH6" s="179">
        <v>3770</v>
      </c>
      <c r="BI6" s="179">
        <v>3555</v>
      </c>
    </row>
    <row r="7" spans="1:61" x14ac:dyDescent="0.25">
      <c r="A7" s="49" t="str">
        <f>IPO監視一覧!H4</f>
        <v>A</v>
      </c>
      <c r="B7" s="49" t="str">
        <f>IPO監視一覧!B4</f>
        <v>ジェイテックコーポレーション</v>
      </c>
      <c r="C7" s="177">
        <f>株価一覧!E6</f>
        <v>7080</v>
      </c>
      <c r="D7" s="105">
        <f t="shared" ca="1" si="0"/>
        <v>7820</v>
      </c>
      <c r="E7" s="177">
        <f t="shared" ca="1" si="1"/>
        <v>8361.3333333333339</v>
      </c>
      <c r="F7" s="110">
        <f t="shared" ref="F7:F33" ca="1" si="2">MIN(OFFSET(B7,0,COUNTA(G7:XFD7)+5,1,-15))</f>
        <v>7080</v>
      </c>
      <c r="G7" s="178">
        <v>0</v>
      </c>
      <c r="H7" s="178">
        <v>0</v>
      </c>
      <c r="I7" s="178">
        <v>0</v>
      </c>
      <c r="J7" s="178">
        <v>0</v>
      </c>
      <c r="K7" s="178">
        <v>0</v>
      </c>
      <c r="L7" s="178">
        <v>0</v>
      </c>
      <c r="M7" s="178">
        <v>0</v>
      </c>
      <c r="N7" s="178">
        <v>0</v>
      </c>
      <c r="O7" s="178">
        <v>0</v>
      </c>
      <c r="P7" s="178">
        <v>11190</v>
      </c>
      <c r="Q7" s="178">
        <v>12520</v>
      </c>
      <c r="R7" s="178">
        <v>11120</v>
      </c>
      <c r="S7" s="178">
        <v>10000</v>
      </c>
      <c r="T7" s="178">
        <v>8900</v>
      </c>
      <c r="U7" s="178">
        <v>10390</v>
      </c>
      <c r="V7" s="178">
        <v>9460</v>
      </c>
      <c r="W7" s="178">
        <v>9690</v>
      </c>
      <c r="X7" s="178">
        <v>10960</v>
      </c>
      <c r="Y7" s="178">
        <v>11170</v>
      </c>
      <c r="Z7" s="178">
        <v>10240</v>
      </c>
      <c r="AA7" s="178">
        <v>10000</v>
      </c>
      <c r="AB7" s="178">
        <v>9450</v>
      </c>
      <c r="AC7" s="178">
        <v>9000</v>
      </c>
      <c r="AD7" s="178">
        <v>8170</v>
      </c>
      <c r="AE7" s="178">
        <v>8370</v>
      </c>
      <c r="AF7" s="178">
        <v>8040</v>
      </c>
      <c r="AG7" s="178">
        <v>7880</v>
      </c>
      <c r="AH7" s="178">
        <v>8060</v>
      </c>
      <c r="AI7" s="178">
        <v>8640</v>
      </c>
      <c r="AJ7" s="178">
        <v>8350</v>
      </c>
      <c r="AK7" s="178">
        <v>8900</v>
      </c>
      <c r="AL7" s="178">
        <v>8400</v>
      </c>
      <c r="AM7" s="178">
        <v>8210</v>
      </c>
      <c r="AN7" s="178">
        <v>8800</v>
      </c>
      <c r="AO7" s="178">
        <v>8740</v>
      </c>
      <c r="AP7" s="178">
        <v>9070</v>
      </c>
      <c r="AQ7" s="178">
        <v>9790</v>
      </c>
      <c r="AR7" s="178">
        <v>9430</v>
      </c>
      <c r="AS7" s="178">
        <v>9390</v>
      </c>
      <c r="AT7" s="178">
        <v>9020</v>
      </c>
      <c r="AU7" s="178">
        <v>8970</v>
      </c>
      <c r="AV7" s="178">
        <v>8790</v>
      </c>
      <c r="AW7" s="178">
        <v>8750</v>
      </c>
      <c r="AX7" s="178">
        <v>9150</v>
      </c>
      <c r="AY7" s="178">
        <v>9020</v>
      </c>
      <c r="AZ7" s="178">
        <v>8640</v>
      </c>
      <c r="BA7" s="178">
        <v>8430</v>
      </c>
      <c r="BB7" s="178">
        <v>8250</v>
      </c>
      <c r="BC7" s="178">
        <v>8160</v>
      </c>
      <c r="BD7" s="178">
        <v>8160</v>
      </c>
      <c r="BE7" s="178">
        <v>8130</v>
      </c>
      <c r="BF7" s="178">
        <v>8160</v>
      </c>
      <c r="BG7" s="178">
        <v>8410</v>
      </c>
      <c r="BH7" s="178">
        <v>7320</v>
      </c>
      <c r="BI7" s="178">
        <v>7080</v>
      </c>
    </row>
    <row r="8" spans="1:61" x14ac:dyDescent="0.25">
      <c r="A8" s="49" t="str">
        <f>IPO監視一覧!H5</f>
        <v>B</v>
      </c>
      <c r="B8" s="49" t="str">
        <f>IPO監視一覧!B5</f>
        <v>ＳＥＲＩＯＨＤ</v>
      </c>
      <c r="C8" s="177">
        <f>株価一覧!E7</f>
        <v>2021</v>
      </c>
      <c r="D8" s="105">
        <f t="shared" ca="1" si="0"/>
        <v>2113</v>
      </c>
      <c r="E8" s="177">
        <f t="shared" ca="1" si="1"/>
        <v>2105.6</v>
      </c>
      <c r="F8" s="110">
        <f t="shared" ca="1" si="2"/>
        <v>2008</v>
      </c>
      <c r="G8" s="178">
        <v>0</v>
      </c>
      <c r="H8" s="178">
        <v>0</v>
      </c>
      <c r="I8" s="178">
        <v>0</v>
      </c>
      <c r="J8" s="178">
        <v>0</v>
      </c>
      <c r="K8" s="178">
        <v>0</v>
      </c>
      <c r="L8" s="178">
        <v>0</v>
      </c>
      <c r="M8" s="178">
        <v>0</v>
      </c>
      <c r="N8" s="178">
        <v>0</v>
      </c>
      <c r="O8" s="178">
        <v>0</v>
      </c>
      <c r="P8" s="178">
        <v>0</v>
      </c>
      <c r="Q8" s="178">
        <v>0</v>
      </c>
      <c r="R8" s="178">
        <v>3400</v>
      </c>
      <c r="S8" s="178">
        <v>3085</v>
      </c>
      <c r="T8" s="178">
        <v>2859</v>
      </c>
      <c r="U8" s="178">
        <v>3020</v>
      </c>
      <c r="V8" s="178">
        <v>2941</v>
      </c>
      <c r="W8" s="178">
        <v>2898</v>
      </c>
      <c r="X8" s="178">
        <v>3095</v>
      </c>
      <c r="Y8" s="178">
        <v>3190</v>
      </c>
      <c r="Z8" s="178">
        <v>3030</v>
      </c>
      <c r="AA8" s="178">
        <v>2911</v>
      </c>
      <c r="AB8" s="178">
        <v>2807</v>
      </c>
      <c r="AC8" s="178">
        <v>2755</v>
      </c>
      <c r="AD8" s="178">
        <v>2574</v>
      </c>
      <c r="AE8" s="178">
        <v>2500</v>
      </c>
      <c r="AF8" s="178">
        <v>2513</v>
      </c>
      <c r="AG8" s="178">
        <v>2450</v>
      </c>
      <c r="AH8" s="178">
        <v>2640</v>
      </c>
      <c r="AI8" s="178">
        <v>2660</v>
      </c>
      <c r="AJ8" s="178">
        <v>2701</v>
      </c>
      <c r="AK8" s="178">
        <v>2619</v>
      </c>
      <c r="AL8" s="178">
        <v>2620</v>
      </c>
      <c r="AM8" s="178">
        <v>2637</v>
      </c>
      <c r="AN8" s="178">
        <v>2552</v>
      </c>
      <c r="AO8" s="178">
        <v>2355</v>
      </c>
      <c r="AP8" s="178">
        <v>2349</v>
      </c>
      <c r="AQ8" s="178">
        <v>2218</v>
      </c>
      <c r="AR8" s="178">
        <v>2002</v>
      </c>
      <c r="AS8" s="178">
        <v>2084</v>
      </c>
      <c r="AT8" s="178">
        <v>2157</v>
      </c>
      <c r="AU8" s="178">
        <v>2135</v>
      </c>
      <c r="AV8" s="178">
        <v>2192</v>
      </c>
      <c r="AW8" s="178">
        <v>2161</v>
      </c>
      <c r="AX8" s="178">
        <v>2157</v>
      </c>
      <c r="AY8" s="178">
        <v>2117</v>
      </c>
      <c r="AZ8" s="178">
        <v>2039</v>
      </c>
      <c r="BA8" s="178">
        <v>2014</v>
      </c>
      <c r="BB8" s="178">
        <v>2008</v>
      </c>
      <c r="BC8" s="178">
        <v>2094</v>
      </c>
      <c r="BD8" s="178">
        <v>2102</v>
      </c>
      <c r="BE8" s="178">
        <v>2110</v>
      </c>
      <c r="BF8" s="178">
        <v>2146</v>
      </c>
      <c r="BG8" s="178">
        <v>2212</v>
      </c>
      <c r="BH8" s="178">
        <v>2076</v>
      </c>
      <c r="BI8" s="178">
        <v>2021</v>
      </c>
    </row>
    <row r="9" spans="1:61" x14ac:dyDescent="0.25">
      <c r="A9" s="49" t="str">
        <f>IPO監視一覧!H6</f>
        <v>C</v>
      </c>
      <c r="B9" s="49" t="str">
        <f>IPO監視一覧!B6</f>
        <v>神戸天然物化学</v>
      </c>
      <c r="C9" s="177">
        <f>株価一覧!E8</f>
        <v>3225</v>
      </c>
      <c r="D9" s="105">
        <f t="shared" ca="1" si="0"/>
        <v>3444</v>
      </c>
      <c r="E9" s="177">
        <f t="shared" ca="1" si="1"/>
        <v>3576.6666666666665</v>
      </c>
      <c r="F9" s="110">
        <f t="shared" ca="1" si="2"/>
        <v>3225</v>
      </c>
      <c r="G9" s="178">
        <v>0</v>
      </c>
      <c r="H9" s="178">
        <v>0</v>
      </c>
      <c r="I9" s="178">
        <v>0</v>
      </c>
      <c r="J9" s="178">
        <v>0</v>
      </c>
      <c r="K9" s="178">
        <v>0</v>
      </c>
      <c r="L9" s="178">
        <v>0</v>
      </c>
      <c r="M9" s="178">
        <v>0</v>
      </c>
      <c r="N9" s="178">
        <v>0</v>
      </c>
      <c r="O9" s="178">
        <v>0</v>
      </c>
      <c r="P9" s="178">
        <v>0</v>
      </c>
      <c r="Q9" s="178">
        <v>0</v>
      </c>
      <c r="R9" s="178">
        <v>0</v>
      </c>
      <c r="S9" s="178">
        <v>0</v>
      </c>
      <c r="T9" s="178">
        <v>0</v>
      </c>
      <c r="U9" s="178">
        <v>0</v>
      </c>
      <c r="V9" s="178">
        <v>0</v>
      </c>
      <c r="W9" s="178">
        <v>0</v>
      </c>
      <c r="X9" s="178">
        <v>0</v>
      </c>
      <c r="Y9" s="178">
        <v>0</v>
      </c>
      <c r="Z9" s="178">
        <v>0</v>
      </c>
      <c r="AA9" s="178">
        <v>3390</v>
      </c>
      <c r="AB9" s="178">
        <v>3770</v>
      </c>
      <c r="AC9" s="178">
        <v>3595</v>
      </c>
      <c r="AD9" s="178">
        <v>3140</v>
      </c>
      <c r="AE9" s="178">
        <v>3350</v>
      </c>
      <c r="AF9" s="178">
        <v>3280</v>
      </c>
      <c r="AG9" s="178">
        <v>3520</v>
      </c>
      <c r="AH9" s="178">
        <v>3610</v>
      </c>
      <c r="AI9" s="178">
        <v>4310</v>
      </c>
      <c r="AJ9" s="178">
        <v>4325</v>
      </c>
      <c r="AK9" s="178">
        <v>4510</v>
      </c>
      <c r="AL9" s="178">
        <v>4260</v>
      </c>
      <c r="AM9" s="178">
        <v>4515</v>
      </c>
      <c r="AN9" s="178">
        <v>4415</v>
      </c>
      <c r="AO9" s="178">
        <v>4080</v>
      </c>
      <c r="AP9" s="178">
        <v>4015</v>
      </c>
      <c r="AQ9" s="178">
        <v>4075</v>
      </c>
      <c r="AR9" s="178">
        <v>3835</v>
      </c>
      <c r="AS9" s="178">
        <v>3885</v>
      </c>
      <c r="AT9" s="178">
        <v>3905</v>
      </c>
      <c r="AU9" s="178">
        <v>3770</v>
      </c>
      <c r="AV9" s="178">
        <v>3750</v>
      </c>
      <c r="AW9" s="178">
        <v>3550</v>
      </c>
      <c r="AX9" s="178">
        <v>3630</v>
      </c>
      <c r="AY9" s="178">
        <v>3855</v>
      </c>
      <c r="AZ9" s="178">
        <v>3675</v>
      </c>
      <c r="BA9" s="178">
        <v>3590</v>
      </c>
      <c r="BB9" s="178">
        <v>3590</v>
      </c>
      <c r="BC9" s="178">
        <v>3530</v>
      </c>
      <c r="BD9" s="178">
        <v>3490</v>
      </c>
      <c r="BE9" s="178">
        <v>3555</v>
      </c>
      <c r="BF9" s="178">
        <v>3455</v>
      </c>
      <c r="BG9" s="178">
        <v>3635</v>
      </c>
      <c r="BH9" s="178">
        <v>3350</v>
      </c>
      <c r="BI9" s="178">
        <v>3225</v>
      </c>
    </row>
    <row r="10" spans="1:61" x14ac:dyDescent="0.25">
      <c r="A10" s="49" t="str">
        <f>IPO監視一覧!H7</f>
        <v>D</v>
      </c>
      <c r="B10" s="54" t="str">
        <f>IPO監視一覧!B7</f>
        <v>日総工産</v>
      </c>
      <c r="C10" s="177">
        <f>株価一覧!E9</f>
        <v>4860</v>
      </c>
      <c r="D10" s="105">
        <f t="shared" ca="1" si="0"/>
        <v>4747</v>
      </c>
      <c r="E10" s="177">
        <f t="shared" ca="1" si="1"/>
        <v>4431</v>
      </c>
      <c r="F10" s="110">
        <f t="shared" ca="1" si="2"/>
        <v>3930</v>
      </c>
      <c r="G10" s="178">
        <v>0</v>
      </c>
      <c r="H10" s="178">
        <v>0</v>
      </c>
      <c r="I10" s="178">
        <v>0</v>
      </c>
      <c r="J10" s="178">
        <v>0</v>
      </c>
      <c r="K10" s="178">
        <v>0</v>
      </c>
      <c r="L10" s="178">
        <v>0</v>
      </c>
      <c r="M10" s="178">
        <v>0</v>
      </c>
      <c r="N10" s="178">
        <v>0</v>
      </c>
      <c r="O10" s="178">
        <v>0</v>
      </c>
      <c r="P10" s="178">
        <v>0</v>
      </c>
      <c r="Q10" s="178">
        <v>0</v>
      </c>
      <c r="R10" s="178">
        <v>0</v>
      </c>
      <c r="S10" s="178">
        <v>0</v>
      </c>
      <c r="T10" s="178">
        <v>0</v>
      </c>
      <c r="U10" s="178">
        <v>0</v>
      </c>
      <c r="V10" s="178">
        <v>0</v>
      </c>
      <c r="W10" s="178">
        <v>0</v>
      </c>
      <c r="X10" s="178">
        <v>0</v>
      </c>
      <c r="Y10" s="178">
        <v>0</v>
      </c>
      <c r="Z10" s="178">
        <v>0</v>
      </c>
      <c r="AA10" s="178">
        <v>4000</v>
      </c>
      <c r="AB10" s="178">
        <v>3880</v>
      </c>
      <c r="AC10" s="178">
        <v>4175</v>
      </c>
      <c r="AD10" s="178">
        <v>4065</v>
      </c>
      <c r="AE10" s="178">
        <v>3970</v>
      </c>
      <c r="AF10" s="178">
        <v>4035</v>
      </c>
      <c r="AG10" s="178">
        <v>4030</v>
      </c>
      <c r="AH10" s="178">
        <v>4345</v>
      </c>
      <c r="AI10" s="178">
        <v>4350</v>
      </c>
      <c r="AJ10" s="178">
        <v>4560</v>
      </c>
      <c r="AK10" s="178">
        <v>4550</v>
      </c>
      <c r="AL10" s="178">
        <v>4870</v>
      </c>
      <c r="AM10" s="178">
        <v>4885</v>
      </c>
      <c r="AN10" s="178">
        <v>4890</v>
      </c>
      <c r="AO10" s="178">
        <v>4550</v>
      </c>
      <c r="AP10" s="178">
        <v>4835</v>
      </c>
      <c r="AQ10" s="178">
        <v>4805</v>
      </c>
      <c r="AR10" s="178">
        <v>4400</v>
      </c>
      <c r="AS10" s="178">
        <v>4485</v>
      </c>
      <c r="AT10" s="178">
        <v>4535</v>
      </c>
      <c r="AU10" s="178">
        <v>4350</v>
      </c>
      <c r="AV10" s="178">
        <v>4520</v>
      </c>
      <c r="AW10" s="178">
        <v>4490</v>
      </c>
      <c r="AX10" s="178">
        <v>4345</v>
      </c>
      <c r="AY10" s="178">
        <v>4370</v>
      </c>
      <c r="AZ10" s="178">
        <v>4185</v>
      </c>
      <c r="BA10" s="178">
        <v>3930</v>
      </c>
      <c r="BB10" s="178">
        <v>4300</v>
      </c>
      <c r="BC10" s="178">
        <v>4140</v>
      </c>
      <c r="BD10" s="178">
        <v>4100</v>
      </c>
      <c r="BE10" s="178">
        <v>4650</v>
      </c>
      <c r="BF10" s="178">
        <v>4565</v>
      </c>
      <c r="BG10" s="178">
        <v>4795</v>
      </c>
      <c r="BH10" s="178">
        <v>4865</v>
      </c>
      <c r="BI10" s="178">
        <v>4860</v>
      </c>
    </row>
    <row r="11" spans="1:61" x14ac:dyDescent="0.25">
      <c r="A11" s="49" t="str">
        <f>IPO監視一覧!H8</f>
        <v>B</v>
      </c>
      <c r="B11" s="49" t="str">
        <f>IPO監視一覧!B8</f>
        <v>フェイスネットワーク</v>
      </c>
      <c r="C11" s="177">
        <f>株価一覧!E10</f>
        <v>2033</v>
      </c>
      <c r="D11" s="105">
        <f t="shared" ca="1" si="0"/>
        <v>1995.2</v>
      </c>
      <c r="E11" s="177">
        <f t="shared" ca="1" si="1"/>
        <v>1922.4</v>
      </c>
      <c r="F11" s="110">
        <f t="shared" ca="1" si="2"/>
        <v>1794</v>
      </c>
      <c r="G11" s="178">
        <v>0</v>
      </c>
      <c r="H11" s="178">
        <v>0</v>
      </c>
      <c r="I11" s="178">
        <v>0</v>
      </c>
      <c r="J11" s="178">
        <v>0</v>
      </c>
      <c r="K11" s="178">
        <v>0</v>
      </c>
      <c r="L11" s="178">
        <v>0</v>
      </c>
      <c r="M11" s="178">
        <v>0</v>
      </c>
      <c r="N11" s="178">
        <v>0</v>
      </c>
      <c r="O11" s="178">
        <v>0</v>
      </c>
      <c r="P11" s="178">
        <v>0</v>
      </c>
      <c r="Q11" s="178">
        <v>0</v>
      </c>
      <c r="R11" s="178">
        <v>0</v>
      </c>
      <c r="S11" s="178">
        <v>0</v>
      </c>
      <c r="T11" s="178">
        <v>0</v>
      </c>
      <c r="U11" s="178">
        <v>0</v>
      </c>
      <c r="V11" s="178">
        <v>0</v>
      </c>
      <c r="W11" s="178">
        <v>0</v>
      </c>
      <c r="X11" s="178">
        <v>0</v>
      </c>
      <c r="Y11" s="178">
        <v>0</v>
      </c>
      <c r="Z11" s="178">
        <v>0</v>
      </c>
      <c r="AA11" s="178">
        <v>2500</v>
      </c>
      <c r="AB11" s="178">
        <v>2187</v>
      </c>
      <c r="AC11" s="178">
        <v>2216</v>
      </c>
      <c r="AD11" s="178">
        <v>1967</v>
      </c>
      <c r="AE11" s="178">
        <v>2005</v>
      </c>
      <c r="AF11" s="178">
        <v>1931</v>
      </c>
      <c r="AG11" s="178">
        <v>1890</v>
      </c>
      <c r="AH11" s="178">
        <v>1884</v>
      </c>
      <c r="AI11" s="178">
        <v>2095</v>
      </c>
      <c r="AJ11" s="178">
        <v>2250</v>
      </c>
      <c r="AK11" s="178">
        <v>2182</v>
      </c>
      <c r="AL11" s="178">
        <v>2087</v>
      </c>
      <c r="AM11" s="178">
        <v>1997</v>
      </c>
      <c r="AN11" s="178">
        <v>1960</v>
      </c>
      <c r="AO11" s="178">
        <v>2024</v>
      </c>
      <c r="AP11" s="178">
        <v>2001</v>
      </c>
      <c r="AQ11" s="178">
        <v>1981</v>
      </c>
      <c r="AR11" s="178">
        <v>1968</v>
      </c>
      <c r="AS11" s="178">
        <v>1935</v>
      </c>
      <c r="AT11" s="178">
        <v>1924</v>
      </c>
      <c r="AU11" s="178">
        <v>1939</v>
      </c>
      <c r="AV11" s="178">
        <v>1910</v>
      </c>
      <c r="AW11" s="178">
        <v>1919</v>
      </c>
      <c r="AX11" s="178">
        <v>1911</v>
      </c>
      <c r="AY11" s="178">
        <v>1908</v>
      </c>
      <c r="AZ11" s="178">
        <v>1871</v>
      </c>
      <c r="BA11" s="178">
        <v>1826</v>
      </c>
      <c r="BB11" s="178">
        <v>1794</v>
      </c>
      <c r="BC11" s="178">
        <v>1879</v>
      </c>
      <c r="BD11" s="178">
        <v>1903</v>
      </c>
      <c r="BE11" s="178">
        <v>1903</v>
      </c>
      <c r="BF11" s="178">
        <v>1917</v>
      </c>
      <c r="BG11" s="178">
        <v>2018</v>
      </c>
      <c r="BH11" s="178">
        <v>2105</v>
      </c>
      <c r="BI11" s="178">
        <v>2033</v>
      </c>
    </row>
    <row r="12" spans="1:61" x14ac:dyDescent="0.25">
      <c r="A12" s="49" t="str">
        <f>IPO監視一覧!H9</f>
        <v>C</v>
      </c>
      <c r="B12" s="49" t="str">
        <f>IPO監視一覧!B9</f>
        <v>共和コーポレーション</v>
      </c>
      <c r="C12" s="177">
        <f>株価一覧!E11</f>
        <v>1702</v>
      </c>
      <c r="D12" s="105">
        <f t="shared" ref="D12" ca="1" si="3">AVERAGE(OFFSET(A12,0,COUNTA(G12:XFD12)+5,1,-5))</f>
        <v>1927</v>
      </c>
      <c r="E12" s="177">
        <f t="shared" ca="1" si="1"/>
        <v>1965.2</v>
      </c>
      <c r="F12" s="110">
        <f t="shared" ca="1" si="2"/>
        <v>1702</v>
      </c>
      <c r="G12" s="178">
        <v>0</v>
      </c>
      <c r="H12" s="178">
        <v>0</v>
      </c>
      <c r="I12" s="178">
        <v>0</v>
      </c>
      <c r="J12" s="178">
        <v>0</v>
      </c>
      <c r="K12" s="178">
        <v>0</v>
      </c>
      <c r="L12" s="178">
        <v>0</v>
      </c>
      <c r="M12" s="178">
        <v>0</v>
      </c>
      <c r="N12" s="178">
        <v>0</v>
      </c>
      <c r="O12" s="178">
        <v>0</v>
      </c>
      <c r="P12" s="178">
        <v>0</v>
      </c>
      <c r="Q12" s="178">
        <v>0</v>
      </c>
      <c r="R12" s="178">
        <v>0</v>
      </c>
      <c r="S12" s="178">
        <v>0</v>
      </c>
      <c r="T12" s="178">
        <v>0</v>
      </c>
      <c r="U12" s="178">
        <v>0</v>
      </c>
      <c r="V12" s="178">
        <v>0</v>
      </c>
      <c r="W12" s="178">
        <v>0</v>
      </c>
      <c r="X12" s="178">
        <v>0</v>
      </c>
      <c r="Y12" s="178">
        <v>0</v>
      </c>
      <c r="Z12" s="178">
        <v>0</v>
      </c>
      <c r="AA12" s="178">
        <v>0</v>
      </c>
      <c r="AB12" s="178">
        <v>2116</v>
      </c>
      <c r="AC12" s="178">
        <v>1905</v>
      </c>
      <c r="AD12" s="178">
        <v>1822</v>
      </c>
      <c r="AE12" s="178">
        <v>2009</v>
      </c>
      <c r="AF12" s="178">
        <v>1980</v>
      </c>
      <c r="AG12" s="178">
        <v>2016</v>
      </c>
      <c r="AH12" s="178">
        <v>2001</v>
      </c>
      <c r="AI12" s="178">
        <v>1986</v>
      </c>
      <c r="AJ12" s="178">
        <v>1986</v>
      </c>
      <c r="AK12" s="178">
        <v>1910</v>
      </c>
      <c r="AL12" s="178">
        <v>1920</v>
      </c>
      <c r="AM12" s="178">
        <v>1970</v>
      </c>
      <c r="AN12" s="178">
        <v>2061</v>
      </c>
      <c r="AO12" s="178">
        <v>2023</v>
      </c>
      <c r="AP12" s="178">
        <v>1992</v>
      </c>
      <c r="AQ12" s="178">
        <v>1970</v>
      </c>
      <c r="AR12" s="178">
        <v>1970</v>
      </c>
      <c r="AS12" s="178">
        <v>1902</v>
      </c>
      <c r="AT12" s="178">
        <v>1916</v>
      </c>
      <c r="AU12" s="178">
        <v>1981</v>
      </c>
      <c r="AV12" s="178">
        <v>1959</v>
      </c>
      <c r="AW12" s="178">
        <v>1955</v>
      </c>
      <c r="AX12" s="178">
        <v>1959</v>
      </c>
      <c r="AY12" s="178">
        <v>1925</v>
      </c>
      <c r="AZ12" s="178">
        <v>1934</v>
      </c>
      <c r="BA12" s="178">
        <v>1920</v>
      </c>
      <c r="BB12" s="178">
        <v>2045</v>
      </c>
      <c r="BC12" s="178">
        <v>2071</v>
      </c>
      <c r="BD12" s="178">
        <v>2094</v>
      </c>
      <c r="BE12" s="178">
        <v>2069</v>
      </c>
      <c r="BF12" s="178">
        <v>2047</v>
      </c>
      <c r="BG12" s="178">
        <v>2018</v>
      </c>
      <c r="BH12" s="178">
        <v>1799</v>
      </c>
      <c r="BI12" s="178">
        <v>1702</v>
      </c>
    </row>
    <row r="13" spans="1:61" x14ac:dyDescent="0.25">
      <c r="A13" s="49" t="str">
        <f>IPO監視一覧!H10</f>
        <v>D</v>
      </c>
      <c r="B13" s="49" t="str">
        <f>IPO監視一覧!B10</f>
        <v>信和</v>
      </c>
      <c r="C13" s="177">
        <f>株価一覧!E12</f>
        <v>1154</v>
      </c>
      <c r="D13" s="105">
        <f t="shared" ref="D13:D33" ca="1" si="4">AVERAGE(OFFSET(A13,0,COUNTA(G13:XFD13)+5,1,-5))</f>
        <v>1162</v>
      </c>
      <c r="E13" s="177">
        <f t="shared" ca="1" si="1"/>
        <v>1126.0666666666666</v>
      </c>
      <c r="F13" s="110">
        <f t="shared" ca="1" si="2"/>
        <v>1096</v>
      </c>
      <c r="G13" s="178">
        <v>0</v>
      </c>
      <c r="H13" s="178">
        <v>0</v>
      </c>
      <c r="I13" s="178">
        <v>0</v>
      </c>
      <c r="J13" s="178">
        <v>0</v>
      </c>
      <c r="K13" s="178">
        <v>0</v>
      </c>
      <c r="L13" s="178">
        <v>0</v>
      </c>
      <c r="M13" s="178">
        <v>0</v>
      </c>
      <c r="N13" s="178">
        <v>0</v>
      </c>
      <c r="O13" s="178">
        <v>0</v>
      </c>
      <c r="P13" s="178">
        <v>0</v>
      </c>
      <c r="Q13" s="178">
        <v>0</v>
      </c>
      <c r="R13" s="178">
        <v>0</v>
      </c>
      <c r="S13" s="178">
        <v>0</v>
      </c>
      <c r="T13" s="178">
        <v>0</v>
      </c>
      <c r="U13" s="178">
        <v>0</v>
      </c>
      <c r="V13" s="178">
        <v>0</v>
      </c>
      <c r="W13" s="178">
        <v>0</v>
      </c>
      <c r="X13" s="178">
        <v>0</v>
      </c>
      <c r="Y13" s="178">
        <v>0</v>
      </c>
      <c r="Z13" s="178">
        <v>0</v>
      </c>
      <c r="AA13" s="178">
        <v>0</v>
      </c>
      <c r="AB13" s="178">
        <v>0</v>
      </c>
      <c r="AC13" s="178">
        <v>1140</v>
      </c>
      <c r="AD13" s="178">
        <v>1118</v>
      </c>
      <c r="AE13" s="178">
        <v>1110</v>
      </c>
      <c r="AF13" s="178">
        <v>1133</v>
      </c>
      <c r="AG13" s="178">
        <v>1081</v>
      </c>
      <c r="AH13" s="178">
        <v>1056</v>
      </c>
      <c r="AI13" s="178">
        <v>1041</v>
      </c>
      <c r="AJ13" s="178">
        <v>1077</v>
      </c>
      <c r="AK13" s="178">
        <v>1067</v>
      </c>
      <c r="AL13" s="178">
        <v>1101</v>
      </c>
      <c r="AM13" s="178">
        <v>1133</v>
      </c>
      <c r="AN13" s="178">
        <v>1140</v>
      </c>
      <c r="AO13" s="178">
        <v>1105</v>
      </c>
      <c r="AP13" s="178">
        <v>1093</v>
      </c>
      <c r="AQ13" s="178">
        <v>1099</v>
      </c>
      <c r="AR13" s="178">
        <v>1094</v>
      </c>
      <c r="AS13" s="178">
        <v>1086</v>
      </c>
      <c r="AT13" s="178">
        <v>1095</v>
      </c>
      <c r="AU13" s="178">
        <v>1095</v>
      </c>
      <c r="AV13" s="178">
        <v>1106</v>
      </c>
      <c r="AW13" s="178">
        <v>1096</v>
      </c>
      <c r="AX13" s="178">
        <v>1100</v>
      </c>
      <c r="AY13" s="178">
        <v>1100</v>
      </c>
      <c r="AZ13" s="178">
        <v>1105</v>
      </c>
      <c r="BA13" s="178">
        <v>1101</v>
      </c>
      <c r="BB13" s="178">
        <v>1117</v>
      </c>
      <c r="BC13" s="178">
        <v>1121</v>
      </c>
      <c r="BD13" s="178">
        <v>1140</v>
      </c>
      <c r="BE13" s="178">
        <v>1165</v>
      </c>
      <c r="BF13" s="178">
        <v>1158</v>
      </c>
      <c r="BG13" s="178">
        <v>1163</v>
      </c>
      <c r="BH13" s="178">
        <v>1170</v>
      </c>
      <c r="BI13" s="178">
        <v>1154</v>
      </c>
    </row>
    <row r="14" spans="1:61" x14ac:dyDescent="0.25">
      <c r="A14" s="49" t="str">
        <f>IPO監視一覧!H11</f>
        <v>D</v>
      </c>
      <c r="B14" s="49" t="str">
        <f>IPO監視一覧!B11</f>
        <v>ＳＯＵ</v>
      </c>
      <c r="C14" s="177">
        <f>株価一覧!E13</f>
        <v>4900</v>
      </c>
      <c r="D14" s="105">
        <f t="shared" ca="1" si="4"/>
        <v>5266</v>
      </c>
      <c r="E14" s="177">
        <f t="shared" ca="1" si="1"/>
        <v>5591.333333333333</v>
      </c>
      <c r="F14" s="110">
        <f t="shared" ca="1" si="2"/>
        <v>4900</v>
      </c>
      <c r="G14" s="178">
        <v>0</v>
      </c>
      <c r="H14" s="178">
        <v>0</v>
      </c>
      <c r="I14" s="178">
        <v>0</v>
      </c>
      <c r="J14" s="178">
        <v>0</v>
      </c>
      <c r="K14" s="178">
        <v>0</v>
      </c>
      <c r="L14" s="178">
        <v>0</v>
      </c>
      <c r="M14" s="178">
        <v>0</v>
      </c>
      <c r="N14" s="178">
        <v>0</v>
      </c>
      <c r="O14" s="178">
        <v>0</v>
      </c>
      <c r="P14" s="178">
        <v>0</v>
      </c>
      <c r="Q14" s="178">
        <v>0</v>
      </c>
      <c r="R14" s="178">
        <v>0</v>
      </c>
      <c r="S14" s="178">
        <v>0</v>
      </c>
      <c r="T14" s="178">
        <v>0</v>
      </c>
      <c r="U14" s="178">
        <v>0</v>
      </c>
      <c r="V14" s="178">
        <v>0</v>
      </c>
      <c r="W14" s="178">
        <v>0</v>
      </c>
      <c r="X14" s="178">
        <v>0</v>
      </c>
      <c r="Y14" s="178">
        <v>0</v>
      </c>
      <c r="Z14" s="178">
        <v>0</v>
      </c>
      <c r="AA14" s="178">
        <v>0</v>
      </c>
      <c r="AB14" s="178">
        <v>0</v>
      </c>
      <c r="AC14" s="178">
        <v>3900</v>
      </c>
      <c r="AD14" s="178">
        <v>3980</v>
      </c>
      <c r="AE14" s="178">
        <v>4680</v>
      </c>
      <c r="AF14" s="178">
        <v>4335</v>
      </c>
      <c r="AG14" s="178">
        <v>4590</v>
      </c>
      <c r="AH14" s="178">
        <v>5290</v>
      </c>
      <c r="AI14" s="178">
        <v>6000</v>
      </c>
      <c r="AJ14" s="178">
        <v>6350</v>
      </c>
      <c r="AK14" s="178">
        <v>6870</v>
      </c>
      <c r="AL14" s="178">
        <v>7520</v>
      </c>
      <c r="AM14" s="178">
        <v>6940</v>
      </c>
      <c r="AN14" s="178">
        <v>6000</v>
      </c>
      <c r="AO14" s="178">
        <v>5800</v>
      </c>
      <c r="AP14" s="178">
        <v>5800</v>
      </c>
      <c r="AQ14" s="178">
        <v>5860</v>
      </c>
      <c r="AR14" s="178">
        <v>6650</v>
      </c>
      <c r="AS14" s="178">
        <v>7110</v>
      </c>
      <c r="AT14" s="178">
        <v>6870</v>
      </c>
      <c r="AU14" s="178">
        <v>6100</v>
      </c>
      <c r="AV14" s="178">
        <v>6170</v>
      </c>
      <c r="AW14" s="178">
        <v>5900</v>
      </c>
      <c r="AX14" s="178">
        <v>5700</v>
      </c>
      <c r="AY14" s="178">
        <v>5630</v>
      </c>
      <c r="AZ14" s="178">
        <v>5500</v>
      </c>
      <c r="BA14" s="178">
        <v>5190</v>
      </c>
      <c r="BB14" s="178">
        <v>5930</v>
      </c>
      <c r="BC14" s="178">
        <v>5810</v>
      </c>
      <c r="BD14" s="178">
        <v>5610</v>
      </c>
      <c r="BE14" s="178">
        <v>5650</v>
      </c>
      <c r="BF14" s="178">
        <v>5450</v>
      </c>
      <c r="BG14" s="178">
        <v>5160</v>
      </c>
      <c r="BH14" s="178">
        <v>5170</v>
      </c>
      <c r="BI14" s="178">
        <v>4900</v>
      </c>
    </row>
    <row r="15" spans="1:61" x14ac:dyDescent="0.25">
      <c r="A15" s="49" t="str">
        <f>IPO監視一覧!H12</f>
        <v>D</v>
      </c>
      <c r="B15" s="49" t="str">
        <f>IPO監視一覧!B12</f>
        <v>キュービーネットHD</v>
      </c>
      <c r="C15" s="177">
        <f>株価一覧!E14</f>
        <v>1896</v>
      </c>
      <c r="D15" s="105">
        <f t="shared" ca="1" si="4"/>
        <v>1936.4</v>
      </c>
      <c r="E15" s="177">
        <f t="shared" ca="1" si="1"/>
        <v>2012.2</v>
      </c>
      <c r="F15" s="110">
        <f t="shared" ca="1" si="2"/>
        <v>1876</v>
      </c>
      <c r="G15" s="178">
        <v>0</v>
      </c>
      <c r="H15" s="178">
        <v>0</v>
      </c>
      <c r="I15" s="178">
        <v>0</v>
      </c>
      <c r="J15" s="178">
        <v>0</v>
      </c>
      <c r="K15" s="178">
        <v>0</v>
      </c>
      <c r="L15" s="178">
        <v>0</v>
      </c>
      <c r="M15" s="178">
        <v>0</v>
      </c>
      <c r="N15" s="178">
        <v>0</v>
      </c>
      <c r="O15" s="178">
        <v>0</v>
      </c>
      <c r="P15" s="178">
        <v>0</v>
      </c>
      <c r="Q15" s="178">
        <v>0</v>
      </c>
      <c r="R15" s="178">
        <v>0</v>
      </c>
      <c r="S15" s="178">
        <v>0</v>
      </c>
      <c r="T15" s="178">
        <v>0</v>
      </c>
      <c r="U15" s="178">
        <v>0</v>
      </c>
      <c r="V15" s="178">
        <v>0</v>
      </c>
      <c r="W15" s="178">
        <v>0</v>
      </c>
      <c r="X15" s="178">
        <v>0</v>
      </c>
      <c r="Y15" s="178">
        <v>0</v>
      </c>
      <c r="Z15" s="178">
        <v>0</v>
      </c>
      <c r="AA15" s="178">
        <v>0</v>
      </c>
      <c r="AB15" s="178">
        <v>0</v>
      </c>
      <c r="AC15" s="178">
        <v>0</v>
      </c>
      <c r="AD15" s="178">
        <v>2225</v>
      </c>
      <c r="AE15" s="178">
        <v>2220</v>
      </c>
      <c r="AF15" s="178">
        <v>2140</v>
      </c>
      <c r="AG15" s="178">
        <v>2011</v>
      </c>
      <c r="AH15" s="178">
        <v>1980</v>
      </c>
      <c r="AI15" s="178">
        <v>2080</v>
      </c>
      <c r="AJ15" s="178">
        <v>2113</v>
      </c>
      <c r="AK15" s="178">
        <v>2160</v>
      </c>
      <c r="AL15" s="178">
        <v>2160</v>
      </c>
      <c r="AM15" s="178">
        <v>2119</v>
      </c>
      <c r="AN15" s="178">
        <v>2219</v>
      </c>
      <c r="AO15" s="178">
        <v>2225</v>
      </c>
      <c r="AP15" s="178">
        <v>2210</v>
      </c>
      <c r="AQ15" s="178">
        <v>2241</v>
      </c>
      <c r="AR15" s="178">
        <v>2207</v>
      </c>
      <c r="AS15" s="178">
        <v>2195</v>
      </c>
      <c r="AT15" s="178">
        <v>2216</v>
      </c>
      <c r="AU15" s="178">
        <v>2193</v>
      </c>
      <c r="AV15" s="178">
        <v>2187</v>
      </c>
      <c r="AW15" s="178">
        <v>2140</v>
      </c>
      <c r="AX15" s="178">
        <v>2105</v>
      </c>
      <c r="AY15" s="178">
        <v>2104</v>
      </c>
      <c r="AZ15" s="178">
        <v>2054</v>
      </c>
      <c r="BA15" s="178">
        <v>1957</v>
      </c>
      <c r="BB15" s="178">
        <v>1876</v>
      </c>
      <c r="BC15" s="178">
        <v>1934</v>
      </c>
      <c r="BD15" s="178">
        <v>1951</v>
      </c>
      <c r="BE15" s="178">
        <v>1952</v>
      </c>
      <c r="BF15" s="178">
        <v>1947</v>
      </c>
      <c r="BG15" s="178">
        <v>1924</v>
      </c>
      <c r="BH15" s="178">
        <v>1963</v>
      </c>
      <c r="BI15" s="178">
        <v>1896</v>
      </c>
    </row>
    <row r="16" spans="1:61" x14ac:dyDescent="0.25">
      <c r="A16" s="49" t="str">
        <f>IPO監視一覧!H13</f>
        <v>B</v>
      </c>
      <c r="B16" s="49" t="str">
        <f>IPO監視一覧!B13</f>
        <v>ファイバーゲート</v>
      </c>
      <c r="C16" s="177">
        <f>株価一覧!E15</f>
        <v>2749</v>
      </c>
      <c r="D16" s="105">
        <f t="shared" ca="1" si="4"/>
        <v>2513</v>
      </c>
      <c r="E16" s="177">
        <f t="shared" ca="1" si="1"/>
        <v>2400</v>
      </c>
      <c r="F16" s="110">
        <f t="shared" ca="1" si="2"/>
        <v>2210</v>
      </c>
      <c r="G16" s="178">
        <v>0</v>
      </c>
      <c r="H16" s="178">
        <v>0</v>
      </c>
      <c r="I16" s="178">
        <v>0</v>
      </c>
      <c r="J16" s="178">
        <v>0</v>
      </c>
      <c r="K16" s="178">
        <v>0</v>
      </c>
      <c r="L16" s="178">
        <v>0</v>
      </c>
      <c r="M16" s="178">
        <v>0</v>
      </c>
      <c r="N16" s="178">
        <v>0</v>
      </c>
      <c r="O16" s="178">
        <v>0</v>
      </c>
      <c r="P16" s="178">
        <v>0</v>
      </c>
      <c r="Q16" s="178">
        <v>0</v>
      </c>
      <c r="R16" s="178">
        <v>0</v>
      </c>
      <c r="S16" s="178">
        <v>0</v>
      </c>
      <c r="T16" s="178">
        <v>0</v>
      </c>
      <c r="U16" s="178">
        <v>0</v>
      </c>
      <c r="V16" s="178">
        <v>0</v>
      </c>
      <c r="W16" s="178">
        <v>0</v>
      </c>
      <c r="X16" s="178">
        <v>0</v>
      </c>
      <c r="Y16" s="178">
        <v>0</v>
      </c>
      <c r="Z16" s="178">
        <v>0</v>
      </c>
      <c r="AA16" s="178">
        <v>0</v>
      </c>
      <c r="AB16" s="178">
        <v>0</v>
      </c>
      <c r="AC16" s="178">
        <v>0</v>
      </c>
      <c r="AD16" s="178">
        <v>0</v>
      </c>
      <c r="AE16" s="178">
        <v>2221</v>
      </c>
      <c r="AF16" s="178">
        <v>2721</v>
      </c>
      <c r="AG16" s="178">
        <v>2480</v>
      </c>
      <c r="AH16" s="178">
        <v>2513</v>
      </c>
      <c r="AI16" s="178">
        <v>3005</v>
      </c>
      <c r="AJ16" s="178">
        <v>2871</v>
      </c>
      <c r="AK16" s="178">
        <v>3150</v>
      </c>
      <c r="AL16" s="178">
        <v>3195</v>
      </c>
      <c r="AM16" s="178">
        <v>3175</v>
      </c>
      <c r="AN16" s="178">
        <v>2700</v>
      </c>
      <c r="AO16" s="178">
        <v>2452</v>
      </c>
      <c r="AP16" s="178">
        <v>2309</v>
      </c>
      <c r="AQ16" s="178">
        <v>2372</v>
      </c>
      <c r="AR16" s="178">
        <v>2210</v>
      </c>
      <c r="AS16" s="178">
        <v>2223</v>
      </c>
      <c r="AT16" s="178">
        <v>2366</v>
      </c>
      <c r="AU16" s="178">
        <v>2441</v>
      </c>
      <c r="AV16" s="178">
        <v>2433</v>
      </c>
      <c r="AW16" s="178">
        <v>2363</v>
      </c>
      <c r="AX16" s="178">
        <v>2287</v>
      </c>
      <c r="AY16" s="178">
        <v>2217</v>
      </c>
      <c r="AZ16" s="178">
        <v>2231</v>
      </c>
      <c r="BA16" s="178">
        <v>2210</v>
      </c>
      <c r="BB16" s="178">
        <v>2355</v>
      </c>
      <c r="BC16" s="178">
        <v>2390</v>
      </c>
      <c r="BD16" s="178">
        <v>2508</v>
      </c>
      <c r="BE16" s="178">
        <v>2614</v>
      </c>
      <c r="BF16" s="178">
        <v>2384</v>
      </c>
      <c r="BG16" s="178">
        <v>2370</v>
      </c>
      <c r="BH16" s="178">
        <v>2448</v>
      </c>
      <c r="BI16" s="178">
        <v>2749</v>
      </c>
    </row>
    <row r="17" spans="1:61" x14ac:dyDescent="0.25">
      <c r="A17" s="49" t="str">
        <f>IPO監視一覧!H14</f>
        <v>B</v>
      </c>
      <c r="B17" s="49" t="str">
        <f>IPO監視一覧!B14</f>
        <v>ＲＰＡHD</v>
      </c>
      <c r="C17" s="177">
        <f>株価一覧!E16</f>
        <v>14170</v>
      </c>
      <c r="D17" s="105">
        <f t="shared" ca="1" si="4"/>
        <v>14214</v>
      </c>
      <c r="E17" s="177">
        <f t="shared" ca="1" si="1"/>
        <v>15702</v>
      </c>
      <c r="F17" s="110">
        <f t="shared" ca="1" si="2"/>
        <v>14020</v>
      </c>
      <c r="G17" s="178">
        <v>0</v>
      </c>
      <c r="H17" s="178">
        <v>0</v>
      </c>
      <c r="I17" s="178">
        <v>0</v>
      </c>
      <c r="J17" s="178">
        <v>0</v>
      </c>
      <c r="K17" s="178">
        <v>0</v>
      </c>
      <c r="L17" s="178">
        <v>0</v>
      </c>
      <c r="M17" s="178">
        <v>0</v>
      </c>
      <c r="N17" s="178">
        <v>0</v>
      </c>
      <c r="O17" s="178">
        <v>0</v>
      </c>
      <c r="P17" s="178">
        <v>0</v>
      </c>
      <c r="Q17" s="178">
        <v>0</v>
      </c>
      <c r="R17" s="178">
        <v>0</v>
      </c>
      <c r="S17" s="178">
        <v>0</v>
      </c>
      <c r="T17" s="178">
        <v>0</v>
      </c>
      <c r="U17" s="178">
        <v>0</v>
      </c>
      <c r="V17" s="178">
        <v>0</v>
      </c>
      <c r="W17" s="178">
        <v>0</v>
      </c>
      <c r="X17" s="178">
        <v>0</v>
      </c>
      <c r="Y17" s="178">
        <v>0</v>
      </c>
      <c r="Z17" s="178">
        <v>0</v>
      </c>
      <c r="AA17" s="178">
        <v>0</v>
      </c>
      <c r="AB17" s="178">
        <v>0</v>
      </c>
      <c r="AC17" s="178">
        <v>0</v>
      </c>
      <c r="AD17" s="178">
        <v>0</v>
      </c>
      <c r="AE17" s="178">
        <v>0</v>
      </c>
      <c r="AF17" s="178">
        <v>0</v>
      </c>
      <c r="AG17" s="178">
        <v>16440</v>
      </c>
      <c r="AH17" s="178">
        <v>15300</v>
      </c>
      <c r="AI17" s="178">
        <v>15390</v>
      </c>
      <c r="AJ17" s="178">
        <v>15930</v>
      </c>
      <c r="AK17" s="178">
        <v>18670</v>
      </c>
      <c r="AL17" s="178">
        <v>18500</v>
      </c>
      <c r="AM17" s="178">
        <v>19950</v>
      </c>
      <c r="AN17" s="178">
        <v>18630</v>
      </c>
      <c r="AO17" s="178">
        <v>17270</v>
      </c>
      <c r="AP17" s="178">
        <v>16780</v>
      </c>
      <c r="AQ17" s="178">
        <v>16810</v>
      </c>
      <c r="AR17" s="178">
        <v>16000</v>
      </c>
      <c r="AS17" s="178">
        <v>16110</v>
      </c>
      <c r="AT17" s="178">
        <v>17600</v>
      </c>
      <c r="AU17" s="178">
        <v>17400</v>
      </c>
      <c r="AV17" s="178">
        <v>16620</v>
      </c>
      <c r="AW17" s="178">
        <v>16300</v>
      </c>
      <c r="AX17" s="178">
        <v>17500</v>
      </c>
      <c r="AY17" s="178">
        <v>17170</v>
      </c>
      <c r="AZ17" s="178">
        <v>16420</v>
      </c>
      <c r="BA17" s="178">
        <v>16210</v>
      </c>
      <c r="BB17" s="178">
        <v>16100</v>
      </c>
      <c r="BC17" s="178">
        <v>15700</v>
      </c>
      <c r="BD17" s="178">
        <v>15040</v>
      </c>
      <c r="BE17" s="178">
        <v>14380</v>
      </c>
      <c r="BF17" s="178">
        <v>14450</v>
      </c>
      <c r="BG17" s="178">
        <v>14020</v>
      </c>
      <c r="BH17" s="178">
        <v>14050</v>
      </c>
      <c r="BI17" s="178">
        <v>14170</v>
      </c>
    </row>
    <row r="18" spans="1:61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7">
        <f>株価一覧!E17</f>
        <v>8700</v>
      </c>
      <c r="D18" s="105">
        <f t="shared" ca="1" si="4"/>
        <v>7998</v>
      </c>
      <c r="E18" s="177">
        <f t="shared" ca="1" si="1"/>
        <v>9254.6666666666661</v>
      </c>
      <c r="F18" s="110">
        <f t="shared" ca="1" si="2"/>
        <v>7380</v>
      </c>
      <c r="G18" s="178">
        <v>0</v>
      </c>
      <c r="H18" s="178">
        <v>0</v>
      </c>
      <c r="I18" s="178">
        <v>0</v>
      </c>
      <c r="J18" s="178">
        <v>0</v>
      </c>
      <c r="K18" s="178">
        <v>0</v>
      </c>
      <c r="L18" s="178">
        <v>0</v>
      </c>
      <c r="M18" s="178">
        <v>0</v>
      </c>
      <c r="N18" s="178">
        <v>0</v>
      </c>
      <c r="O18" s="178">
        <v>0</v>
      </c>
      <c r="P18" s="178">
        <v>0</v>
      </c>
      <c r="Q18" s="178">
        <v>0</v>
      </c>
      <c r="R18" s="178">
        <v>0</v>
      </c>
      <c r="S18" s="178">
        <v>0</v>
      </c>
      <c r="T18" s="178">
        <v>0</v>
      </c>
      <c r="U18" s="178">
        <v>0</v>
      </c>
      <c r="V18" s="178">
        <v>0</v>
      </c>
      <c r="W18" s="178">
        <v>0</v>
      </c>
      <c r="X18" s="178">
        <v>0</v>
      </c>
      <c r="Y18" s="178">
        <v>0</v>
      </c>
      <c r="Z18" s="178">
        <v>0</v>
      </c>
      <c r="AA18" s="178">
        <v>0</v>
      </c>
      <c r="AB18" s="178">
        <v>0</v>
      </c>
      <c r="AC18" s="178">
        <v>0</v>
      </c>
      <c r="AD18" s="178">
        <v>0</v>
      </c>
      <c r="AE18" s="178">
        <v>0</v>
      </c>
      <c r="AF18" s="178">
        <v>0</v>
      </c>
      <c r="AG18" s="178">
        <v>0</v>
      </c>
      <c r="AH18" s="178">
        <v>0</v>
      </c>
      <c r="AI18" s="178">
        <v>14550</v>
      </c>
      <c r="AJ18" s="178">
        <v>15110</v>
      </c>
      <c r="AK18" s="178">
        <v>14890</v>
      </c>
      <c r="AL18" s="178">
        <v>15000</v>
      </c>
      <c r="AM18" s="178">
        <v>16400</v>
      </c>
      <c r="AN18" s="178">
        <v>13990</v>
      </c>
      <c r="AO18" s="178">
        <v>14000</v>
      </c>
      <c r="AP18" s="178">
        <v>13270</v>
      </c>
      <c r="AQ18" s="178">
        <v>11580</v>
      </c>
      <c r="AR18" s="178">
        <v>10000</v>
      </c>
      <c r="AS18" s="178">
        <v>11770</v>
      </c>
      <c r="AT18" s="178">
        <v>11400</v>
      </c>
      <c r="AU18" s="178">
        <v>10800</v>
      </c>
      <c r="AV18" s="178">
        <v>11260</v>
      </c>
      <c r="AW18" s="178">
        <v>10820</v>
      </c>
      <c r="AX18" s="178">
        <v>10900</v>
      </c>
      <c r="AY18" s="178">
        <v>10030</v>
      </c>
      <c r="AZ18" s="178">
        <v>9150</v>
      </c>
      <c r="BA18" s="178">
        <v>9020</v>
      </c>
      <c r="BB18" s="178">
        <v>9530</v>
      </c>
      <c r="BC18" s="178">
        <v>8860</v>
      </c>
      <c r="BD18" s="178">
        <v>8460</v>
      </c>
      <c r="BE18" s="178">
        <v>8240</v>
      </c>
      <c r="BF18" s="178">
        <v>7870</v>
      </c>
      <c r="BG18" s="178">
        <v>7380</v>
      </c>
      <c r="BH18" s="178">
        <v>7800</v>
      </c>
      <c r="BI18" s="178">
        <v>8700</v>
      </c>
    </row>
    <row r="19" spans="1:61" x14ac:dyDescent="0.25">
      <c r="A19" s="49" t="str">
        <f>IPO監視一覧!H16</f>
        <v>B</v>
      </c>
      <c r="B19" s="49" t="str">
        <f>IPO監視一覧!B16</f>
        <v>アズ企画設計</v>
      </c>
      <c r="C19" s="177">
        <f>株価一覧!E18</f>
        <v>3185</v>
      </c>
      <c r="D19" s="105">
        <f t="shared" ca="1" si="4"/>
        <v>3247</v>
      </c>
      <c r="E19" s="177">
        <f t="shared" ca="1" si="1"/>
        <v>3307.6666666666665</v>
      </c>
      <c r="F19" s="110">
        <f t="shared" ca="1" si="2"/>
        <v>3130</v>
      </c>
      <c r="G19" s="178">
        <v>0</v>
      </c>
      <c r="H19" s="178">
        <v>0</v>
      </c>
      <c r="I19" s="178">
        <v>0</v>
      </c>
      <c r="J19" s="178">
        <v>0</v>
      </c>
      <c r="K19" s="178">
        <v>0</v>
      </c>
      <c r="L19" s="178">
        <v>0</v>
      </c>
      <c r="M19" s="178">
        <v>0</v>
      </c>
      <c r="N19" s="178">
        <v>0</v>
      </c>
      <c r="O19" s="178">
        <v>0</v>
      </c>
      <c r="P19" s="178">
        <v>0</v>
      </c>
      <c r="Q19" s="178">
        <v>0</v>
      </c>
      <c r="R19" s="178">
        <v>0</v>
      </c>
      <c r="S19" s="178">
        <v>0</v>
      </c>
      <c r="T19" s="178">
        <v>0</v>
      </c>
      <c r="U19" s="178">
        <v>0</v>
      </c>
      <c r="V19" s="178">
        <v>0</v>
      </c>
      <c r="W19" s="178">
        <v>0</v>
      </c>
      <c r="X19" s="178">
        <v>0</v>
      </c>
      <c r="Y19" s="178">
        <v>0</v>
      </c>
      <c r="Z19" s="178">
        <v>0</v>
      </c>
      <c r="AA19" s="178">
        <v>0</v>
      </c>
      <c r="AB19" s="178">
        <v>0</v>
      </c>
      <c r="AC19" s="178">
        <v>0</v>
      </c>
      <c r="AD19" s="178">
        <v>0</v>
      </c>
      <c r="AE19" s="178">
        <v>0</v>
      </c>
      <c r="AF19" s="178">
        <v>0</v>
      </c>
      <c r="AG19" s="178">
        <v>0</v>
      </c>
      <c r="AH19" s="178">
        <v>4670</v>
      </c>
      <c r="AI19" s="178">
        <v>4850</v>
      </c>
      <c r="AJ19" s="178">
        <v>4575</v>
      </c>
      <c r="AK19" s="178">
        <v>4420</v>
      </c>
      <c r="AL19" s="178">
        <v>4265</v>
      </c>
      <c r="AM19" s="178">
        <v>4365</v>
      </c>
      <c r="AN19" s="178">
        <v>4200</v>
      </c>
      <c r="AO19" s="178">
        <v>4010</v>
      </c>
      <c r="AP19" s="178">
        <v>3940</v>
      </c>
      <c r="AQ19" s="178">
        <v>4110</v>
      </c>
      <c r="AR19" s="178">
        <v>3410</v>
      </c>
      <c r="AS19" s="178">
        <v>3305</v>
      </c>
      <c r="AT19" s="178">
        <v>3590</v>
      </c>
      <c r="AU19" s="178">
        <v>3515</v>
      </c>
      <c r="AV19" s="178">
        <v>3625</v>
      </c>
      <c r="AW19" s="178">
        <v>3400</v>
      </c>
      <c r="AX19" s="178">
        <v>3275</v>
      </c>
      <c r="AY19" s="178">
        <v>3205</v>
      </c>
      <c r="AZ19" s="178">
        <v>3195</v>
      </c>
      <c r="BA19" s="178">
        <v>3170</v>
      </c>
      <c r="BB19" s="178">
        <v>3460</v>
      </c>
      <c r="BC19" s="178">
        <v>3300</v>
      </c>
      <c r="BD19" s="178">
        <v>3235</v>
      </c>
      <c r="BE19" s="178">
        <v>3130</v>
      </c>
      <c r="BF19" s="178">
        <v>3305</v>
      </c>
      <c r="BG19" s="178">
        <v>3355</v>
      </c>
      <c r="BH19" s="178">
        <v>3260</v>
      </c>
      <c r="BI19" s="178">
        <v>3185</v>
      </c>
    </row>
    <row r="20" spans="1:61" x14ac:dyDescent="0.25">
      <c r="A20" s="49" t="str">
        <f>IPO監視一覧!H17</f>
        <v>A</v>
      </c>
      <c r="B20" s="49" t="str">
        <f>IPO監視一覧!B17</f>
        <v>和心</v>
      </c>
      <c r="C20" s="177">
        <f>株価一覧!E19</f>
        <v>2691</v>
      </c>
      <c r="D20" s="105">
        <f t="shared" ca="1" si="4"/>
        <v>3487.2</v>
      </c>
      <c r="E20" s="177">
        <f t="shared" ca="1" si="1"/>
        <v>3496.4</v>
      </c>
      <c r="F20" s="110">
        <f t="shared" ca="1" si="2"/>
        <v>2691</v>
      </c>
      <c r="G20" s="178">
        <v>0</v>
      </c>
      <c r="H20" s="178">
        <v>0</v>
      </c>
      <c r="I20" s="178">
        <v>0</v>
      </c>
      <c r="J20" s="178">
        <v>0</v>
      </c>
      <c r="K20" s="178">
        <v>0</v>
      </c>
      <c r="L20" s="178">
        <v>0</v>
      </c>
      <c r="M20" s="178">
        <v>0</v>
      </c>
      <c r="N20" s="178">
        <v>0</v>
      </c>
      <c r="O20" s="178">
        <v>0</v>
      </c>
      <c r="P20" s="178">
        <v>0</v>
      </c>
      <c r="Q20" s="178">
        <v>0</v>
      </c>
      <c r="R20" s="178">
        <v>0</v>
      </c>
      <c r="S20" s="178">
        <v>0</v>
      </c>
      <c r="T20" s="178">
        <v>0</v>
      </c>
      <c r="U20" s="178">
        <v>0</v>
      </c>
      <c r="V20" s="178">
        <v>0</v>
      </c>
      <c r="W20" s="178">
        <v>0</v>
      </c>
      <c r="X20" s="178">
        <v>0</v>
      </c>
      <c r="Y20" s="178">
        <v>0</v>
      </c>
      <c r="Z20" s="178">
        <v>0</v>
      </c>
      <c r="AA20" s="178">
        <v>0</v>
      </c>
      <c r="AB20" s="178">
        <v>0</v>
      </c>
      <c r="AC20" s="178">
        <v>0</v>
      </c>
      <c r="AD20" s="178">
        <v>0</v>
      </c>
      <c r="AE20" s="178">
        <v>0</v>
      </c>
      <c r="AF20" s="178">
        <v>0</v>
      </c>
      <c r="AG20" s="178">
        <v>0</v>
      </c>
      <c r="AH20" s="178">
        <v>0</v>
      </c>
      <c r="AI20" s="178">
        <v>4545</v>
      </c>
      <c r="AJ20" s="178">
        <v>4150</v>
      </c>
      <c r="AK20" s="178">
        <v>4265</v>
      </c>
      <c r="AL20" s="178">
        <v>3965</v>
      </c>
      <c r="AM20" s="178">
        <v>3655</v>
      </c>
      <c r="AN20" s="178">
        <v>4000</v>
      </c>
      <c r="AO20" s="178">
        <v>3725</v>
      </c>
      <c r="AP20" s="178">
        <v>3425</v>
      </c>
      <c r="AQ20" s="178">
        <v>3440</v>
      </c>
      <c r="AR20" s="178">
        <v>3170</v>
      </c>
      <c r="AS20" s="178">
        <v>3585</v>
      </c>
      <c r="AT20" s="178">
        <v>3655</v>
      </c>
      <c r="AU20" s="178">
        <v>3680</v>
      </c>
      <c r="AV20" s="178">
        <v>3530</v>
      </c>
      <c r="AW20" s="178">
        <v>3450</v>
      </c>
      <c r="AX20" s="178">
        <v>3420</v>
      </c>
      <c r="AY20" s="178">
        <v>3375</v>
      </c>
      <c r="AZ20" s="178">
        <v>3290</v>
      </c>
      <c r="BA20" s="178">
        <v>3300</v>
      </c>
      <c r="BB20" s="178">
        <v>3530</v>
      </c>
      <c r="BC20" s="178">
        <v>3675</v>
      </c>
      <c r="BD20" s="178">
        <v>3760</v>
      </c>
      <c r="BE20" s="178">
        <v>3820</v>
      </c>
      <c r="BF20" s="178">
        <v>3725</v>
      </c>
      <c r="BG20" s="178">
        <v>3820</v>
      </c>
      <c r="BH20" s="178">
        <v>3380</v>
      </c>
      <c r="BI20" s="178">
        <v>2691</v>
      </c>
    </row>
    <row r="21" spans="1:61" x14ac:dyDescent="0.25">
      <c r="A21" s="49" t="str">
        <f>IPO監視一覧!H18</f>
        <v>A</v>
      </c>
      <c r="B21" s="49" t="str">
        <f>IPO監視一覧!B18</f>
        <v>日本リビング保証</v>
      </c>
      <c r="C21" s="177">
        <f>株価一覧!E20</f>
        <v>3215</v>
      </c>
      <c r="D21" s="105">
        <f t="shared" ca="1" si="4"/>
        <v>3387</v>
      </c>
      <c r="E21" s="177">
        <f t="shared" ca="1" si="1"/>
        <v>3399</v>
      </c>
      <c r="F21" s="110">
        <f t="shared" ca="1" si="2"/>
        <v>3170</v>
      </c>
      <c r="G21" s="178">
        <v>0</v>
      </c>
      <c r="H21" s="178">
        <v>0</v>
      </c>
      <c r="I21" s="178">
        <v>0</v>
      </c>
      <c r="J21" s="178">
        <v>0</v>
      </c>
      <c r="K21" s="178">
        <v>0</v>
      </c>
      <c r="L21" s="178">
        <v>0</v>
      </c>
      <c r="M21" s="178">
        <v>0</v>
      </c>
      <c r="N21" s="178">
        <v>0</v>
      </c>
      <c r="O21" s="178">
        <v>0</v>
      </c>
      <c r="P21" s="178">
        <v>0</v>
      </c>
      <c r="Q21" s="178">
        <v>0</v>
      </c>
      <c r="R21" s="178">
        <v>0</v>
      </c>
      <c r="S21" s="178">
        <v>0</v>
      </c>
      <c r="T21" s="178">
        <v>0</v>
      </c>
      <c r="U21" s="178">
        <v>0</v>
      </c>
      <c r="V21" s="178">
        <v>0</v>
      </c>
      <c r="W21" s="178">
        <v>0</v>
      </c>
      <c r="X21" s="178">
        <v>0</v>
      </c>
      <c r="Y21" s="178">
        <v>0</v>
      </c>
      <c r="Z21" s="178">
        <v>0</v>
      </c>
      <c r="AA21" s="178">
        <v>0</v>
      </c>
      <c r="AB21" s="178">
        <v>0</v>
      </c>
      <c r="AC21" s="178">
        <v>0</v>
      </c>
      <c r="AD21" s="178">
        <v>0</v>
      </c>
      <c r="AE21" s="178">
        <v>0</v>
      </c>
      <c r="AF21" s="178">
        <v>0</v>
      </c>
      <c r="AG21" s="178">
        <v>0</v>
      </c>
      <c r="AH21" s="178">
        <v>0</v>
      </c>
      <c r="AI21" s="178">
        <v>0</v>
      </c>
      <c r="AJ21" s="178">
        <v>5300</v>
      </c>
      <c r="AK21" s="178">
        <v>4630</v>
      </c>
      <c r="AL21" s="178">
        <v>4295</v>
      </c>
      <c r="AM21" s="178">
        <v>4325</v>
      </c>
      <c r="AN21" s="178">
        <v>4295</v>
      </c>
      <c r="AO21" s="178">
        <v>4015</v>
      </c>
      <c r="AP21" s="178">
        <v>3910</v>
      </c>
      <c r="AQ21" s="178">
        <v>3745</v>
      </c>
      <c r="AR21" s="178">
        <v>3250</v>
      </c>
      <c r="AS21" s="178">
        <v>3190</v>
      </c>
      <c r="AT21" s="178">
        <v>3310</v>
      </c>
      <c r="AU21" s="178">
        <v>3550</v>
      </c>
      <c r="AV21" s="178">
        <v>3805</v>
      </c>
      <c r="AW21" s="178">
        <v>3580</v>
      </c>
      <c r="AX21" s="178">
        <v>3485</v>
      </c>
      <c r="AY21" s="178">
        <v>3350</v>
      </c>
      <c r="AZ21" s="178">
        <v>3440</v>
      </c>
      <c r="BA21" s="178">
        <v>3245</v>
      </c>
      <c r="BB21" s="178">
        <v>3190</v>
      </c>
      <c r="BC21" s="178">
        <v>3170</v>
      </c>
      <c r="BD21" s="178">
        <v>3235</v>
      </c>
      <c r="BE21" s="178">
        <v>3340</v>
      </c>
      <c r="BF21" s="178">
        <v>3340</v>
      </c>
      <c r="BG21" s="178">
        <v>3510</v>
      </c>
      <c r="BH21" s="178">
        <v>3530</v>
      </c>
      <c r="BI21" s="178">
        <v>3215</v>
      </c>
    </row>
    <row r="22" spans="1:61" x14ac:dyDescent="0.25">
      <c r="A22" s="49" t="str">
        <f>IPO監視一覧!H19</f>
        <v>A</v>
      </c>
      <c r="B22" s="49" t="str">
        <f>IPO監視一覧!B19</f>
        <v>ブティックス</v>
      </c>
      <c r="C22" s="177">
        <f>株価一覧!E21</f>
        <v>3685</v>
      </c>
      <c r="D22" s="105">
        <f t="shared" ca="1" si="4"/>
        <v>3187</v>
      </c>
      <c r="E22" s="177">
        <f t="shared" ca="1" si="1"/>
        <v>3356</v>
      </c>
      <c r="F22" s="110">
        <f t="shared" ca="1" si="2"/>
        <v>2947</v>
      </c>
      <c r="G22" s="178">
        <v>0</v>
      </c>
      <c r="H22" s="178">
        <v>0</v>
      </c>
      <c r="I22" s="178">
        <v>0</v>
      </c>
      <c r="J22" s="178">
        <v>0</v>
      </c>
      <c r="K22" s="178">
        <v>0</v>
      </c>
      <c r="L22" s="178">
        <v>0</v>
      </c>
      <c r="M22" s="178">
        <v>0</v>
      </c>
      <c r="N22" s="178">
        <v>0</v>
      </c>
      <c r="O22" s="178">
        <v>0</v>
      </c>
      <c r="P22" s="178">
        <v>0</v>
      </c>
      <c r="Q22" s="178">
        <v>0</v>
      </c>
      <c r="R22" s="178">
        <v>0</v>
      </c>
      <c r="S22" s="178">
        <v>0</v>
      </c>
      <c r="T22" s="178">
        <v>0</v>
      </c>
      <c r="U22" s="178">
        <v>0</v>
      </c>
      <c r="V22" s="178">
        <v>0</v>
      </c>
      <c r="W22" s="178">
        <v>0</v>
      </c>
      <c r="X22" s="178">
        <v>0</v>
      </c>
      <c r="Y22" s="178">
        <v>0</v>
      </c>
      <c r="Z22" s="178">
        <v>0</v>
      </c>
      <c r="AA22" s="178">
        <v>0</v>
      </c>
      <c r="AB22" s="178">
        <v>0</v>
      </c>
      <c r="AC22" s="178">
        <v>0</v>
      </c>
      <c r="AD22" s="178">
        <v>0</v>
      </c>
      <c r="AE22" s="178">
        <v>0</v>
      </c>
      <c r="AF22" s="178">
        <v>0</v>
      </c>
      <c r="AG22" s="178">
        <v>0</v>
      </c>
      <c r="AH22" s="178">
        <v>0</v>
      </c>
      <c r="AI22" s="178">
        <v>0</v>
      </c>
      <c r="AJ22" s="178">
        <v>0</v>
      </c>
      <c r="AK22" s="178">
        <v>0</v>
      </c>
      <c r="AL22" s="178">
        <v>3420</v>
      </c>
      <c r="AM22" s="178">
        <v>4120</v>
      </c>
      <c r="AN22" s="178">
        <v>5130</v>
      </c>
      <c r="AO22" s="178">
        <v>4485</v>
      </c>
      <c r="AP22" s="178">
        <v>4000</v>
      </c>
      <c r="AQ22" s="178">
        <v>4140</v>
      </c>
      <c r="AR22" s="178">
        <v>3460</v>
      </c>
      <c r="AS22" s="178">
        <v>3720</v>
      </c>
      <c r="AT22" s="178">
        <v>3910</v>
      </c>
      <c r="AU22" s="178">
        <v>3720</v>
      </c>
      <c r="AV22" s="178">
        <v>3515</v>
      </c>
      <c r="AW22" s="178">
        <v>3510</v>
      </c>
      <c r="AX22" s="178">
        <v>3680</v>
      </c>
      <c r="AY22" s="178">
        <v>3595</v>
      </c>
      <c r="AZ22" s="178">
        <v>3430</v>
      </c>
      <c r="BA22" s="178">
        <v>3205</v>
      </c>
      <c r="BB22" s="178">
        <v>3305</v>
      </c>
      <c r="BC22" s="178">
        <v>3305</v>
      </c>
      <c r="BD22" s="178">
        <v>3140</v>
      </c>
      <c r="BE22" s="178">
        <v>2947</v>
      </c>
      <c r="BF22" s="178">
        <v>2963</v>
      </c>
      <c r="BG22" s="178">
        <v>3090</v>
      </c>
      <c r="BH22" s="178">
        <v>3250</v>
      </c>
      <c r="BI22" s="178">
        <v>3685</v>
      </c>
    </row>
    <row r="23" spans="1:61" x14ac:dyDescent="0.25">
      <c r="A23" s="49" t="str">
        <f>IPO監視一覧!H20</f>
        <v>A</v>
      </c>
      <c r="B23" s="49" t="str">
        <f>IPO監視一覧!B20</f>
        <v>ビープラッツ</v>
      </c>
      <c r="C23" s="177">
        <f>株価一覧!E22</f>
        <v>7300</v>
      </c>
      <c r="D23" s="105">
        <f t="shared" ca="1" si="4"/>
        <v>6602</v>
      </c>
      <c r="E23" s="177">
        <f t="shared" ca="1" si="1"/>
        <v>6186</v>
      </c>
      <c r="F23" s="110">
        <f t="shared" ca="1" si="2"/>
        <v>5490</v>
      </c>
      <c r="G23" s="178">
        <v>0</v>
      </c>
      <c r="H23" s="178">
        <v>0</v>
      </c>
      <c r="I23" s="178">
        <v>0</v>
      </c>
      <c r="J23" s="178">
        <v>0</v>
      </c>
      <c r="K23" s="178">
        <v>0</v>
      </c>
      <c r="L23" s="178">
        <v>0</v>
      </c>
      <c r="M23" s="178">
        <v>0</v>
      </c>
      <c r="N23" s="178">
        <v>0</v>
      </c>
      <c r="O23" s="178">
        <v>0</v>
      </c>
      <c r="P23" s="178">
        <v>0</v>
      </c>
      <c r="Q23" s="178">
        <v>0</v>
      </c>
      <c r="R23" s="178">
        <v>0</v>
      </c>
      <c r="S23" s="178">
        <v>0</v>
      </c>
      <c r="T23" s="178">
        <v>0</v>
      </c>
      <c r="U23" s="178">
        <v>0</v>
      </c>
      <c r="V23" s="178">
        <v>0</v>
      </c>
      <c r="W23" s="178">
        <v>0</v>
      </c>
      <c r="X23" s="178">
        <v>0</v>
      </c>
      <c r="Y23" s="178">
        <v>0</v>
      </c>
      <c r="Z23" s="178">
        <v>0</v>
      </c>
      <c r="AA23" s="178">
        <v>0</v>
      </c>
      <c r="AB23" s="178">
        <v>0</v>
      </c>
      <c r="AC23" s="178">
        <v>0</v>
      </c>
      <c r="AD23" s="178">
        <v>0</v>
      </c>
      <c r="AE23" s="178">
        <v>0</v>
      </c>
      <c r="AF23" s="178">
        <v>0</v>
      </c>
      <c r="AG23" s="178">
        <v>0</v>
      </c>
      <c r="AH23" s="178">
        <v>0</v>
      </c>
      <c r="AI23" s="178">
        <v>0</v>
      </c>
      <c r="AJ23" s="178">
        <v>0</v>
      </c>
      <c r="AK23" s="178">
        <v>0</v>
      </c>
      <c r="AL23" s="178">
        <v>0</v>
      </c>
      <c r="AM23" s="178">
        <v>0</v>
      </c>
      <c r="AN23" s="178">
        <v>8440</v>
      </c>
      <c r="AO23" s="178">
        <v>7050</v>
      </c>
      <c r="AP23" s="178">
        <v>6580</v>
      </c>
      <c r="AQ23" s="178">
        <v>6350</v>
      </c>
      <c r="AR23" s="178">
        <v>5580</v>
      </c>
      <c r="AS23" s="178">
        <v>5970</v>
      </c>
      <c r="AT23" s="178">
        <v>6650</v>
      </c>
      <c r="AU23" s="178">
        <v>6320</v>
      </c>
      <c r="AV23" s="178">
        <v>6060</v>
      </c>
      <c r="AW23" s="178">
        <v>6600</v>
      </c>
      <c r="AX23" s="178">
        <v>6330</v>
      </c>
      <c r="AY23" s="178">
        <v>6240</v>
      </c>
      <c r="AZ23" s="178">
        <v>5770</v>
      </c>
      <c r="BA23" s="178">
        <v>5680</v>
      </c>
      <c r="BB23" s="178">
        <v>5660</v>
      </c>
      <c r="BC23" s="178">
        <v>5490</v>
      </c>
      <c r="BD23" s="178">
        <v>5630</v>
      </c>
      <c r="BE23" s="178">
        <v>5700</v>
      </c>
      <c r="BF23" s="178">
        <v>5670</v>
      </c>
      <c r="BG23" s="178">
        <v>6670</v>
      </c>
      <c r="BH23" s="178">
        <v>7670</v>
      </c>
      <c r="BI23" s="178">
        <v>7300</v>
      </c>
    </row>
    <row r="24" spans="1:61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7">
        <f>株価一覧!E23</f>
        <v>2255</v>
      </c>
      <c r="D24" s="105">
        <f t="shared" ca="1" si="4"/>
        <v>2482.1999999999998</v>
      </c>
      <c r="E24" s="177">
        <f t="shared" ca="1" si="1"/>
        <v>2527.1999999999998</v>
      </c>
      <c r="F24" s="110">
        <f t="shared" ca="1" si="2"/>
        <v>2255</v>
      </c>
      <c r="G24" s="178">
        <v>0</v>
      </c>
      <c r="H24" s="178">
        <v>0</v>
      </c>
      <c r="I24" s="178">
        <v>0</v>
      </c>
      <c r="J24" s="178">
        <v>0</v>
      </c>
      <c r="K24" s="178">
        <v>0</v>
      </c>
      <c r="L24" s="178">
        <v>0</v>
      </c>
      <c r="M24" s="178">
        <v>0</v>
      </c>
      <c r="N24" s="178">
        <v>0</v>
      </c>
      <c r="O24" s="178">
        <v>0</v>
      </c>
      <c r="P24" s="178">
        <v>0</v>
      </c>
      <c r="Q24" s="178">
        <v>0</v>
      </c>
      <c r="R24" s="178">
        <v>0</v>
      </c>
      <c r="S24" s="178">
        <v>0</v>
      </c>
      <c r="T24" s="178">
        <v>0</v>
      </c>
      <c r="U24" s="178">
        <v>0</v>
      </c>
      <c r="V24" s="178">
        <v>0</v>
      </c>
      <c r="W24" s="178">
        <v>0</v>
      </c>
      <c r="X24" s="178">
        <v>0</v>
      </c>
      <c r="Y24" s="178">
        <v>0</v>
      </c>
      <c r="Z24" s="178">
        <v>0</v>
      </c>
      <c r="AA24" s="178">
        <v>0</v>
      </c>
      <c r="AB24" s="178">
        <v>0</v>
      </c>
      <c r="AC24" s="178">
        <v>0</v>
      </c>
      <c r="AD24" s="178">
        <v>0</v>
      </c>
      <c r="AE24" s="178">
        <v>0</v>
      </c>
      <c r="AF24" s="178">
        <v>0</v>
      </c>
      <c r="AG24" s="178">
        <v>0</v>
      </c>
      <c r="AH24" s="178">
        <v>0</v>
      </c>
      <c r="AI24" s="178">
        <v>0</v>
      </c>
      <c r="AJ24" s="178">
        <v>0</v>
      </c>
      <c r="AK24" s="178">
        <v>0</v>
      </c>
      <c r="AL24" s="178">
        <v>0</v>
      </c>
      <c r="AM24" s="178">
        <v>0</v>
      </c>
      <c r="AN24" s="178">
        <v>0</v>
      </c>
      <c r="AO24" s="178">
        <v>4300</v>
      </c>
      <c r="AP24" s="178">
        <v>3600</v>
      </c>
      <c r="AQ24" s="178">
        <v>3290</v>
      </c>
      <c r="AR24" s="178">
        <v>2758</v>
      </c>
      <c r="AS24" s="178">
        <v>3040</v>
      </c>
      <c r="AT24" s="178">
        <v>2898</v>
      </c>
      <c r="AU24" s="178">
        <v>2706</v>
      </c>
      <c r="AV24" s="178">
        <v>2727</v>
      </c>
      <c r="AW24" s="178">
        <v>2632</v>
      </c>
      <c r="AX24" s="178">
        <v>2605</v>
      </c>
      <c r="AY24" s="178">
        <v>2515</v>
      </c>
      <c r="AZ24" s="178">
        <v>2372</v>
      </c>
      <c r="BA24" s="178">
        <v>2387</v>
      </c>
      <c r="BB24" s="178">
        <v>2557</v>
      </c>
      <c r="BC24" s="178">
        <v>2491</v>
      </c>
      <c r="BD24" s="178">
        <v>2505</v>
      </c>
      <c r="BE24" s="178">
        <v>2536</v>
      </c>
      <c r="BF24" s="178">
        <v>2558</v>
      </c>
      <c r="BG24" s="178">
        <v>2632</v>
      </c>
      <c r="BH24" s="178">
        <v>2430</v>
      </c>
      <c r="BI24" s="178">
        <v>2255</v>
      </c>
    </row>
    <row r="25" spans="1:61" x14ac:dyDescent="0.25">
      <c r="A25" s="49" t="str">
        <f>IPO監視一覧!H22</f>
        <v>B</v>
      </c>
      <c r="B25" s="49" t="str">
        <f>IPO監視一覧!B22</f>
        <v>コンヴァノ</v>
      </c>
      <c r="C25" s="177">
        <f>株価一覧!E24</f>
        <v>1780</v>
      </c>
      <c r="D25" s="105">
        <f t="shared" ca="1" si="4"/>
        <v>1707.4</v>
      </c>
      <c r="E25" s="177">
        <f t="shared" ca="1" si="1"/>
        <v>1604.2666666666667</v>
      </c>
      <c r="F25" s="110">
        <f t="shared" ca="1" si="2"/>
        <v>1396</v>
      </c>
      <c r="G25" s="178">
        <v>0</v>
      </c>
      <c r="H25" s="178">
        <v>0</v>
      </c>
      <c r="I25" s="178">
        <v>0</v>
      </c>
      <c r="J25" s="178">
        <v>0</v>
      </c>
      <c r="K25" s="178">
        <v>0</v>
      </c>
      <c r="L25" s="178">
        <v>0</v>
      </c>
      <c r="M25" s="178">
        <v>0</v>
      </c>
      <c r="N25" s="178">
        <v>0</v>
      </c>
      <c r="O25" s="178">
        <v>0</v>
      </c>
      <c r="P25" s="178">
        <v>0</v>
      </c>
      <c r="Q25" s="178">
        <v>0</v>
      </c>
      <c r="R25" s="178">
        <v>0</v>
      </c>
      <c r="S25" s="178">
        <v>0</v>
      </c>
      <c r="T25" s="178">
        <v>0</v>
      </c>
      <c r="U25" s="178">
        <v>0</v>
      </c>
      <c r="V25" s="178">
        <v>0</v>
      </c>
      <c r="W25" s="178">
        <v>0</v>
      </c>
      <c r="X25" s="178">
        <v>0</v>
      </c>
      <c r="Y25" s="178">
        <v>0</v>
      </c>
      <c r="Z25" s="178">
        <v>0</v>
      </c>
      <c r="AA25" s="178">
        <v>0</v>
      </c>
      <c r="AB25" s="178">
        <v>0</v>
      </c>
      <c r="AC25" s="178">
        <v>0</v>
      </c>
      <c r="AD25" s="178">
        <v>0</v>
      </c>
      <c r="AE25" s="178">
        <v>0</v>
      </c>
      <c r="AF25" s="178">
        <v>0</v>
      </c>
      <c r="AG25" s="178">
        <v>0</v>
      </c>
      <c r="AH25" s="178">
        <v>0</v>
      </c>
      <c r="AI25" s="178">
        <v>0</v>
      </c>
      <c r="AJ25" s="178">
        <v>0</v>
      </c>
      <c r="AK25" s="178">
        <v>0</v>
      </c>
      <c r="AL25" s="178">
        <v>0</v>
      </c>
      <c r="AM25" s="178">
        <v>0</v>
      </c>
      <c r="AN25" s="178">
        <v>0</v>
      </c>
      <c r="AO25" s="178">
        <v>2230</v>
      </c>
      <c r="AP25" s="178">
        <v>1834</v>
      </c>
      <c r="AQ25" s="178">
        <v>1629</v>
      </c>
      <c r="AR25" s="178">
        <v>1590</v>
      </c>
      <c r="AS25" s="178">
        <v>1525</v>
      </c>
      <c r="AT25" s="178">
        <v>1627</v>
      </c>
      <c r="AU25" s="178">
        <v>1628</v>
      </c>
      <c r="AV25" s="178">
        <v>1552</v>
      </c>
      <c r="AW25" s="178">
        <v>1521</v>
      </c>
      <c r="AX25" s="178">
        <v>1500</v>
      </c>
      <c r="AY25" s="178">
        <v>1499</v>
      </c>
      <c r="AZ25" s="178">
        <v>1470</v>
      </c>
      <c r="BA25" s="178">
        <v>1396</v>
      </c>
      <c r="BB25" s="178">
        <v>1612</v>
      </c>
      <c r="BC25" s="178">
        <v>1679</v>
      </c>
      <c r="BD25" s="178">
        <v>1670</v>
      </c>
      <c r="BE25" s="178">
        <v>1794</v>
      </c>
      <c r="BF25" s="178">
        <v>1626</v>
      </c>
      <c r="BG25" s="178">
        <v>1646</v>
      </c>
      <c r="BH25" s="178">
        <v>1691</v>
      </c>
      <c r="BI25" s="178">
        <v>1780</v>
      </c>
    </row>
    <row r="26" spans="1:61" x14ac:dyDescent="0.25">
      <c r="A26" s="49" t="str">
        <f>IPO監視一覧!H23</f>
        <v>A</v>
      </c>
      <c r="B26" s="49" t="str">
        <f>IPO監視一覧!B23</f>
        <v>ＨＥＲＯＺ</v>
      </c>
      <c r="C26" s="177">
        <f>株価一覧!E25</f>
        <v>20960</v>
      </c>
      <c r="D26" s="105">
        <f t="shared" ca="1" si="4"/>
        <v>21236</v>
      </c>
      <c r="E26" s="177">
        <f t="shared" ca="1" si="1"/>
        <v>0</v>
      </c>
      <c r="F26" s="110">
        <f t="shared" ca="1" si="2"/>
        <v>0</v>
      </c>
      <c r="G26" s="178">
        <v>0</v>
      </c>
      <c r="H26" s="178">
        <v>0</v>
      </c>
      <c r="I26" s="178">
        <v>0</v>
      </c>
      <c r="J26" s="178">
        <v>0</v>
      </c>
      <c r="K26" s="178">
        <v>0</v>
      </c>
      <c r="L26" s="178">
        <v>0</v>
      </c>
      <c r="M26" s="178">
        <v>0</v>
      </c>
      <c r="N26" s="178">
        <v>0</v>
      </c>
      <c r="O26" s="178">
        <v>0</v>
      </c>
      <c r="P26" s="178">
        <v>0</v>
      </c>
      <c r="Q26" s="178">
        <v>0</v>
      </c>
      <c r="R26" s="178">
        <v>0</v>
      </c>
      <c r="S26" s="178">
        <v>0</v>
      </c>
      <c r="T26" s="178">
        <v>0</v>
      </c>
      <c r="U26" s="178">
        <v>0</v>
      </c>
      <c r="V26" s="178">
        <v>0</v>
      </c>
      <c r="W26" s="178">
        <v>0</v>
      </c>
      <c r="X26" s="178">
        <v>0</v>
      </c>
      <c r="Y26" s="178">
        <v>0</v>
      </c>
      <c r="Z26" s="178">
        <v>0</v>
      </c>
      <c r="AA26" s="178">
        <v>0</v>
      </c>
      <c r="AB26" s="178">
        <v>0</v>
      </c>
      <c r="AC26" s="178">
        <v>0</v>
      </c>
      <c r="AD26" s="178">
        <v>0</v>
      </c>
      <c r="AE26" s="178">
        <v>0</v>
      </c>
      <c r="AF26" s="178">
        <v>0</v>
      </c>
      <c r="AG26" s="178">
        <v>0</v>
      </c>
      <c r="AH26" s="178">
        <v>0</v>
      </c>
      <c r="AI26" s="178">
        <v>0</v>
      </c>
      <c r="AJ26" s="178">
        <v>0</v>
      </c>
      <c r="AK26" s="178">
        <v>0</v>
      </c>
      <c r="AL26" s="178">
        <v>0</v>
      </c>
      <c r="AM26" s="178">
        <v>0</v>
      </c>
      <c r="AN26" s="178">
        <v>0</v>
      </c>
      <c r="AO26" s="178">
        <v>0</v>
      </c>
      <c r="AP26" s="178">
        <v>0</v>
      </c>
      <c r="AQ26" s="178">
        <v>0</v>
      </c>
      <c r="AR26" s="178">
        <v>0</v>
      </c>
      <c r="AS26" s="178">
        <v>0</v>
      </c>
      <c r="AT26" s="178">
        <v>0</v>
      </c>
      <c r="AU26" s="178">
        <v>0</v>
      </c>
      <c r="AV26" s="178">
        <v>0</v>
      </c>
      <c r="AW26" s="178">
        <v>0</v>
      </c>
      <c r="AX26" s="178">
        <v>42000</v>
      </c>
      <c r="AY26" s="178">
        <v>35000</v>
      </c>
      <c r="AZ26" s="178">
        <v>28900</v>
      </c>
      <c r="BA26" s="178">
        <v>26600</v>
      </c>
      <c r="BB26" s="178">
        <v>25360</v>
      </c>
      <c r="BC26" s="178">
        <v>23860</v>
      </c>
      <c r="BD26" s="178">
        <v>23250</v>
      </c>
      <c r="BE26" s="178">
        <v>20870</v>
      </c>
      <c r="BF26" s="178">
        <v>21940</v>
      </c>
      <c r="BG26" s="178">
        <v>22310</v>
      </c>
      <c r="BH26" s="178">
        <v>20100</v>
      </c>
      <c r="BI26" s="178">
        <v>20960</v>
      </c>
    </row>
    <row r="27" spans="1:61" x14ac:dyDescent="0.25">
      <c r="A27" s="49" t="str">
        <f>IPO監視一覧!H24</f>
        <v>A</v>
      </c>
      <c r="B27" s="49" t="str">
        <f>IPO監視一覧!B24</f>
        <v>ベストワンドットコム</v>
      </c>
      <c r="C27" s="177">
        <f>株価一覧!E26</f>
        <v>11290</v>
      </c>
      <c r="D27" s="105">
        <f t="shared" ca="1" si="4"/>
        <v>11474</v>
      </c>
      <c r="E27" s="177">
        <f t="shared" ca="1" si="1"/>
        <v>0</v>
      </c>
      <c r="F27" s="110">
        <f t="shared" ca="1" si="2"/>
        <v>0</v>
      </c>
      <c r="G27" s="178">
        <v>0</v>
      </c>
      <c r="H27" s="178">
        <v>0</v>
      </c>
      <c r="I27" s="178">
        <v>0</v>
      </c>
      <c r="J27" s="178">
        <v>0</v>
      </c>
      <c r="K27" s="178">
        <v>0</v>
      </c>
      <c r="L27" s="178">
        <v>0</v>
      </c>
      <c r="M27" s="178">
        <v>0</v>
      </c>
      <c r="N27" s="178">
        <v>0</v>
      </c>
      <c r="O27" s="178">
        <v>0</v>
      </c>
      <c r="P27" s="178">
        <v>0</v>
      </c>
      <c r="Q27" s="178">
        <v>0</v>
      </c>
      <c r="R27" s="178">
        <v>0</v>
      </c>
      <c r="S27" s="178">
        <v>0</v>
      </c>
      <c r="T27" s="178">
        <v>0</v>
      </c>
      <c r="U27" s="178">
        <v>0</v>
      </c>
      <c r="V27" s="178">
        <v>0</v>
      </c>
      <c r="W27" s="178">
        <v>0</v>
      </c>
      <c r="X27" s="178">
        <v>0</v>
      </c>
      <c r="Y27" s="178">
        <v>0</v>
      </c>
      <c r="Z27" s="178">
        <v>0</v>
      </c>
      <c r="AA27" s="178">
        <v>0</v>
      </c>
      <c r="AB27" s="178">
        <v>0</v>
      </c>
      <c r="AC27" s="178">
        <v>0</v>
      </c>
      <c r="AD27" s="178">
        <v>0</v>
      </c>
      <c r="AE27" s="178">
        <v>0</v>
      </c>
      <c r="AF27" s="178">
        <v>0</v>
      </c>
      <c r="AG27" s="178">
        <v>0</v>
      </c>
      <c r="AH27" s="178">
        <v>0</v>
      </c>
      <c r="AI27" s="178">
        <v>0</v>
      </c>
      <c r="AJ27" s="178">
        <v>0</v>
      </c>
      <c r="AK27" s="178">
        <v>0</v>
      </c>
      <c r="AL27" s="178">
        <v>0</v>
      </c>
      <c r="AM27" s="178">
        <v>0</v>
      </c>
      <c r="AN27" s="178">
        <v>0</v>
      </c>
      <c r="AO27" s="178">
        <v>0</v>
      </c>
      <c r="AP27" s="178">
        <v>0</v>
      </c>
      <c r="AQ27" s="178">
        <v>0</v>
      </c>
      <c r="AR27" s="178">
        <v>0</v>
      </c>
      <c r="AS27" s="178">
        <v>0</v>
      </c>
      <c r="AT27" s="178">
        <v>0</v>
      </c>
      <c r="AU27" s="178">
        <v>0</v>
      </c>
      <c r="AV27" s="178">
        <v>0</v>
      </c>
      <c r="AW27" s="178">
        <v>0</v>
      </c>
      <c r="AX27" s="178">
        <v>0</v>
      </c>
      <c r="AY27" s="178">
        <v>0</v>
      </c>
      <c r="AZ27" s="178">
        <v>15100</v>
      </c>
      <c r="BA27" s="178">
        <v>11260</v>
      </c>
      <c r="BB27" s="178">
        <v>11730</v>
      </c>
      <c r="BC27" s="178">
        <v>11970</v>
      </c>
      <c r="BD27" s="178">
        <v>13010</v>
      </c>
      <c r="BE27" s="178">
        <v>12200</v>
      </c>
      <c r="BF27" s="178">
        <v>11850</v>
      </c>
      <c r="BG27" s="178">
        <v>11370</v>
      </c>
      <c r="BH27" s="178">
        <v>10660</v>
      </c>
      <c r="BI27" s="178">
        <v>11290</v>
      </c>
    </row>
    <row r="28" spans="1:61" x14ac:dyDescent="0.25">
      <c r="A28" s="49" t="str">
        <f>IPO監視一覧!H25</f>
        <v>B</v>
      </c>
      <c r="B28" s="49" t="str">
        <f>IPO監視一覧!B25</f>
        <v>アイペット損害保険</v>
      </c>
      <c r="C28" s="177">
        <f>株価一覧!E27</f>
        <v>3720</v>
      </c>
      <c r="D28" s="105">
        <f t="shared" ca="1" si="4"/>
        <v>3843</v>
      </c>
      <c r="E28" s="177">
        <f t="shared" ca="1" si="1"/>
        <v>0</v>
      </c>
      <c r="F28" s="110">
        <f t="shared" ca="1" si="2"/>
        <v>0</v>
      </c>
      <c r="G28" s="178">
        <v>0</v>
      </c>
      <c r="H28" s="178">
        <v>0</v>
      </c>
      <c r="I28" s="178">
        <v>0</v>
      </c>
      <c r="J28" s="178">
        <v>0</v>
      </c>
      <c r="K28" s="178">
        <v>0</v>
      </c>
      <c r="L28" s="178">
        <v>0</v>
      </c>
      <c r="M28" s="178">
        <v>0</v>
      </c>
      <c r="N28" s="178">
        <v>0</v>
      </c>
      <c r="O28" s="178">
        <v>0</v>
      </c>
      <c r="P28" s="178">
        <v>0</v>
      </c>
      <c r="Q28" s="178">
        <v>0</v>
      </c>
      <c r="R28" s="178">
        <v>0</v>
      </c>
      <c r="S28" s="178">
        <v>0</v>
      </c>
      <c r="T28" s="178">
        <v>0</v>
      </c>
      <c r="U28" s="178">
        <v>0</v>
      </c>
      <c r="V28" s="178">
        <v>0</v>
      </c>
      <c r="W28" s="178">
        <v>0</v>
      </c>
      <c r="X28" s="178">
        <v>0</v>
      </c>
      <c r="Y28" s="178">
        <v>0</v>
      </c>
      <c r="Z28" s="178">
        <v>0</v>
      </c>
      <c r="AA28" s="178">
        <v>0</v>
      </c>
      <c r="AB28" s="178">
        <v>0</v>
      </c>
      <c r="AC28" s="178">
        <v>0</v>
      </c>
      <c r="AD28" s="178">
        <v>0</v>
      </c>
      <c r="AE28" s="178">
        <v>0</v>
      </c>
      <c r="AF28" s="178">
        <v>0</v>
      </c>
      <c r="AG28" s="178">
        <v>0</v>
      </c>
      <c r="AH28" s="178">
        <v>0</v>
      </c>
      <c r="AI28" s="178">
        <v>0</v>
      </c>
      <c r="AJ28" s="178">
        <v>0</v>
      </c>
      <c r="AK28" s="178">
        <v>0</v>
      </c>
      <c r="AL28" s="178">
        <v>0</v>
      </c>
      <c r="AM28" s="178">
        <v>0</v>
      </c>
      <c r="AN28" s="178">
        <v>0</v>
      </c>
      <c r="AO28" s="178">
        <v>0</v>
      </c>
      <c r="AP28" s="178">
        <v>0</v>
      </c>
      <c r="AQ28" s="178">
        <v>0</v>
      </c>
      <c r="AR28" s="178">
        <v>0</v>
      </c>
      <c r="AS28" s="178">
        <v>0</v>
      </c>
      <c r="AT28" s="178">
        <v>0</v>
      </c>
      <c r="AU28" s="178">
        <v>0</v>
      </c>
      <c r="AV28" s="178">
        <v>0</v>
      </c>
      <c r="AW28" s="178">
        <v>0</v>
      </c>
      <c r="AX28" s="178">
        <v>0</v>
      </c>
      <c r="AY28" s="178">
        <v>4040</v>
      </c>
      <c r="AZ28" s="178">
        <v>3570</v>
      </c>
      <c r="BA28" s="178">
        <v>3890</v>
      </c>
      <c r="BB28" s="178">
        <v>3870</v>
      </c>
      <c r="BC28" s="178">
        <v>3675</v>
      </c>
      <c r="BD28" s="178">
        <v>3560</v>
      </c>
      <c r="BE28" s="178">
        <v>3525</v>
      </c>
      <c r="BF28" s="178">
        <v>3950</v>
      </c>
      <c r="BG28" s="178">
        <v>4040</v>
      </c>
      <c r="BH28" s="178">
        <v>3980</v>
      </c>
      <c r="BI28" s="178">
        <v>3720</v>
      </c>
    </row>
    <row r="29" spans="1:61" x14ac:dyDescent="0.25">
      <c r="A29" s="49" t="str">
        <f>IPO監視一覧!H26</f>
        <v>B</v>
      </c>
      <c r="B29" s="49" t="str">
        <f>IPO監視一覧!B26</f>
        <v>エヌリンクス</v>
      </c>
      <c r="C29" s="177">
        <f>株価一覧!E28</f>
        <v>2409</v>
      </c>
      <c r="D29" s="105">
        <f t="shared" ca="1" si="4"/>
        <v>2522.1999999999998</v>
      </c>
      <c r="E29" s="177">
        <f t="shared" ca="1" si="1"/>
        <v>0</v>
      </c>
      <c r="F29" s="110">
        <f t="shared" ca="1" si="2"/>
        <v>0</v>
      </c>
      <c r="G29" s="178">
        <v>0</v>
      </c>
      <c r="H29" s="178">
        <v>0</v>
      </c>
      <c r="I29" s="178">
        <v>0</v>
      </c>
      <c r="J29" s="178">
        <v>0</v>
      </c>
      <c r="K29" s="178">
        <v>0</v>
      </c>
      <c r="L29" s="178">
        <v>0</v>
      </c>
      <c r="M29" s="178">
        <v>0</v>
      </c>
      <c r="N29" s="178">
        <v>0</v>
      </c>
      <c r="O29" s="178">
        <v>0</v>
      </c>
      <c r="P29" s="178">
        <v>0</v>
      </c>
      <c r="Q29" s="178">
        <v>0</v>
      </c>
      <c r="R29" s="178">
        <v>0</v>
      </c>
      <c r="S29" s="178">
        <v>0</v>
      </c>
      <c r="T29" s="178">
        <v>0</v>
      </c>
      <c r="U29" s="178">
        <v>0</v>
      </c>
      <c r="V29" s="178">
        <v>0</v>
      </c>
      <c r="W29" s="178">
        <v>0</v>
      </c>
      <c r="X29" s="178">
        <v>0</v>
      </c>
      <c r="Y29" s="178">
        <v>0</v>
      </c>
      <c r="Z29" s="178">
        <v>0</v>
      </c>
      <c r="AA29" s="178">
        <v>0</v>
      </c>
      <c r="AB29" s="178">
        <v>0</v>
      </c>
      <c r="AC29" s="178">
        <v>0</v>
      </c>
      <c r="AD29" s="178">
        <v>0</v>
      </c>
      <c r="AE29" s="178">
        <v>0</v>
      </c>
      <c r="AF29" s="178">
        <v>0</v>
      </c>
      <c r="AG29" s="178">
        <v>0</v>
      </c>
      <c r="AH29" s="178">
        <v>0</v>
      </c>
      <c r="AI29" s="178">
        <v>0</v>
      </c>
      <c r="AJ29" s="178">
        <v>0</v>
      </c>
      <c r="AK29" s="178">
        <v>0</v>
      </c>
      <c r="AL29" s="178">
        <v>0</v>
      </c>
      <c r="AM29" s="178">
        <v>0</v>
      </c>
      <c r="AN29" s="178">
        <v>0</v>
      </c>
      <c r="AO29" s="178">
        <v>0</v>
      </c>
      <c r="AP29" s="178">
        <v>0</v>
      </c>
      <c r="AQ29" s="178">
        <v>0</v>
      </c>
      <c r="AR29" s="178">
        <v>0</v>
      </c>
      <c r="AS29" s="178">
        <v>0</v>
      </c>
      <c r="AT29" s="178">
        <v>0</v>
      </c>
      <c r="AU29" s="178">
        <v>0</v>
      </c>
      <c r="AV29" s="178">
        <v>0</v>
      </c>
      <c r="AW29" s="178">
        <v>0</v>
      </c>
      <c r="AX29" s="178">
        <v>0</v>
      </c>
      <c r="AY29" s="178">
        <v>0</v>
      </c>
      <c r="AZ29" s="178">
        <v>0</v>
      </c>
      <c r="BA29" s="178">
        <v>3080</v>
      </c>
      <c r="BB29" s="178">
        <v>2705</v>
      </c>
      <c r="BC29" s="178">
        <v>2602</v>
      </c>
      <c r="BD29" s="178">
        <v>2632</v>
      </c>
      <c r="BE29" s="178">
        <v>2565</v>
      </c>
      <c r="BF29" s="178">
        <v>2521</v>
      </c>
      <c r="BG29" s="178">
        <v>2576</v>
      </c>
      <c r="BH29" s="178">
        <v>2540</v>
      </c>
      <c r="BI29" s="178">
        <v>2409</v>
      </c>
    </row>
    <row r="30" spans="1:61" x14ac:dyDescent="0.25">
      <c r="A30" s="49" t="str">
        <f>IPO監視一覧!H27</f>
        <v>D</v>
      </c>
      <c r="B30" s="49" t="str">
        <f>IPO監視一覧!B27</f>
        <v>ラクスル</v>
      </c>
      <c r="C30" s="177">
        <f>株価一覧!E29</f>
        <v>0</v>
      </c>
      <c r="D30" s="105">
        <f t="shared" ca="1" si="4"/>
        <v>0</v>
      </c>
      <c r="E30" s="177">
        <f t="shared" ca="1" si="1"/>
        <v>0</v>
      </c>
      <c r="F30" s="110">
        <f t="shared" ca="1" si="2"/>
        <v>0</v>
      </c>
      <c r="G30" s="178">
        <v>0</v>
      </c>
      <c r="H30" s="178">
        <v>0</v>
      </c>
      <c r="I30" s="178">
        <v>0</v>
      </c>
      <c r="J30" s="178">
        <v>0</v>
      </c>
      <c r="K30" s="178">
        <v>0</v>
      </c>
      <c r="L30" s="178">
        <v>0</v>
      </c>
      <c r="M30" s="178">
        <v>0</v>
      </c>
      <c r="N30" s="178">
        <v>0</v>
      </c>
      <c r="O30" s="178">
        <v>0</v>
      </c>
      <c r="P30" s="178">
        <v>0</v>
      </c>
      <c r="Q30" s="178">
        <v>0</v>
      </c>
      <c r="R30" s="178">
        <v>0</v>
      </c>
      <c r="S30" s="178">
        <v>0</v>
      </c>
      <c r="T30" s="178">
        <v>0</v>
      </c>
      <c r="U30" s="178">
        <v>0</v>
      </c>
      <c r="V30" s="178">
        <v>0</v>
      </c>
      <c r="W30" s="178">
        <v>0</v>
      </c>
      <c r="X30" s="178">
        <v>0</v>
      </c>
      <c r="Y30" s="178">
        <v>0</v>
      </c>
      <c r="Z30" s="178">
        <v>0</v>
      </c>
      <c r="AA30" s="178">
        <v>0</v>
      </c>
      <c r="AB30" s="178">
        <v>0</v>
      </c>
      <c r="AC30" s="178">
        <v>0</v>
      </c>
      <c r="AD30" s="178">
        <v>0</v>
      </c>
      <c r="AE30" s="178">
        <v>0</v>
      </c>
      <c r="AF30" s="178">
        <v>0</v>
      </c>
      <c r="AG30" s="178">
        <v>0</v>
      </c>
      <c r="AH30" s="178">
        <v>0</v>
      </c>
      <c r="AI30" s="178">
        <v>0</v>
      </c>
      <c r="AJ30" s="178">
        <v>0</v>
      </c>
      <c r="AK30" s="178">
        <v>0</v>
      </c>
      <c r="AL30" s="178">
        <v>0</v>
      </c>
      <c r="AM30" s="178">
        <v>0</v>
      </c>
      <c r="AN30" s="178">
        <v>0</v>
      </c>
      <c r="AO30" s="178">
        <v>0</v>
      </c>
      <c r="AP30" s="178">
        <v>0</v>
      </c>
      <c r="AQ30" s="178">
        <v>0</v>
      </c>
      <c r="AR30" s="178">
        <v>0</v>
      </c>
      <c r="AS30" s="178">
        <v>0</v>
      </c>
      <c r="AT30" s="178">
        <v>0</v>
      </c>
      <c r="AU30" s="178">
        <v>0</v>
      </c>
      <c r="AV30" s="178">
        <v>0</v>
      </c>
      <c r="AW30" s="178">
        <v>0</v>
      </c>
      <c r="AX30" s="178">
        <v>0</v>
      </c>
      <c r="AY30" s="178">
        <v>0</v>
      </c>
      <c r="AZ30" s="178">
        <v>0</v>
      </c>
      <c r="BA30" s="178">
        <v>0</v>
      </c>
      <c r="BB30" s="178">
        <v>0</v>
      </c>
      <c r="BC30" s="178">
        <v>0</v>
      </c>
      <c r="BD30" s="178">
        <v>0</v>
      </c>
      <c r="BE30" s="178">
        <v>0</v>
      </c>
      <c r="BF30" s="178">
        <v>0</v>
      </c>
      <c r="BG30" s="178">
        <v>0</v>
      </c>
      <c r="BH30" s="178">
        <v>0</v>
      </c>
      <c r="BI30" s="178">
        <v>0</v>
      </c>
    </row>
    <row r="31" spans="1:61" x14ac:dyDescent="0.25">
      <c r="A31" s="49" t="str">
        <f>IPO監視一覧!H28</f>
        <v>B</v>
      </c>
      <c r="B31" s="49" t="str">
        <f>IPO監視一覧!B28</f>
        <v>メルカリ</v>
      </c>
      <c r="C31" s="177">
        <f>株価一覧!E30</f>
        <v>0</v>
      </c>
      <c r="D31" s="105">
        <f t="shared" ca="1" si="4"/>
        <v>0</v>
      </c>
      <c r="E31" s="177">
        <f t="shared" ca="1" si="1"/>
        <v>0</v>
      </c>
      <c r="F31" s="110">
        <f t="shared" ca="1" si="2"/>
        <v>0</v>
      </c>
      <c r="G31" s="178">
        <v>0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0</v>
      </c>
      <c r="O31" s="178">
        <v>0</v>
      </c>
      <c r="P31" s="178">
        <v>0</v>
      </c>
      <c r="Q31" s="178">
        <v>0</v>
      </c>
      <c r="R31" s="178">
        <v>0</v>
      </c>
      <c r="S31" s="178">
        <v>0</v>
      </c>
      <c r="T31" s="178">
        <v>0</v>
      </c>
      <c r="U31" s="178">
        <v>0</v>
      </c>
      <c r="V31" s="178">
        <v>0</v>
      </c>
      <c r="W31" s="178">
        <v>0</v>
      </c>
      <c r="X31" s="178">
        <v>0</v>
      </c>
      <c r="Y31" s="178">
        <v>0</v>
      </c>
      <c r="Z31" s="178">
        <v>0</v>
      </c>
      <c r="AA31" s="178">
        <v>0</v>
      </c>
      <c r="AB31" s="178">
        <v>0</v>
      </c>
      <c r="AC31" s="178">
        <v>0</v>
      </c>
      <c r="AD31" s="178">
        <v>0</v>
      </c>
      <c r="AE31" s="178">
        <v>0</v>
      </c>
      <c r="AF31" s="178">
        <v>0</v>
      </c>
      <c r="AG31" s="178">
        <v>0</v>
      </c>
      <c r="AH31" s="178">
        <v>0</v>
      </c>
      <c r="AI31" s="178">
        <v>0</v>
      </c>
      <c r="AJ31" s="178">
        <v>0</v>
      </c>
      <c r="AK31" s="178">
        <v>0</v>
      </c>
      <c r="AL31" s="178">
        <v>0</v>
      </c>
      <c r="AM31" s="178">
        <v>0</v>
      </c>
      <c r="AN31" s="178">
        <v>0</v>
      </c>
      <c r="AO31" s="178">
        <v>0</v>
      </c>
      <c r="AP31" s="178">
        <v>0</v>
      </c>
      <c r="AQ31" s="178">
        <v>0</v>
      </c>
      <c r="AR31" s="178">
        <v>0</v>
      </c>
      <c r="AS31" s="178">
        <v>0</v>
      </c>
      <c r="AT31" s="178">
        <v>0</v>
      </c>
      <c r="AU31" s="178">
        <v>0</v>
      </c>
      <c r="AV31" s="178">
        <v>0</v>
      </c>
      <c r="AW31" s="178">
        <v>0</v>
      </c>
      <c r="AX31" s="178">
        <v>0</v>
      </c>
      <c r="AY31" s="178">
        <v>0</v>
      </c>
      <c r="AZ31" s="178">
        <v>0</v>
      </c>
      <c r="BA31" s="178">
        <v>0</v>
      </c>
      <c r="BB31" s="178">
        <v>0</v>
      </c>
      <c r="BC31" s="178">
        <v>0</v>
      </c>
      <c r="BD31" s="178">
        <v>0</v>
      </c>
      <c r="BE31" s="178">
        <v>0</v>
      </c>
      <c r="BF31" s="178">
        <v>0</v>
      </c>
      <c r="BG31" s="178">
        <v>0</v>
      </c>
      <c r="BH31" s="178">
        <v>0</v>
      </c>
      <c r="BI31" s="178">
        <v>0</v>
      </c>
    </row>
    <row r="32" spans="1:61" x14ac:dyDescent="0.25">
      <c r="A32" s="49">
        <f>IPO監視一覧!H29</f>
        <v>0</v>
      </c>
      <c r="B32" s="49">
        <f>IPO監視一覧!B29</f>
        <v>0</v>
      </c>
      <c r="C32" s="177">
        <f>株価一覧!E31</f>
        <v>0</v>
      </c>
      <c r="D32" s="105">
        <f t="shared" ca="1" si="4"/>
        <v>0</v>
      </c>
      <c r="E32" s="177">
        <f t="shared" ca="1" si="1"/>
        <v>0</v>
      </c>
      <c r="F32" s="110">
        <f t="shared" ca="1" si="2"/>
        <v>0</v>
      </c>
      <c r="G32" s="178">
        <v>0</v>
      </c>
      <c r="H32" s="178">
        <v>0</v>
      </c>
      <c r="I32" s="178">
        <v>0</v>
      </c>
      <c r="J32" s="178">
        <v>0</v>
      </c>
      <c r="K32" s="178">
        <v>0</v>
      </c>
      <c r="L32" s="178">
        <v>0</v>
      </c>
      <c r="M32" s="178">
        <v>0</v>
      </c>
      <c r="N32" s="178">
        <v>0</v>
      </c>
      <c r="O32" s="178">
        <v>0</v>
      </c>
      <c r="P32" s="178">
        <v>0</v>
      </c>
      <c r="Q32" s="178">
        <v>0</v>
      </c>
      <c r="R32" s="178">
        <v>0</v>
      </c>
      <c r="S32" s="178">
        <v>0</v>
      </c>
      <c r="T32" s="178">
        <v>0</v>
      </c>
      <c r="U32" s="178">
        <v>0</v>
      </c>
      <c r="V32" s="178">
        <v>0</v>
      </c>
      <c r="W32" s="178">
        <v>0</v>
      </c>
      <c r="X32" s="178">
        <v>0</v>
      </c>
      <c r="Y32" s="178">
        <v>0</v>
      </c>
      <c r="Z32" s="178">
        <v>0</v>
      </c>
      <c r="AA32" s="178">
        <v>0</v>
      </c>
      <c r="AB32" s="178">
        <v>0</v>
      </c>
      <c r="AC32" s="178">
        <v>0</v>
      </c>
      <c r="AD32" s="178">
        <v>0</v>
      </c>
      <c r="AE32" s="178">
        <v>0</v>
      </c>
      <c r="AF32" s="178">
        <v>0</v>
      </c>
      <c r="AG32" s="178">
        <v>0</v>
      </c>
      <c r="AH32" s="178">
        <v>0</v>
      </c>
      <c r="AI32" s="178">
        <v>0</v>
      </c>
      <c r="AJ32" s="178">
        <v>0</v>
      </c>
      <c r="AK32" s="178">
        <v>0</v>
      </c>
      <c r="AL32" s="178">
        <v>0</v>
      </c>
      <c r="AM32" s="178">
        <v>0</v>
      </c>
      <c r="AN32" s="178">
        <v>0</v>
      </c>
      <c r="AO32" s="178">
        <v>0</v>
      </c>
      <c r="AP32" s="178">
        <v>0</v>
      </c>
      <c r="AQ32" s="178">
        <v>0</v>
      </c>
      <c r="AR32" s="178">
        <v>0</v>
      </c>
      <c r="AS32" s="178">
        <v>0</v>
      </c>
      <c r="AT32" s="178">
        <v>0</v>
      </c>
      <c r="AU32" s="178">
        <v>0</v>
      </c>
      <c r="AV32" s="178">
        <v>0</v>
      </c>
      <c r="AW32" s="178">
        <v>0</v>
      </c>
      <c r="AX32" s="178">
        <v>0</v>
      </c>
      <c r="AY32" s="178">
        <v>0</v>
      </c>
      <c r="AZ32" s="178">
        <v>0</v>
      </c>
      <c r="BA32" s="178">
        <v>0</v>
      </c>
      <c r="BB32" s="178">
        <v>0</v>
      </c>
      <c r="BC32" s="178">
        <v>0</v>
      </c>
      <c r="BD32" s="178">
        <v>0</v>
      </c>
      <c r="BE32" s="178">
        <v>0</v>
      </c>
      <c r="BF32" s="178">
        <v>0</v>
      </c>
      <c r="BG32" s="178">
        <v>0</v>
      </c>
      <c r="BH32" s="178">
        <v>0</v>
      </c>
      <c r="BI32" s="178">
        <v>0</v>
      </c>
    </row>
    <row r="33" spans="1:61" x14ac:dyDescent="0.25">
      <c r="A33" s="49">
        <f>IPO監視一覧!H30</f>
        <v>0</v>
      </c>
      <c r="B33" s="49">
        <f>IPO監視一覧!B30</f>
        <v>0</v>
      </c>
      <c r="C33" s="177">
        <f>株価一覧!E32</f>
        <v>0</v>
      </c>
      <c r="D33" s="105">
        <f t="shared" ca="1" si="4"/>
        <v>0</v>
      </c>
      <c r="E33" s="177">
        <f t="shared" ca="1" si="1"/>
        <v>0</v>
      </c>
      <c r="F33" s="110">
        <f t="shared" ca="1" si="2"/>
        <v>0</v>
      </c>
      <c r="G33" s="178">
        <v>0</v>
      </c>
      <c r="H33" s="178">
        <v>0</v>
      </c>
      <c r="I33" s="178">
        <v>0</v>
      </c>
      <c r="J33" s="178">
        <v>0</v>
      </c>
      <c r="K33" s="178">
        <v>0</v>
      </c>
      <c r="L33" s="178">
        <v>0</v>
      </c>
      <c r="M33" s="178">
        <v>0</v>
      </c>
      <c r="N33" s="178">
        <v>0</v>
      </c>
      <c r="O33" s="178">
        <v>0</v>
      </c>
      <c r="P33" s="178">
        <v>0</v>
      </c>
      <c r="Q33" s="178">
        <v>0</v>
      </c>
      <c r="R33" s="178">
        <v>0</v>
      </c>
      <c r="S33" s="178">
        <v>0</v>
      </c>
      <c r="T33" s="178">
        <v>0</v>
      </c>
      <c r="U33" s="178">
        <v>0</v>
      </c>
      <c r="V33" s="178">
        <v>0</v>
      </c>
      <c r="W33" s="178">
        <v>0</v>
      </c>
      <c r="X33" s="178">
        <v>0</v>
      </c>
      <c r="Y33" s="178">
        <v>0</v>
      </c>
      <c r="Z33" s="178">
        <v>0</v>
      </c>
      <c r="AA33" s="178">
        <v>0</v>
      </c>
      <c r="AB33" s="178">
        <v>0</v>
      </c>
      <c r="AC33" s="178">
        <v>0</v>
      </c>
      <c r="AD33" s="178">
        <v>0</v>
      </c>
      <c r="AE33" s="178">
        <v>0</v>
      </c>
      <c r="AF33" s="178">
        <v>0</v>
      </c>
      <c r="AG33" s="178">
        <v>0</v>
      </c>
      <c r="AH33" s="178">
        <v>0</v>
      </c>
      <c r="AI33" s="178">
        <v>0</v>
      </c>
      <c r="AJ33" s="178">
        <v>0</v>
      </c>
      <c r="AK33" s="178">
        <v>0</v>
      </c>
      <c r="AL33" s="178">
        <v>0</v>
      </c>
      <c r="AM33" s="178">
        <v>0</v>
      </c>
      <c r="AN33" s="178">
        <v>0</v>
      </c>
      <c r="AO33" s="178">
        <v>0</v>
      </c>
      <c r="AP33" s="178">
        <v>0</v>
      </c>
      <c r="AQ33" s="178">
        <v>0</v>
      </c>
      <c r="AR33" s="178">
        <v>0</v>
      </c>
      <c r="AS33" s="178">
        <v>0</v>
      </c>
      <c r="AT33" s="178">
        <v>0</v>
      </c>
      <c r="AU33" s="178">
        <v>0</v>
      </c>
      <c r="AV33" s="178">
        <v>0</v>
      </c>
      <c r="AW33" s="178">
        <v>0</v>
      </c>
      <c r="AX33" s="178">
        <v>0</v>
      </c>
      <c r="AY33" s="178">
        <v>0</v>
      </c>
      <c r="AZ33" s="178">
        <v>0</v>
      </c>
      <c r="BA33" s="178">
        <v>0</v>
      </c>
      <c r="BB33" s="178">
        <v>0</v>
      </c>
      <c r="BC33" s="178">
        <v>0</v>
      </c>
      <c r="BD33" s="178">
        <v>0</v>
      </c>
      <c r="BE33" s="178">
        <v>0</v>
      </c>
      <c r="BF33" s="178">
        <v>0</v>
      </c>
      <c r="BG33" s="178">
        <v>0</v>
      </c>
      <c r="BH33" s="178">
        <v>0</v>
      </c>
      <c r="BI33" s="178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28" sqref="A28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307</v>
      </c>
      <c r="C2" s="4" t="s">
        <v>280</v>
      </c>
      <c r="D2" s="5">
        <v>100</v>
      </c>
      <c r="E2" s="6">
        <v>1407</v>
      </c>
      <c r="F2" s="7">
        <v>300</v>
      </c>
      <c r="G2" s="8">
        <v>27.1</v>
      </c>
      <c r="H2" s="5" t="s">
        <v>308</v>
      </c>
      <c r="I2" s="5">
        <v>1407</v>
      </c>
      <c r="J2" s="5">
        <v>1407</v>
      </c>
      <c r="K2" s="5">
        <v>1407</v>
      </c>
      <c r="L2" s="9">
        <v>43236</v>
      </c>
      <c r="M2" s="10">
        <v>0.625</v>
      </c>
      <c r="N2" s="1" t="s">
        <v>309</v>
      </c>
      <c r="O2" s="5"/>
    </row>
    <row r="3" spans="1:15" x14ac:dyDescent="0.15">
      <c r="A3" s="1">
        <v>8704</v>
      </c>
      <c r="B3" s="3" t="s">
        <v>281</v>
      </c>
      <c r="C3" s="1" t="s">
        <v>282</v>
      </c>
      <c r="D3" s="5">
        <v>100</v>
      </c>
      <c r="E3" s="6">
        <v>114</v>
      </c>
      <c r="F3" s="7">
        <v>2</v>
      </c>
      <c r="G3" s="8">
        <v>1.79</v>
      </c>
      <c r="H3" s="5">
        <v>2737700</v>
      </c>
      <c r="I3" s="5">
        <v>112</v>
      </c>
      <c r="J3" s="5">
        <v>117</v>
      </c>
      <c r="K3" s="5">
        <v>110</v>
      </c>
      <c r="L3" s="9">
        <v>43236</v>
      </c>
      <c r="M3" s="10">
        <v>0.625</v>
      </c>
      <c r="N3" s="1" t="s">
        <v>310</v>
      </c>
      <c r="O3" s="5"/>
    </row>
    <row r="4" spans="1:15" x14ac:dyDescent="0.15">
      <c r="A4" s="1">
        <v>4597</v>
      </c>
      <c r="B4" s="3" t="s">
        <v>283</v>
      </c>
      <c r="C4" s="1" t="s">
        <v>284</v>
      </c>
      <c r="D4" s="5">
        <v>100</v>
      </c>
      <c r="E4" s="6">
        <v>341</v>
      </c>
      <c r="F4" s="7">
        <v>13</v>
      </c>
      <c r="G4" s="8">
        <v>3.96</v>
      </c>
      <c r="H4" s="5">
        <v>2436700</v>
      </c>
      <c r="I4" s="5">
        <v>332</v>
      </c>
      <c r="J4" s="5">
        <v>349</v>
      </c>
      <c r="K4" s="5">
        <v>331</v>
      </c>
      <c r="L4" s="9">
        <v>43236</v>
      </c>
      <c r="M4" s="10">
        <v>0.625</v>
      </c>
      <c r="N4" s="1" t="s">
        <v>311</v>
      </c>
      <c r="O4" s="5"/>
    </row>
    <row r="5" spans="1:15" x14ac:dyDescent="0.15">
      <c r="A5" s="1">
        <v>4380</v>
      </c>
      <c r="B5" s="3" t="s">
        <v>285</v>
      </c>
      <c r="C5" s="4" t="s">
        <v>275</v>
      </c>
      <c r="D5" s="5">
        <v>100</v>
      </c>
      <c r="E5" s="6">
        <v>3555</v>
      </c>
      <c r="F5" s="7">
        <v>-215</v>
      </c>
      <c r="G5" s="8">
        <v>-5.7</v>
      </c>
      <c r="H5" s="5">
        <v>22600</v>
      </c>
      <c r="I5" s="5">
        <v>3690</v>
      </c>
      <c r="J5" s="5">
        <v>3690</v>
      </c>
      <c r="K5" s="5">
        <v>3495</v>
      </c>
      <c r="L5" s="9">
        <v>43236</v>
      </c>
      <c r="M5" s="10">
        <v>0.625</v>
      </c>
      <c r="N5" s="1" t="s">
        <v>312</v>
      </c>
      <c r="O5" s="5"/>
    </row>
    <row r="6" spans="1:15" x14ac:dyDescent="0.15">
      <c r="A6" s="1">
        <v>3446</v>
      </c>
      <c r="B6" s="3" t="s">
        <v>286</v>
      </c>
      <c r="C6" s="4" t="s">
        <v>275</v>
      </c>
      <c r="D6" s="5">
        <v>100</v>
      </c>
      <c r="E6" s="6">
        <v>7080</v>
      </c>
      <c r="F6" s="7">
        <v>-240</v>
      </c>
      <c r="G6" s="8">
        <v>-3.28</v>
      </c>
      <c r="H6" s="5">
        <v>142400</v>
      </c>
      <c r="I6" s="5">
        <v>6900</v>
      </c>
      <c r="J6" s="5">
        <v>7240</v>
      </c>
      <c r="K6" s="5">
        <v>6700</v>
      </c>
      <c r="L6" s="9">
        <v>43236</v>
      </c>
      <c r="M6" s="10">
        <v>0.625</v>
      </c>
      <c r="N6" s="1" t="s">
        <v>312</v>
      </c>
      <c r="O6" s="5"/>
    </row>
    <row r="7" spans="1:15" x14ac:dyDescent="0.15">
      <c r="A7" s="1">
        <v>6567</v>
      </c>
      <c r="B7" s="3" t="s">
        <v>287</v>
      </c>
      <c r="C7" s="4" t="s">
        <v>275</v>
      </c>
      <c r="D7" s="5">
        <v>100</v>
      </c>
      <c r="E7" s="6">
        <v>2021</v>
      </c>
      <c r="F7" s="7">
        <v>-55</v>
      </c>
      <c r="G7" s="8">
        <v>-2.65</v>
      </c>
      <c r="H7" s="5">
        <v>5900</v>
      </c>
      <c r="I7" s="5">
        <v>2076</v>
      </c>
      <c r="J7" s="5">
        <v>2076</v>
      </c>
      <c r="K7" s="5">
        <v>2015</v>
      </c>
      <c r="L7" s="11">
        <v>43236</v>
      </c>
      <c r="M7" s="10">
        <v>0.625</v>
      </c>
      <c r="N7" s="1" t="s">
        <v>301</v>
      </c>
      <c r="O7" s="5"/>
    </row>
    <row r="8" spans="1:15" x14ac:dyDescent="0.15">
      <c r="A8" s="1">
        <v>6568</v>
      </c>
      <c r="B8" s="3" t="s">
        <v>288</v>
      </c>
      <c r="C8" s="1" t="s">
        <v>275</v>
      </c>
      <c r="D8" s="5">
        <v>100</v>
      </c>
      <c r="E8" s="5">
        <v>3225</v>
      </c>
      <c r="F8" s="7">
        <v>-125</v>
      </c>
      <c r="G8" s="8">
        <v>-3.73</v>
      </c>
      <c r="H8" s="5">
        <v>168600</v>
      </c>
      <c r="I8" s="5">
        <v>3350</v>
      </c>
      <c r="J8" s="5">
        <v>3355</v>
      </c>
      <c r="K8" s="5">
        <v>3185</v>
      </c>
      <c r="L8" s="11">
        <v>43236</v>
      </c>
      <c r="M8" s="10">
        <v>0.625</v>
      </c>
      <c r="N8" s="1" t="s">
        <v>312</v>
      </c>
      <c r="O8" s="5"/>
    </row>
    <row r="9" spans="1:15" x14ac:dyDescent="0.15">
      <c r="A9" s="1">
        <v>6569</v>
      </c>
      <c r="B9" s="3" t="s">
        <v>289</v>
      </c>
      <c r="C9" s="1" t="s">
        <v>290</v>
      </c>
      <c r="D9" s="5">
        <v>100</v>
      </c>
      <c r="E9" s="5">
        <v>4860</v>
      </c>
      <c r="F9" s="7">
        <v>-5</v>
      </c>
      <c r="G9" s="8">
        <v>-0.1</v>
      </c>
      <c r="H9" s="5">
        <v>66400</v>
      </c>
      <c r="I9" s="5">
        <v>4815</v>
      </c>
      <c r="J9" s="5">
        <v>4880</v>
      </c>
      <c r="K9" s="5">
        <v>4600</v>
      </c>
      <c r="L9" s="11">
        <v>43236</v>
      </c>
      <c r="M9" s="10">
        <v>0.625</v>
      </c>
      <c r="N9" s="1" t="s">
        <v>312</v>
      </c>
      <c r="O9" s="5"/>
    </row>
    <row r="10" spans="1:15" x14ac:dyDescent="0.15">
      <c r="A10" s="1">
        <v>3489</v>
      </c>
      <c r="B10" s="3" t="s">
        <v>291</v>
      </c>
      <c r="C10" s="1" t="s">
        <v>275</v>
      </c>
      <c r="D10" s="5">
        <v>100</v>
      </c>
      <c r="E10" s="5">
        <v>2033</v>
      </c>
      <c r="F10" s="7">
        <v>-72</v>
      </c>
      <c r="G10" s="8">
        <v>-3.42</v>
      </c>
      <c r="H10" s="5">
        <v>35500</v>
      </c>
      <c r="I10" s="5">
        <v>2069</v>
      </c>
      <c r="J10" s="5">
        <v>2080</v>
      </c>
      <c r="K10" s="5">
        <v>2033</v>
      </c>
      <c r="L10" s="11">
        <v>43236</v>
      </c>
      <c r="M10" s="10">
        <v>0.625</v>
      </c>
      <c r="N10" s="1" t="s">
        <v>312</v>
      </c>
      <c r="O10" s="5"/>
    </row>
    <row r="11" spans="1:15" x14ac:dyDescent="0.15">
      <c r="A11" s="1">
        <v>6570</v>
      </c>
      <c r="B11" s="3" t="s">
        <v>313</v>
      </c>
      <c r="C11" s="1" t="s">
        <v>292</v>
      </c>
      <c r="D11" s="5">
        <v>100</v>
      </c>
      <c r="E11" s="5">
        <v>1702</v>
      </c>
      <c r="F11" s="7">
        <v>-97</v>
      </c>
      <c r="G11" s="8">
        <v>-5.39</v>
      </c>
      <c r="H11" s="5">
        <v>53600</v>
      </c>
      <c r="I11" s="5">
        <v>1775</v>
      </c>
      <c r="J11" s="5">
        <v>1796</v>
      </c>
      <c r="K11" s="5">
        <v>1702</v>
      </c>
      <c r="L11" s="11">
        <v>43236</v>
      </c>
      <c r="M11" s="10">
        <v>0.625</v>
      </c>
      <c r="N11" s="1" t="s">
        <v>312</v>
      </c>
      <c r="O11" s="5"/>
    </row>
    <row r="12" spans="1:15" x14ac:dyDescent="0.15">
      <c r="A12" s="1">
        <v>3447</v>
      </c>
      <c r="B12" s="3" t="s">
        <v>293</v>
      </c>
      <c r="C12" s="4" t="s">
        <v>292</v>
      </c>
      <c r="D12" s="5">
        <v>100</v>
      </c>
      <c r="E12" s="5">
        <v>1154</v>
      </c>
      <c r="F12" s="7">
        <v>-16</v>
      </c>
      <c r="G12" s="8">
        <v>-1.37</v>
      </c>
      <c r="H12" s="5">
        <v>243100</v>
      </c>
      <c r="I12" s="5">
        <v>1140</v>
      </c>
      <c r="J12" s="5">
        <v>1173</v>
      </c>
      <c r="K12" s="5">
        <v>1111</v>
      </c>
      <c r="L12" s="11">
        <v>43236</v>
      </c>
      <c r="M12" s="10">
        <v>0.625</v>
      </c>
      <c r="N12" s="1" t="s">
        <v>312</v>
      </c>
      <c r="O12" s="5"/>
    </row>
    <row r="13" spans="1:15" x14ac:dyDescent="0.15">
      <c r="A13" s="1">
        <v>9270</v>
      </c>
      <c r="B13" s="3" t="s">
        <v>294</v>
      </c>
      <c r="C13" s="4" t="s">
        <v>275</v>
      </c>
      <c r="D13" s="5">
        <v>100</v>
      </c>
      <c r="E13" s="5">
        <v>4900</v>
      </c>
      <c r="F13" s="7">
        <v>-270</v>
      </c>
      <c r="G13" s="8">
        <v>-5.22</v>
      </c>
      <c r="H13" s="5">
        <v>99800</v>
      </c>
      <c r="I13" s="5">
        <v>5220</v>
      </c>
      <c r="J13" s="5">
        <v>5230</v>
      </c>
      <c r="K13" s="5">
        <v>4735</v>
      </c>
      <c r="L13" s="11">
        <v>43236</v>
      </c>
      <c r="M13" s="10">
        <v>0.625</v>
      </c>
      <c r="N13" s="1" t="s">
        <v>312</v>
      </c>
      <c r="O13" s="5"/>
    </row>
    <row r="14" spans="1:15" x14ac:dyDescent="0.15">
      <c r="A14" s="1">
        <v>6571</v>
      </c>
      <c r="B14" s="3" t="s">
        <v>314</v>
      </c>
      <c r="C14" s="1" t="s">
        <v>315</v>
      </c>
      <c r="D14" s="5">
        <v>100</v>
      </c>
      <c r="E14" s="5">
        <v>1896</v>
      </c>
      <c r="F14" s="7">
        <v>-67</v>
      </c>
      <c r="G14" s="8">
        <v>-3.41</v>
      </c>
      <c r="H14" s="5">
        <v>252900</v>
      </c>
      <c r="I14" s="5">
        <v>1787</v>
      </c>
      <c r="J14" s="5">
        <v>1902</v>
      </c>
      <c r="K14" s="5">
        <v>1767</v>
      </c>
      <c r="L14" s="11">
        <v>43236</v>
      </c>
      <c r="M14" s="10">
        <v>0.625</v>
      </c>
      <c r="N14" s="1" t="s">
        <v>312</v>
      </c>
      <c r="O14" s="5"/>
    </row>
    <row r="15" spans="1:15" x14ac:dyDescent="0.15">
      <c r="A15" s="1">
        <v>9450</v>
      </c>
      <c r="B15" s="3" t="s">
        <v>274</v>
      </c>
      <c r="C15" s="4" t="s">
        <v>275</v>
      </c>
      <c r="D15" s="5">
        <v>100</v>
      </c>
      <c r="E15" s="5">
        <v>2749</v>
      </c>
      <c r="F15" s="7">
        <v>301</v>
      </c>
      <c r="G15" s="8">
        <v>12.3</v>
      </c>
      <c r="H15" s="5">
        <v>591900</v>
      </c>
      <c r="I15" s="5">
        <v>2890</v>
      </c>
      <c r="J15" s="5">
        <v>2947</v>
      </c>
      <c r="K15" s="5">
        <v>2730</v>
      </c>
      <c r="L15" s="11">
        <v>43236</v>
      </c>
      <c r="M15" s="10">
        <v>0.625</v>
      </c>
      <c r="N15" s="1" t="s">
        <v>312</v>
      </c>
      <c r="O15" s="5"/>
    </row>
    <row r="16" spans="1:15" x14ac:dyDescent="0.15">
      <c r="A16" s="1">
        <v>6572</v>
      </c>
      <c r="B16" s="3" t="s">
        <v>295</v>
      </c>
      <c r="C16" s="1" t="s">
        <v>275</v>
      </c>
      <c r="D16" s="5">
        <v>100</v>
      </c>
      <c r="E16" s="5">
        <v>14170</v>
      </c>
      <c r="F16" s="7">
        <v>120</v>
      </c>
      <c r="G16" s="8">
        <v>0.85</v>
      </c>
      <c r="H16" s="5">
        <v>37600</v>
      </c>
      <c r="I16" s="5">
        <v>14000</v>
      </c>
      <c r="J16" s="5">
        <v>14390</v>
      </c>
      <c r="K16" s="5">
        <v>13780</v>
      </c>
      <c r="L16" s="11">
        <v>43236</v>
      </c>
      <c r="M16" s="10">
        <v>0.625</v>
      </c>
      <c r="N16" s="1" t="s">
        <v>312</v>
      </c>
      <c r="O16" s="5"/>
    </row>
    <row r="17" spans="1:15" x14ac:dyDescent="0.15">
      <c r="A17" s="1">
        <v>6573</v>
      </c>
      <c r="B17" s="3" t="s">
        <v>296</v>
      </c>
      <c r="C17" s="1" t="s">
        <v>275</v>
      </c>
      <c r="D17" s="5">
        <v>100</v>
      </c>
      <c r="E17" s="5">
        <v>8700</v>
      </c>
      <c r="F17" s="7">
        <v>900</v>
      </c>
      <c r="G17" s="8">
        <v>11.54</v>
      </c>
      <c r="H17" s="5">
        <v>140600</v>
      </c>
      <c r="I17" s="5">
        <v>7650</v>
      </c>
      <c r="J17" s="5">
        <v>8950</v>
      </c>
      <c r="K17" s="5">
        <v>7510</v>
      </c>
      <c r="L17" s="11">
        <v>43236</v>
      </c>
      <c r="M17" s="10">
        <v>0.625</v>
      </c>
      <c r="N17" s="1" t="s">
        <v>312</v>
      </c>
      <c r="O17" s="5"/>
    </row>
    <row r="18" spans="1:15" x14ac:dyDescent="0.15">
      <c r="A18" s="1">
        <v>3490</v>
      </c>
      <c r="B18" s="3" t="s">
        <v>297</v>
      </c>
      <c r="C18" s="4" t="s">
        <v>279</v>
      </c>
      <c r="D18" s="5">
        <v>100</v>
      </c>
      <c r="E18" s="5">
        <v>3185</v>
      </c>
      <c r="F18" s="7">
        <v>-75</v>
      </c>
      <c r="G18" s="8">
        <v>-2.2999999999999998</v>
      </c>
      <c r="H18" s="5">
        <v>9400</v>
      </c>
      <c r="I18" s="5">
        <v>3210</v>
      </c>
      <c r="J18" s="5">
        <v>3255</v>
      </c>
      <c r="K18" s="5">
        <v>3185</v>
      </c>
      <c r="L18" s="11">
        <v>43236</v>
      </c>
      <c r="M18" s="10">
        <v>0.625</v>
      </c>
      <c r="N18" s="1" t="s">
        <v>312</v>
      </c>
      <c r="O18" s="5"/>
    </row>
    <row r="19" spans="1:15" x14ac:dyDescent="0.15">
      <c r="A19" s="1">
        <v>9271</v>
      </c>
      <c r="B19" s="3" t="s">
        <v>298</v>
      </c>
      <c r="C19" s="1" t="s">
        <v>275</v>
      </c>
      <c r="D19" s="5">
        <v>100</v>
      </c>
      <c r="E19" s="5">
        <v>2691</v>
      </c>
      <c r="F19" s="7">
        <v>-689</v>
      </c>
      <c r="G19" s="8">
        <v>-20.38</v>
      </c>
      <c r="H19" s="5">
        <v>171300</v>
      </c>
      <c r="I19" s="5">
        <v>3310</v>
      </c>
      <c r="J19" s="5">
        <v>3360</v>
      </c>
      <c r="K19" s="5">
        <v>2682</v>
      </c>
      <c r="L19" s="11">
        <v>43236</v>
      </c>
      <c r="M19" s="10">
        <v>0.625</v>
      </c>
      <c r="N19" s="1" t="s">
        <v>312</v>
      </c>
      <c r="O19" s="5"/>
    </row>
    <row r="20" spans="1:15" x14ac:dyDescent="0.15">
      <c r="A20" s="1">
        <v>7320</v>
      </c>
      <c r="B20" s="3" t="s">
        <v>276</v>
      </c>
      <c r="C20" s="1" t="s">
        <v>275</v>
      </c>
      <c r="D20" s="5">
        <v>100</v>
      </c>
      <c r="E20" s="5">
        <v>3215</v>
      </c>
      <c r="F20" s="7">
        <v>-315</v>
      </c>
      <c r="G20" s="8">
        <v>-8.92</v>
      </c>
      <c r="H20" s="5">
        <v>4400</v>
      </c>
      <c r="I20" s="5">
        <v>3420</v>
      </c>
      <c r="J20" s="5">
        <v>3420</v>
      </c>
      <c r="K20" s="5">
        <v>3215</v>
      </c>
      <c r="L20" s="11">
        <v>43236</v>
      </c>
      <c r="M20" s="10">
        <v>0.61875000000000002</v>
      </c>
      <c r="N20" s="1" t="s">
        <v>312</v>
      </c>
      <c r="O20" s="5"/>
    </row>
    <row r="21" spans="1:15" x14ac:dyDescent="0.15">
      <c r="A21" s="1">
        <v>9272</v>
      </c>
      <c r="B21" s="3" t="s">
        <v>316</v>
      </c>
      <c r="C21" s="1" t="s">
        <v>275</v>
      </c>
      <c r="D21" s="5">
        <v>100</v>
      </c>
      <c r="E21" s="5">
        <v>3685</v>
      </c>
      <c r="F21" s="7">
        <v>435</v>
      </c>
      <c r="G21" s="8">
        <v>13.38</v>
      </c>
      <c r="H21" s="5">
        <v>80900</v>
      </c>
      <c r="I21" s="5">
        <v>3880</v>
      </c>
      <c r="J21" s="5">
        <v>3880</v>
      </c>
      <c r="K21" s="5">
        <v>3445</v>
      </c>
      <c r="L21" s="11">
        <v>43236</v>
      </c>
      <c r="M21" s="10">
        <v>0.625</v>
      </c>
      <c r="N21" s="1" t="s">
        <v>312</v>
      </c>
      <c r="O21" s="5"/>
    </row>
    <row r="22" spans="1:15" x14ac:dyDescent="0.15">
      <c r="A22" s="1">
        <v>4381</v>
      </c>
      <c r="B22" s="3" t="s">
        <v>299</v>
      </c>
      <c r="C22" s="1" t="s">
        <v>275</v>
      </c>
      <c r="D22" s="5">
        <v>100</v>
      </c>
      <c r="E22" s="5">
        <v>7300</v>
      </c>
      <c r="F22" s="7">
        <v>-370</v>
      </c>
      <c r="G22" s="8">
        <v>-4.82</v>
      </c>
      <c r="H22" s="5">
        <v>137400</v>
      </c>
      <c r="I22" s="5">
        <v>7670</v>
      </c>
      <c r="J22" s="5">
        <v>8140</v>
      </c>
      <c r="K22" s="5">
        <v>7120</v>
      </c>
      <c r="L22" s="11">
        <v>43236</v>
      </c>
      <c r="M22" s="10">
        <v>0.625</v>
      </c>
      <c r="N22" s="1" t="s">
        <v>312</v>
      </c>
      <c r="O22" s="5"/>
    </row>
    <row r="23" spans="1:15" x14ac:dyDescent="0.15">
      <c r="A23" s="1">
        <v>6575</v>
      </c>
      <c r="B23" s="3" t="s">
        <v>277</v>
      </c>
      <c r="C23" s="1" t="s">
        <v>275</v>
      </c>
      <c r="D23" s="5">
        <v>100</v>
      </c>
      <c r="E23" s="5">
        <v>2255</v>
      </c>
      <c r="F23" s="7">
        <v>-175</v>
      </c>
      <c r="G23" s="8">
        <v>-7.2</v>
      </c>
      <c r="H23" s="5">
        <v>64500</v>
      </c>
      <c r="I23" s="5">
        <v>2330</v>
      </c>
      <c r="J23" s="5">
        <v>2366</v>
      </c>
      <c r="K23" s="5">
        <v>2255</v>
      </c>
      <c r="L23" s="11">
        <v>43236</v>
      </c>
      <c r="M23" s="10">
        <v>0.625</v>
      </c>
      <c r="N23" s="1" t="s">
        <v>312</v>
      </c>
      <c r="O23" s="5"/>
    </row>
    <row r="24" spans="1:15" x14ac:dyDescent="0.15">
      <c r="A24" s="1">
        <v>6574</v>
      </c>
      <c r="B24" s="3" t="s">
        <v>300</v>
      </c>
      <c r="C24" s="1" t="s">
        <v>275</v>
      </c>
      <c r="D24" s="5">
        <v>100</v>
      </c>
      <c r="E24" s="5">
        <v>1780</v>
      </c>
      <c r="F24" s="7">
        <v>89</v>
      </c>
      <c r="G24" s="8">
        <v>5.26</v>
      </c>
      <c r="H24" s="5">
        <v>413500</v>
      </c>
      <c r="I24" s="5">
        <v>1890</v>
      </c>
      <c r="J24" s="5">
        <v>1934</v>
      </c>
      <c r="K24" s="5">
        <v>1753</v>
      </c>
      <c r="L24" s="11">
        <v>43236</v>
      </c>
      <c r="M24" s="10">
        <v>0.625</v>
      </c>
      <c r="N24" s="1" t="s">
        <v>312</v>
      </c>
      <c r="O24" s="5"/>
    </row>
    <row r="25" spans="1:15" x14ac:dyDescent="0.15">
      <c r="A25" s="1">
        <v>4382</v>
      </c>
      <c r="B25" s="3" t="s">
        <v>317</v>
      </c>
      <c r="C25" s="1" t="s">
        <v>275</v>
      </c>
      <c r="D25" s="5">
        <v>100</v>
      </c>
      <c r="E25" s="5">
        <v>20960</v>
      </c>
      <c r="F25" s="7">
        <v>860</v>
      </c>
      <c r="G25" s="8">
        <v>4.28</v>
      </c>
      <c r="H25" s="5">
        <v>179200</v>
      </c>
      <c r="I25" s="5">
        <v>20010</v>
      </c>
      <c r="J25" s="5">
        <v>21360</v>
      </c>
      <c r="K25" s="5">
        <v>19950</v>
      </c>
      <c r="L25" s="11">
        <v>43236</v>
      </c>
      <c r="M25" s="10">
        <v>0.625</v>
      </c>
      <c r="N25" s="1" t="s">
        <v>312</v>
      </c>
      <c r="O25" s="5"/>
    </row>
    <row r="26" spans="1:15" x14ac:dyDescent="0.15">
      <c r="A26" s="1">
        <v>6577</v>
      </c>
      <c r="B26" s="3" t="s">
        <v>278</v>
      </c>
      <c r="C26" s="1" t="s">
        <v>275</v>
      </c>
      <c r="D26" s="5">
        <v>100</v>
      </c>
      <c r="E26" s="5">
        <v>11290</v>
      </c>
      <c r="F26" s="7">
        <v>630</v>
      </c>
      <c r="G26" s="8">
        <v>5.91</v>
      </c>
      <c r="H26" s="5">
        <v>11100</v>
      </c>
      <c r="I26" s="5">
        <v>10600</v>
      </c>
      <c r="J26" s="5">
        <v>11290</v>
      </c>
      <c r="K26" s="5">
        <v>10600</v>
      </c>
      <c r="L26" s="11">
        <v>43236</v>
      </c>
      <c r="M26" s="10">
        <v>0.625</v>
      </c>
      <c r="N26" s="1" t="s">
        <v>301</v>
      </c>
      <c r="O26" s="5"/>
    </row>
    <row r="27" spans="1:15" x14ac:dyDescent="0.15">
      <c r="A27" s="1">
        <v>7323</v>
      </c>
      <c r="B27" s="3" t="s">
        <v>318</v>
      </c>
      <c r="C27" s="1" t="s">
        <v>275</v>
      </c>
      <c r="D27" s="5">
        <v>100</v>
      </c>
      <c r="E27" s="5">
        <v>3720</v>
      </c>
      <c r="F27" s="7">
        <v>-260</v>
      </c>
      <c r="G27" s="8">
        <v>-6.53</v>
      </c>
      <c r="H27" s="5">
        <v>86900</v>
      </c>
      <c r="I27" s="5">
        <v>3900</v>
      </c>
      <c r="J27" s="5">
        <v>3940</v>
      </c>
      <c r="K27" s="5">
        <v>3700</v>
      </c>
      <c r="L27" s="11">
        <v>43236</v>
      </c>
      <c r="M27" s="10">
        <v>0.625</v>
      </c>
      <c r="N27" s="1" t="s">
        <v>312</v>
      </c>
      <c r="O27" s="5"/>
    </row>
    <row r="28" spans="1:15" x14ac:dyDescent="0.15">
      <c r="A28" s="1">
        <v>6578</v>
      </c>
      <c r="B28" s="3" t="s">
        <v>302</v>
      </c>
      <c r="C28" s="1" t="s">
        <v>279</v>
      </c>
      <c r="D28" s="5">
        <v>100</v>
      </c>
      <c r="E28" s="5">
        <v>2409</v>
      </c>
      <c r="F28" s="7">
        <v>-131</v>
      </c>
      <c r="G28" s="8">
        <v>-5.16</v>
      </c>
      <c r="H28" s="5">
        <v>29800</v>
      </c>
      <c r="I28" s="5">
        <v>2501</v>
      </c>
      <c r="J28" s="5">
        <v>2515</v>
      </c>
      <c r="K28" s="5">
        <v>2390</v>
      </c>
      <c r="L28" s="11">
        <v>43236</v>
      </c>
      <c r="M28" s="10">
        <v>0.625</v>
      </c>
      <c r="N28" s="1" t="s">
        <v>312</v>
      </c>
      <c r="O28" s="5"/>
    </row>
    <row r="29" spans="1:15" x14ac:dyDescent="0.15">
      <c r="B29" s="3"/>
      <c r="D29" s="5"/>
      <c r="E29" s="5"/>
      <c r="F29" s="7"/>
      <c r="G29" s="8"/>
      <c r="H29" s="5"/>
      <c r="I29" s="5"/>
      <c r="J29" s="5"/>
      <c r="K29" s="5"/>
      <c r="L29" s="11"/>
      <c r="M29" s="10"/>
      <c r="O29" s="5"/>
    </row>
    <row r="30" spans="1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1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1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</hyperlinks>
  <pageMargins left="0.75" right="0.75" top="1" bottom="1" header="0.51200000000000001" footer="0.51200000000000001"/>
  <headerFooter alignWithMargins="0"/>
  <drawing r:id="rId28"/>
  <legacyDrawing r:id="rId29"/>
  <controls>
    <mc:AlternateContent xmlns:mc="http://schemas.openxmlformats.org/markup-compatibility/2006">
      <mc:Choice Requires="x14">
        <control shapeId="1025" r:id="rId30" name="cmdKabukaGet">
          <controlPr defaultSize="0" autoLine="0" r:id="rId31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30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5"/>
  <sheetViews>
    <sheetView zoomScaleNormal="100" workbookViewId="0">
      <pane xSplit="2" topLeftCell="C1" activePane="topRight" state="frozen"/>
      <selection pane="topRight" activeCell="I3" sqref="I3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38">
        <v>43101</v>
      </c>
      <c r="D2" s="239"/>
      <c r="E2" s="238">
        <v>43132</v>
      </c>
      <c r="F2" s="239"/>
      <c r="G2" s="238">
        <v>43160</v>
      </c>
      <c r="H2" s="239"/>
      <c r="I2" s="238">
        <v>43191</v>
      </c>
      <c r="J2" s="239"/>
      <c r="K2" s="238">
        <v>43221</v>
      </c>
      <c r="L2" s="239"/>
      <c r="M2" s="238">
        <v>43252</v>
      </c>
      <c r="N2" s="239"/>
      <c r="O2" s="238">
        <v>43282</v>
      </c>
      <c r="P2" s="239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36">
        <f>C5+D5</f>
        <v>0</v>
      </c>
      <c r="D6" s="237"/>
      <c r="E6" s="236">
        <f>E5+F5</f>
        <v>0</v>
      </c>
      <c r="F6" s="237"/>
      <c r="G6" s="236">
        <f>G5+H5</f>
        <v>0</v>
      </c>
      <c r="H6" s="237"/>
      <c r="I6" s="236">
        <f>I5+J5</f>
        <v>0</v>
      </c>
      <c r="J6" s="237"/>
      <c r="K6" s="236">
        <f>K5+L5</f>
        <v>0</v>
      </c>
      <c r="L6" s="237"/>
      <c r="M6" s="236">
        <f>M5+N5</f>
        <v>0</v>
      </c>
      <c r="N6" s="237"/>
      <c r="O6" s="236">
        <f>O5+P5</f>
        <v>0</v>
      </c>
      <c r="P6" s="237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38">
        <v>43313</v>
      </c>
      <c r="D9" s="239"/>
      <c r="E9" s="238">
        <v>43344</v>
      </c>
      <c r="F9" s="239"/>
      <c r="G9" s="238">
        <v>43374</v>
      </c>
      <c r="H9" s="239"/>
      <c r="I9" s="238">
        <v>43405</v>
      </c>
      <c r="J9" s="239"/>
      <c r="K9" s="238">
        <v>43435</v>
      </c>
      <c r="L9" s="239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36">
        <f>C12+D12</f>
        <v>0</v>
      </c>
      <c r="D13" s="237"/>
      <c r="E13" s="236">
        <f>E12+F12</f>
        <v>0</v>
      </c>
      <c r="F13" s="237"/>
      <c r="G13" s="236">
        <f>G12+H12</f>
        <v>0</v>
      </c>
      <c r="H13" s="237"/>
      <c r="I13" s="236">
        <f>I12+J12</f>
        <v>0</v>
      </c>
      <c r="J13" s="237"/>
      <c r="K13" s="236">
        <f>K12+L12</f>
        <v>0</v>
      </c>
      <c r="L13" s="237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ht="16.5" thickBot="1" x14ac:dyDescent="0.3">
      <c r="B17" s="83" t="s">
        <v>184</v>
      </c>
      <c r="C17" s="91">
        <f>SUM(D20:E24)</f>
        <v>0</v>
      </c>
      <c r="D17" s="37" t="s">
        <v>145</v>
      </c>
      <c r="E17" s="84"/>
      <c r="F17" s="92"/>
    </row>
    <row r="18" spans="1:19" ht="16.5" thickBot="1" x14ac:dyDescent="0.3">
      <c r="H18" s="12"/>
      <c r="I18" s="14"/>
      <c r="K18" s="14" t="s">
        <v>148</v>
      </c>
      <c r="N18" s="238" t="s">
        <v>183</v>
      </c>
      <c r="O18" s="240"/>
      <c r="P18" s="240"/>
      <c r="Q18" s="239"/>
    </row>
    <row r="19" spans="1:19" ht="16.5" thickBot="1" x14ac:dyDescent="0.3">
      <c r="A19" s="121" t="s">
        <v>141</v>
      </c>
      <c r="C19" s="93" t="s">
        <v>137</v>
      </c>
      <c r="D19" s="93" t="s">
        <v>138</v>
      </c>
      <c r="E19" s="93" t="s">
        <v>150</v>
      </c>
      <c r="F19" s="93" t="s">
        <v>140</v>
      </c>
      <c r="G19" s="93" t="s">
        <v>144</v>
      </c>
      <c r="H19" s="93" t="s">
        <v>185</v>
      </c>
      <c r="I19" s="93" t="s">
        <v>143</v>
      </c>
      <c r="J19" s="133" t="s">
        <v>147</v>
      </c>
      <c r="K19" s="187" t="s">
        <v>149</v>
      </c>
      <c r="N19" s="186" t="s">
        <v>239</v>
      </c>
      <c r="O19" s="221" t="s">
        <v>240</v>
      </c>
      <c r="P19" s="221" t="s">
        <v>233</v>
      </c>
      <c r="Q19" s="221" t="s">
        <v>234</v>
      </c>
      <c r="R19" s="132"/>
      <c r="S19" s="84" t="s">
        <v>235</v>
      </c>
    </row>
    <row r="20" spans="1:19" ht="16.5" thickTop="1" x14ac:dyDescent="0.25">
      <c r="B20" s="131" t="s">
        <v>132</v>
      </c>
      <c r="C20" s="130">
        <f>SUMIF(セカンダリ投資分析!$H$3:'セカンダリ投資分析'!$H$1048350,"=SBI",セカンダリ投資分析!$N$3:'セカンダリ投資分析'!$N$1048350)</f>
        <v>0</v>
      </c>
      <c r="D20" s="135">
        <v>0</v>
      </c>
      <c r="E20" s="135">
        <v>0</v>
      </c>
      <c r="F20" s="130">
        <f>C20+D20+E20</f>
        <v>0</v>
      </c>
      <c r="G20" s="138">
        <v>0</v>
      </c>
      <c r="H20" s="141">
        <v>2017674</v>
      </c>
      <c r="I20" s="127">
        <f>H20+F20+G20</f>
        <v>2017674</v>
      </c>
      <c r="J20" s="146">
        <v>5174</v>
      </c>
      <c r="K20" s="192">
        <f>1486*1000 + 351*1500</f>
        <v>2012500</v>
      </c>
      <c r="L20" s="56"/>
      <c r="N20" s="204">
        <v>-170699</v>
      </c>
      <c r="O20" s="205">
        <v>1800</v>
      </c>
      <c r="P20" s="205">
        <v>0</v>
      </c>
      <c r="Q20" s="205">
        <v>0</v>
      </c>
      <c r="S20" s="84" t="s">
        <v>236</v>
      </c>
    </row>
    <row r="21" spans="1:19" x14ac:dyDescent="0.25">
      <c r="B21" s="122" t="s">
        <v>133</v>
      </c>
      <c r="C21" s="126">
        <f>SUMIF(セカンダリ投資分析!$H$3:'セカンダリ投資分析'!$H$1048350,"=SMBC日興",セカンダリ投資分析!$N$3:'セカンダリ投資分析'!$N$1048350)</f>
        <v>0</v>
      </c>
      <c r="D21" s="136">
        <v>0</v>
      </c>
      <c r="E21" s="136">
        <v>0</v>
      </c>
      <c r="F21" s="126">
        <f t="shared" ref="F21:F24" si="0">C21+D21+E21</f>
        <v>0</v>
      </c>
      <c r="G21" s="139">
        <v>0</v>
      </c>
      <c r="H21" s="142">
        <v>488897</v>
      </c>
      <c r="I21" s="127">
        <f>H21+F21+G21</f>
        <v>488897</v>
      </c>
      <c r="J21" s="190">
        <v>3665</v>
      </c>
      <c r="K21" s="188">
        <f>(1213.08*400)</f>
        <v>485232</v>
      </c>
      <c r="L21" s="56"/>
      <c r="N21" s="206">
        <v>85536</v>
      </c>
      <c r="O21" s="207">
        <v>0</v>
      </c>
      <c r="P21" s="207">
        <v>13099</v>
      </c>
      <c r="Q21" s="207">
        <v>4276</v>
      </c>
    </row>
    <row r="22" spans="1:19" x14ac:dyDescent="0.25">
      <c r="B22" s="123" t="s">
        <v>134</v>
      </c>
      <c r="C22" s="126">
        <f>SUMIF(セカンダリ投資分析!$H$3:'セカンダリ投資分析'!$H$1048350,"=大和",セカンダリ投資分析!$N$3:'セカンダリ投資分析'!$N$1048350)</f>
        <v>0</v>
      </c>
      <c r="D22" s="136">
        <v>0</v>
      </c>
      <c r="E22" s="136">
        <v>0</v>
      </c>
      <c r="F22" s="126">
        <f t="shared" si="0"/>
        <v>0</v>
      </c>
      <c r="G22" s="139">
        <v>0</v>
      </c>
      <c r="H22" s="142">
        <v>386088</v>
      </c>
      <c r="I22" s="127">
        <f>H22+F22+G22</f>
        <v>386088</v>
      </c>
      <c r="J22" s="190">
        <v>386088</v>
      </c>
      <c r="K22" s="188">
        <v>0</v>
      </c>
      <c r="L22" s="56"/>
      <c r="N22" s="206">
        <v>-3918</v>
      </c>
      <c r="O22" s="207">
        <v>0</v>
      </c>
      <c r="P22" s="207">
        <v>0</v>
      </c>
      <c r="Q22" s="207">
        <v>0</v>
      </c>
    </row>
    <row r="23" spans="1:19" x14ac:dyDescent="0.25">
      <c r="B23" s="124" t="s">
        <v>135</v>
      </c>
      <c r="C23" s="126">
        <f>SUMIF(セカンダリ投資分析!$H$3:'セカンダリ投資分析'!$H$1048350,"=マネックス",セカンダリ投資分析!$N$3:'セカンダリ投資分析'!$N$1048350)</f>
        <v>0</v>
      </c>
      <c r="D23" s="136">
        <v>0</v>
      </c>
      <c r="E23" s="136">
        <v>0</v>
      </c>
      <c r="F23" s="126">
        <f t="shared" si="0"/>
        <v>0</v>
      </c>
      <c r="G23" s="139">
        <v>0</v>
      </c>
      <c r="H23" s="142">
        <v>309807</v>
      </c>
      <c r="I23" s="127">
        <f>H23+F23+G23</f>
        <v>309807</v>
      </c>
      <c r="J23" s="190">
        <v>7807</v>
      </c>
      <c r="K23" s="188">
        <f>(604*500)</f>
        <v>302000</v>
      </c>
      <c r="L23" s="56"/>
      <c r="N23" s="206">
        <v>18800</v>
      </c>
      <c r="O23" s="207">
        <v>0</v>
      </c>
      <c r="P23" s="207">
        <v>2877</v>
      </c>
      <c r="Q23" s="207">
        <v>938</v>
      </c>
    </row>
    <row r="24" spans="1:19" ht="16.5" thickBot="1" x14ac:dyDescent="0.3">
      <c r="B24" s="125" t="s">
        <v>136</v>
      </c>
      <c r="C24" s="128">
        <f>SUMIF(セカンダリ投資分析!$H$3:'セカンダリ投資分析'!$H$1048350,"=岡三OL",セカンダリ投資分析!$N$3:'セカンダリ投資分析'!$N$1048350)</f>
        <v>0</v>
      </c>
      <c r="D24" s="137">
        <v>0</v>
      </c>
      <c r="E24" s="137">
        <v>0</v>
      </c>
      <c r="F24" s="128">
        <f t="shared" si="0"/>
        <v>0</v>
      </c>
      <c r="G24" s="140">
        <v>0</v>
      </c>
      <c r="H24" s="143">
        <v>0</v>
      </c>
      <c r="I24" s="129">
        <f>H24+F24</f>
        <v>0</v>
      </c>
      <c r="J24" s="191">
        <f>I24-K24</f>
        <v>0</v>
      </c>
      <c r="K24" s="189">
        <v>0</v>
      </c>
      <c r="L24" s="56"/>
      <c r="N24" s="208">
        <v>0</v>
      </c>
      <c r="O24" s="209">
        <v>0</v>
      </c>
      <c r="P24" s="209">
        <v>0</v>
      </c>
      <c r="Q24" s="209">
        <v>0</v>
      </c>
    </row>
    <row r="25" spans="1:19" x14ac:dyDescent="0.25">
      <c r="M25" s="13" t="s">
        <v>238</v>
      </c>
      <c r="N25" s="210">
        <f>SUM(N19:N23)</f>
        <v>-70281</v>
      </c>
      <c r="O25" s="210">
        <f>SUM(O20:O24)</f>
        <v>1800</v>
      </c>
      <c r="P25" s="210">
        <f>SUM(P20:P24)</f>
        <v>15976</v>
      </c>
      <c r="Q25" s="210">
        <f>SUM(Q20:Q24)</f>
        <v>5214</v>
      </c>
    </row>
    <row r="26" spans="1:19" x14ac:dyDescent="0.25">
      <c r="B26" s="83" t="s">
        <v>139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3202466</v>
      </c>
      <c r="I26" s="56">
        <f>SUM(I20:I24)</f>
        <v>3202466</v>
      </c>
      <c r="J26" s="56">
        <f>SUM(J20:J24)</f>
        <v>402734</v>
      </c>
      <c r="K26" s="92">
        <f>SUM(K20:K24)</f>
        <v>2799732</v>
      </c>
      <c r="M26" s="13" t="s">
        <v>241</v>
      </c>
      <c r="N26" s="210">
        <f>N25+O25</f>
        <v>-68481</v>
      </c>
      <c r="O26" s="210"/>
      <c r="P26" s="210"/>
    </row>
    <row r="27" spans="1:19" x14ac:dyDescent="0.25">
      <c r="D27" s="144" t="s">
        <v>146</v>
      </c>
      <c r="E27" s="144" t="s">
        <v>146</v>
      </c>
      <c r="G27" s="144" t="s">
        <v>146</v>
      </c>
      <c r="H27" s="144" t="s">
        <v>146</v>
      </c>
      <c r="J27" s="144" t="s">
        <v>146</v>
      </c>
      <c r="M27" s="13" t="s">
        <v>237</v>
      </c>
      <c r="N27" s="92">
        <v>15936</v>
      </c>
    </row>
    <row r="28" spans="1:19" x14ac:dyDescent="0.25">
      <c r="M28" s="13" t="s">
        <v>242</v>
      </c>
      <c r="N28" s="92">
        <f>Q25</f>
        <v>5214</v>
      </c>
    </row>
    <row r="33" spans="10:18" x14ac:dyDescent="0.25">
      <c r="L33" s="84"/>
      <c r="O33" s="16"/>
      <c r="Q33" s="37" t="s">
        <v>221</v>
      </c>
      <c r="R33" s="16">
        <v>43236</v>
      </c>
    </row>
    <row r="34" spans="10:18" ht="16.5" thickBot="1" x14ac:dyDescent="0.3">
      <c r="J34" s="56"/>
      <c r="L34" s="132" t="s">
        <v>211</v>
      </c>
      <c r="M34" s="219" t="s">
        <v>212</v>
      </c>
      <c r="N34" s="219" t="s">
        <v>213</v>
      </c>
      <c r="O34" s="219" t="s">
        <v>219</v>
      </c>
      <c r="P34" s="220" t="s">
        <v>227</v>
      </c>
      <c r="Q34" s="220" t="s">
        <v>228</v>
      </c>
      <c r="R34" s="220" t="s">
        <v>139</v>
      </c>
    </row>
    <row r="35" spans="10:18" ht="16.5" thickTop="1" x14ac:dyDescent="0.25">
      <c r="L35" s="216" t="s">
        <v>215</v>
      </c>
      <c r="M35" s="26">
        <f>O35-N35</f>
        <v>3193.2</v>
      </c>
      <c r="N35" s="26">
        <v>1354</v>
      </c>
      <c r="O35" s="26">
        <v>4547.2</v>
      </c>
      <c r="P35" s="218">
        <f>R35-Q35</f>
        <v>1484.666666666667</v>
      </c>
      <c r="Q35" s="218">
        <f>R35*(Q37/R37)</f>
        <v>2969.333333333333</v>
      </c>
      <c r="R35" s="26">
        <v>4454</v>
      </c>
    </row>
    <row r="36" spans="10:18" x14ac:dyDescent="0.25">
      <c r="K36" s="56"/>
      <c r="L36" s="216" t="s">
        <v>222</v>
      </c>
      <c r="M36" s="211">
        <f>M35/O35</f>
        <v>0.7022343420126671</v>
      </c>
      <c r="N36" s="212">
        <f>1-M36</f>
        <v>0.2977656579873329</v>
      </c>
      <c r="O36" s="28" t="s">
        <v>220</v>
      </c>
      <c r="P36" s="211">
        <f>P35/R35</f>
        <v>0.33333333333333343</v>
      </c>
      <c r="Q36" s="212">
        <f>1-P36</f>
        <v>0.66666666666666652</v>
      </c>
      <c r="R36" s="28" t="s">
        <v>175</v>
      </c>
    </row>
    <row r="37" spans="10:18" x14ac:dyDescent="0.25">
      <c r="L37" s="216" t="s">
        <v>214</v>
      </c>
      <c r="M37" s="213">
        <v>660000</v>
      </c>
      <c r="N37" s="213">
        <v>100000</v>
      </c>
      <c r="O37" s="214">
        <f>SUM(M37:N37)</f>
        <v>760000</v>
      </c>
      <c r="P37" s="213">
        <v>60000</v>
      </c>
      <c r="Q37" s="213">
        <v>120000</v>
      </c>
      <c r="R37" s="214">
        <f>SUM(P37:Q37)</f>
        <v>180000</v>
      </c>
    </row>
    <row r="38" spans="10:18" x14ac:dyDescent="0.25">
      <c r="L38" s="216" t="s">
        <v>216</v>
      </c>
      <c r="M38" s="226">
        <f>O38*M36</f>
        <v>113997.24</v>
      </c>
      <c r="N38" s="226">
        <f>O38-M38</f>
        <v>48337.8</v>
      </c>
      <c r="O38" s="222">
        <f>M41*O35</f>
        <v>162335.04000000001</v>
      </c>
      <c r="P38" s="226">
        <f>R38*P36</f>
        <v>0</v>
      </c>
      <c r="Q38" s="226">
        <f>R38-P38</f>
        <v>0</v>
      </c>
      <c r="R38" s="222">
        <f>P41*R35</f>
        <v>0</v>
      </c>
    </row>
    <row r="39" spans="10:18" x14ac:dyDescent="0.25">
      <c r="L39" s="216" t="s">
        <v>217</v>
      </c>
      <c r="M39" s="226">
        <f>M38-M37</f>
        <v>-546002.76</v>
      </c>
      <c r="N39" s="226">
        <f>N38-N37</f>
        <v>-51662.2</v>
      </c>
      <c r="O39" s="214">
        <f>SUM(M39:N39)</f>
        <v>-597664.96</v>
      </c>
      <c r="P39" s="226">
        <f>P38-P37</f>
        <v>-60000</v>
      </c>
      <c r="Q39" s="226">
        <f>Q38-Q37</f>
        <v>-120000</v>
      </c>
      <c r="R39" s="214">
        <f>SUM(P39:Q39)</f>
        <v>-180000</v>
      </c>
    </row>
    <row r="40" spans="10:18" ht="16.5" thickBot="1" x14ac:dyDescent="0.3">
      <c r="L40" s="217" t="s">
        <v>218</v>
      </c>
      <c r="M40" s="223">
        <f>M39/M37</f>
        <v>-0.82727690909090912</v>
      </c>
      <c r="N40" s="223">
        <f>N39/N37</f>
        <v>-0.51662200000000003</v>
      </c>
      <c r="O40" s="31" t="s">
        <v>220</v>
      </c>
      <c r="P40" s="223">
        <f>P39/P37</f>
        <v>-1</v>
      </c>
      <c r="Q40" s="223">
        <f>Q39/Q37</f>
        <v>-1</v>
      </c>
      <c r="R40" s="31" t="s">
        <v>175</v>
      </c>
    </row>
    <row r="41" spans="10:18" ht="16.5" thickBot="1" x14ac:dyDescent="0.3">
      <c r="L41" s="13" t="s">
        <v>243</v>
      </c>
      <c r="M41" s="233">
        <v>35.700000000000003</v>
      </c>
      <c r="N41" s="234"/>
      <c r="O41" s="235"/>
      <c r="P41" s="233">
        <v>0</v>
      </c>
      <c r="Q41" s="234"/>
      <c r="R41" s="235"/>
    </row>
    <row r="42" spans="10:18" x14ac:dyDescent="0.25">
      <c r="L42" s="37" t="s">
        <v>223</v>
      </c>
      <c r="M42" s="215">
        <f t="shared" ref="M42:R42" si="1">M37/M35</f>
        <v>206.68921458098461</v>
      </c>
      <c r="N42" s="215">
        <f t="shared" si="1"/>
        <v>73.85524372230428</v>
      </c>
      <c r="O42" s="215">
        <f t="shared" si="1"/>
        <v>167.13581984517947</v>
      </c>
      <c r="P42" s="215">
        <f t="shared" si="1"/>
        <v>40.413111809609333</v>
      </c>
      <c r="Q42" s="215">
        <f t="shared" si="1"/>
        <v>40.413111809609347</v>
      </c>
      <c r="R42" s="215">
        <f t="shared" si="1"/>
        <v>40.41311180960934</v>
      </c>
    </row>
    <row r="44" spans="10:18" x14ac:dyDescent="0.25">
      <c r="L44" s="13" t="s">
        <v>245</v>
      </c>
      <c r="M44" s="224">
        <v>540000</v>
      </c>
    </row>
    <row r="45" spans="10:18" x14ac:dyDescent="0.25">
      <c r="L45" s="13" t="s">
        <v>244</v>
      </c>
      <c r="M45" s="225">
        <f>M38-M44</f>
        <v>-426002.76</v>
      </c>
    </row>
  </sheetData>
  <mergeCells count="27"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  <mergeCell ref="I9:J9"/>
    <mergeCell ref="M41:O41"/>
    <mergeCell ref="P41:R41"/>
    <mergeCell ref="I13:J13"/>
    <mergeCell ref="K9:L9"/>
    <mergeCell ref="K13:L13"/>
    <mergeCell ref="N18:Q18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36"/>
  <sheetViews>
    <sheetView topLeftCell="A10" zoomScale="115" zoomScaleNormal="115" workbookViewId="0">
      <selection activeCell="Y37" sqref="Y37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161</v>
      </c>
      <c r="R2" s="70"/>
      <c r="S2" s="69" t="s">
        <v>162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166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151</v>
      </c>
      <c r="J5" s="78" t="str">
        <f>LEFT(I5,LEN(I5)-1)</f>
        <v>48</v>
      </c>
      <c r="K5" s="78" t="s">
        <v>163</v>
      </c>
      <c r="L5" s="78" t="str">
        <f>LEFT(K5,LEN(K5)-1)</f>
        <v>39</v>
      </c>
      <c r="M5" s="152" t="s">
        <v>164</v>
      </c>
      <c r="N5" s="79" t="str">
        <f>LEFT(M5,LEN(M5)-1)</f>
        <v>201</v>
      </c>
      <c r="O5" s="78" t="s">
        <v>152</v>
      </c>
      <c r="P5" s="79" t="str">
        <f>LEFT(O5,LEN(O5)-1)</f>
        <v>0</v>
      </c>
      <c r="Q5" s="77" t="s">
        <v>165</v>
      </c>
      <c r="R5" s="79" t="str">
        <f>LEFT(Q5,LEN(Q5)-1)</f>
        <v>66</v>
      </c>
      <c r="S5" s="77" t="s">
        <v>152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167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161</v>
      </c>
      <c r="R8" s="70"/>
      <c r="S8" s="69" t="s">
        <v>162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181</v>
      </c>
      <c r="D10" s="80" t="str">
        <f>LEFT(C10,LEN(C10)-1)</f>
        <v>13</v>
      </c>
      <c r="E10" s="80" t="s">
        <v>180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151</v>
      </c>
      <c r="J11" s="78" t="str">
        <f>LEFT(I11,LEN(I11)-1)</f>
        <v>48</v>
      </c>
      <c r="K11" s="78" t="s">
        <v>163</v>
      </c>
      <c r="L11" s="78" t="str">
        <f>LEFT(K11,LEN(K11)-1)</f>
        <v>39</v>
      </c>
      <c r="M11" s="152" t="s">
        <v>164</v>
      </c>
      <c r="N11" s="79" t="str">
        <f>LEFT(M11,LEN(M11)-1)</f>
        <v>201</v>
      </c>
      <c r="O11" s="78" t="s">
        <v>152</v>
      </c>
      <c r="P11" s="79" t="str">
        <f>LEFT(O11,LEN(O11)-1)</f>
        <v>0</v>
      </c>
      <c r="Q11" s="77" t="s">
        <v>152</v>
      </c>
      <c r="R11" s="79" t="str">
        <f>LEFT(Q11,LEN(Q11)-1)</f>
        <v>0</v>
      </c>
      <c r="S11" s="77" t="s">
        <v>165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182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161</v>
      </c>
      <c r="R14" s="70"/>
      <c r="S14" s="69" t="s">
        <v>162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209</v>
      </c>
      <c r="D16" s="80" t="str">
        <f>LEFT(C16,LEN(C16)-1)</f>
        <v>25</v>
      </c>
      <c r="E16" s="80" t="s">
        <v>207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151</v>
      </c>
      <c r="J17" s="78" t="str">
        <f>LEFT(I17,LEN(I17)-1)</f>
        <v>48</v>
      </c>
      <c r="K17" s="78" t="s">
        <v>163</v>
      </c>
      <c r="L17" s="78" t="str">
        <f>LEFT(K17,LEN(K17)-1)</f>
        <v>39</v>
      </c>
      <c r="M17" s="152" t="s">
        <v>164</v>
      </c>
      <c r="N17" s="79" t="str">
        <f>LEFT(M17,LEN(M17)-1)</f>
        <v>201</v>
      </c>
      <c r="O17" s="78" t="s">
        <v>152</v>
      </c>
      <c r="P17" s="79" t="str">
        <f>LEFT(O17,LEN(O17)-1)</f>
        <v>0</v>
      </c>
      <c r="Q17" s="77" t="s">
        <v>152</v>
      </c>
      <c r="R17" s="79" t="str">
        <f>LEFT(Q17,LEN(Q17)-1)</f>
        <v>0</v>
      </c>
      <c r="S17" s="77" t="s">
        <v>165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208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161</v>
      </c>
      <c r="R20" s="70"/>
      <c r="S20" s="69" t="s">
        <v>162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166</v>
      </c>
      <c r="D22" s="80" t="str">
        <f>LEFT(C22,LEN(C22)-1)</f>
        <v>7</v>
      </c>
      <c r="E22" s="80" t="s">
        <v>207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151</v>
      </c>
      <c r="J23" s="78" t="str">
        <f>LEFT(I23,LEN(I23)-1)</f>
        <v>48</v>
      </c>
      <c r="K23" s="78" t="s">
        <v>163</v>
      </c>
      <c r="L23" s="78" t="str">
        <f>LEFT(K23,LEN(K23)-1)</f>
        <v>39</v>
      </c>
      <c r="M23" s="152" t="s">
        <v>164</v>
      </c>
      <c r="N23" s="79" t="str">
        <f>LEFT(M23,LEN(M23)-1)</f>
        <v>201</v>
      </c>
      <c r="O23" s="78" t="s">
        <v>152</v>
      </c>
      <c r="P23" s="79" t="str">
        <f>LEFT(O23,LEN(O23)-1)</f>
        <v>0</v>
      </c>
      <c r="Q23" s="77" t="s">
        <v>225</v>
      </c>
      <c r="R23" s="79" t="str">
        <f>LEFT(Q23,LEN(Q23)-1)</f>
        <v>18</v>
      </c>
      <c r="S23" s="77" t="s">
        <v>165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226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161</v>
      </c>
      <c r="R26" s="70"/>
      <c r="S26" s="69" t="s">
        <v>162</v>
      </c>
      <c r="T26" s="70"/>
      <c r="U26" s="69" t="s">
        <v>259</v>
      </c>
      <c r="V26" s="70"/>
      <c r="W26" s="69" t="s">
        <v>256</v>
      </c>
      <c r="X26" s="70"/>
      <c r="Y26" s="69" t="s">
        <v>269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255</v>
      </c>
      <c r="D28" s="80" t="str">
        <f>LEFT(C28,LEN(C28)-1)</f>
        <v>17</v>
      </c>
      <c r="E28" s="80" t="s">
        <v>152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151</v>
      </c>
      <c r="J29" s="78" t="str">
        <f>LEFT(I29,LEN(I29)-1)</f>
        <v>48</v>
      </c>
      <c r="K29" s="78" t="s">
        <v>163</v>
      </c>
      <c r="L29" s="78" t="str">
        <f>LEFT(K29,LEN(K29)-1)</f>
        <v>39</v>
      </c>
      <c r="M29" s="152" t="s">
        <v>164</v>
      </c>
      <c r="N29" s="79" t="str">
        <f>LEFT(M29,LEN(M29)-1)</f>
        <v>201</v>
      </c>
      <c r="O29" s="78" t="s">
        <v>152</v>
      </c>
      <c r="P29" s="79" t="str">
        <f>LEFT(O29,LEN(O29)-1)</f>
        <v>0</v>
      </c>
      <c r="Q29" s="77" t="s">
        <v>152</v>
      </c>
      <c r="R29" s="79" t="str">
        <f>LEFT(Q29,LEN(Q29)-1)</f>
        <v>0</v>
      </c>
      <c r="S29" s="152" t="s">
        <v>165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257</v>
      </c>
      <c r="X29" s="79" t="str">
        <f>LEFT(W29,LEN(W29)-1)</f>
        <v>6</v>
      </c>
      <c r="Y29" s="77" t="s">
        <v>258</v>
      </c>
      <c r="Z29" s="228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260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161</v>
      </c>
      <c r="R32" s="70"/>
      <c r="S32" s="69" t="s">
        <v>162</v>
      </c>
      <c r="T32" s="70"/>
      <c r="U32" s="69" t="s">
        <v>259</v>
      </c>
      <c r="V32" s="70"/>
      <c r="W32" s="69" t="s">
        <v>256</v>
      </c>
      <c r="X32" s="70"/>
      <c r="Y32" s="69" t="s">
        <v>269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271</v>
      </c>
      <c r="D34" s="80" t="str">
        <f>LEFT(C34,LEN(C34)-1)</f>
        <v>5</v>
      </c>
      <c r="E34" s="80" t="s">
        <v>180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151</v>
      </c>
      <c r="J35" s="78" t="str">
        <f>LEFT(I35,LEN(I35)-1)</f>
        <v>48</v>
      </c>
      <c r="K35" s="78" t="s">
        <v>268</v>
      </c>
      <c r="L35" s="78" t="str">
        <f>LEFT(K35,LEN(K35)-1)</f>
        <v>38</v>
      </c>
      <c r="M35" s="152" t="s">
        <v>164</v>
      </c>
      <c r="N35" s="79" t="str">
        <f>LEFT(M35,LEN(M35)-1)</f>
        <v>201</v>
      </c>
      <c r="O35" s="78" t="s">
        <v>152</v>
      </c>
      <c r="P35" s="79" t="str">
        <f>LEFT(O35,LEN(O35)-1)</f>
        <v>0</v>
      </c>
      <c r="Q35" s="77" t="s">
        <v>152</v>
      </c>
      <c r="R35" s="79" t="str">
        <f>LEFT(Q35,LEN(Q35)-1)</f>
        <v>0</v>
      </c>
      <c r="S35" s="152" t="s">
        <v>165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7" t="s">
        <v>257</v>
      </c>
      <c r="X35" s="79" t="str">
        <f>LEFT(W35,LEN(W35)-1)</f>
        <v>6</v>
      </c>
      <c r="Y35" s="77" t="s">
        <v>258</v>
      </c>
      <c r="Z35" s="228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270</v>
      </c>
      <c r="E36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2018-05-16T06:02:49Z</dcterms:modified>
</cp:coreProperties>
</file>