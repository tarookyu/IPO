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ICF_AutoCapsule_disabled\source tree\"/>
    </mc:Choice>
  </mc:AlternateContent>
  <bookViews>
    <workbookView xWindow="0" yWindow="0" windowWidth="25185" windowHeight="12270"/>
  </bookViews>
  <sheets>
    <sheet name="IPO監視一覧" sheetId="3" r:id="rId1"/>
    <sheet name="セカンダリ投資分析" sheetId="4" r:id="rId2"/>
    <sheet name="参加条件計算" sheetId="5" r:id="rId3"/>
    <sheet name="終値履歴" sheetId="6" r:id="rId4"/>
    <sheet name="株価一覧" sheetId="2" r:id="rId5"/>
    <sheet name="株式売買勝敗サマリ" sheetId="9" r:id="rId6"/>
    <sheet name="口座残高一覧" sheetId="7" r:id="rId7"/>
  </sheets>
  <functionGroups builtInGroupCount="18"/>
  <definedNames>
    <definedName name="_xlnm._FilterDatabase" localSheetId="1" hidden="1">セカンダリ投資分析!$A$2:$V$7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7" i="5" l="1"/>
  <c r="C47" i="5"/>
  <c r="D47" i="5"/>
  <c r="E47" i="5"/>
  <c r="F47" i="5"/>
  <c r="I47" i="5" s="1"/>
  <c r="G47" i="5"/>
  <c r="J47" i="5"/>
  <c r="B48" i="5"/>
  <c r="C48" i="5"/>
  <c r="D48" i="5"/>
  <c r="E48" i="5"/>
  <c r="F48" i="5"/>
  <c r="G48" i="5"/>
  <c r="B49" i="5"/>
  <c r="C49" i="5"/>
  <c r="D49" i="5"/>
  <c r="E49" i="5"/>
  <c r="F49" i="5"/>
  <c r="G49" i="5"/>
  <c r="B50" i="5"/>
  <c r="C50" i="5"/>
  <c r="D50" i="5"/>
  <c r="E50" i="5"/>
  <c r="F50" i="5"/>
  <c r="I50" i="5" s="1"/>
  <c r="G50" i="5"/>
  <c r="B51" i="5"/>
  <c r="C51" i="5"/>
  <c r="D51" i="5"/>
  <c r="E51" i="5"/>
  <c r="F51" i="5"/>
  <c r="G51" i="5"/>
  <c r="R51" i="5"/>
  <c r="T51" i="5"/>
  <c r="Q51" i="5" s="1"/>
  <c r="W51" i="5"/>
  <c r="X51" i="5"/>
  <c r="B52" i="5"/>
  <c r="C52" i="5"/>
  <c r="D52" i="5"/>
  <c r="E52" i="5"/>
  <c r="F52" i="5"/>
  <c r="G52" i="5"/>
  <c r="Q52" i="5"/>
  <c r="R52" i="5"/>
  <c r="T52" i="5"/>
  <c r="W52" i="5"/>
  <c r="B53" i="5"/>
  <c r="C53" i="5"/>
  <c r="D53" i="5"/>
  <c r="E53" i="5"/>
  <c r="F53" i="5"/>
  <c r="G53" i="5"/>
  <c r="Q53" i="5"/>
  <c r="R53" i="5"/>
  <c r="T53" i="5"/>
  <c r="W53" i="5"/>
  <c r="M47" i="5" l="1"/>
  <c r="K52" i="5"/>
  <c r="N50" i="5"/>
  <c r="N49" i="5"/>
  <c r="N47" i="5"/>
  <c r="J48" i="5"/>
  <c r="P47" i="5"/>
  <c r="X52" i="5"/>
  <c r="I53" i="5"/>
  <c r="U52" i="5"/>
  <c r="N51" i="5"/>
  <c r="S52" i="5"/>
  <c r="P51" i="5"/>
  <c r="J50" i="5"/>
  <c r="N53" i="5"/>
  <c r="K51" i="5"/>
  <c r="M50" i="5"/>
  <c r="M48" i="5"/>
  <c r="I49" i="5"/>
  <c r="J52" i="5"/>
  <c r="J51" i="5"/>
  <c r="M51" i="5"/>
  <c r="K48" i="5"/>
  <c r="K47" i="5"/>
  <c r="M53" i="5"/>
  <c r="M52" i="5"/>
  <c r="I51" i="5"/>
  <c r="M49" i="5"/>
  <c r="U53" i="5"/>
  <c r="K53" i="5"/>
  <c r="P52" i="5"/>
  <c r="S51" i="5"/>
  <c r="K49" i="5"/>
  <c r="P48" i="5"/>
  <c r="P53" i="5"/>
  <c r="J53" i="5"/>
  <c r="N52" i="5"/>
  <c r="I52" i="5"/>
  <c r="K50" i="5"/>
  <c r="P49" i="5"/>
  <c r="J49" i="5"/>
  <c r="N48" i="5"/>
  <c r="I48" i="5"/>
  <c r="X53" i="5"/>
  <c r="S53" i="5"/>
  <c r="U51" i="5"/>
  <c r="P50" i="5"/>
  <c r="A45" i="6"/>
  <c r="B45" i="6"/>
  <c r="C45" i="6"/>
  <c r="D45" i="6"/>
  <c r="R45" i="5" s="1"/>
  <c r="F45" i="6"/>
  <c r="E45" i="6" s="1"/>
  <c r="T45" i="5" s="1"/>
  <c r="Q45" i="5" s="1"/>
  <c r="A46" i="6"/>
  <c r="B46" i="6"/>
  <c r="C46" i="6"/>
  <c r="D46" i="6"/>
  <c r="R46" i="5" s="1"/>
  <c r="F46" i="6"/>
  <c r="E46" i="6" s="1"/>
  <c r="T46" i="5" s="1"/>
  <c r="Q46" i="5" s="1"/>
  <c r="A47" i="6"/>
  <c r="B47" i="6"/>
  <c r="C47" i="6"/>
  <c r="D47" i="6"/>
  <c r="R47" i="5" s="1"/>
  <c r="S47" i="5" s="1"/>
  <c r="F47" i="6"/>
  <c r="A48" i="6"/>
  <c r="B48" i="6"/>
  <c r="C48" i="6"/>
  <c r="D48" i="6"/>
  <c r="R48" i="5" s="1"/>
  <c r="S48" i="5" s="1"/>
  <c r="F48" i="6"/>
  <c r="A49" i="6"/>
  <c r="B49" i="6"/>
  <c r="C49" i="6"/>
  <c r="D49" i="6"/>
  <c r="R49" i="5" s="1"/>
  <c r="S49" i="5" s="1"/>
  <c r="F49" i="6"/>
  <c r="A50" i="6"/>
  <c r="B50" i="6"/>
  <c r="C50" i="6"/>
  <c r="D50" i="6"/>
  <c r="R50" i="5" s="1"/>
  <c r="S50" i="5" s="1"/>
  <c r="F50" i="6"/>
  <c r="B44" i="5"/>
  <c r="C44" i="5"/>
  <c r="D44" i="5"/>
  <c r="E44" i="5"/>
  <c r="F44" i="5"/>
  <c r="G44" i="5"/>
  <c r="B45" i="5"/>
  <c r="C45" i="5"/>
  <c r="D45" i="5"/>
  <c r="E45" i="5"/>
  <c r="F45" i="5"/>
  <c r="G45" i="5"/>
  <c r="B46" i="5"/>
  <c r="C46" i="5"/>
  <c r="D46" i="5"/>
  <c r="E46" i="5"/>
  <c r="F46" i="5"/>
  <c r="G46" i="5"/>
  <c r="A46" i="4"/>
  <c r="B46" i="4"/>
  <c r="C46" i="4"/>
  <c r="D46" i="4"/>
  <c r="G46" i="4" s="1"/>
  <c r="E46" i="4"/>
  <c r="N46" i="4"/>
  <c r="A47" i="4"/>
  <c r="B47" i="4"/>
  <c r="C47" i="4"/>
  <c r="D47" i="4"/>
  <c r="G47" i="4" s="1"/>
  <c r="E47" i="4"/>
  <c r="N47" i="4"/>
  <c r="A48" i="4"/>
  <c r="B48" i="4"/>
  <c r="C48" i="4"/>
  <c r="D48" i="4"/>
  <c r="G48" i="4" s="1"/>
  <c r="E48" i="4"/>
  <c r="N48" i="4"/>
  <c r="A49" i="4"/>
  <c r="B49" i="4"/>
  <c r="C49" i="4"/>
  <c r="D49" i="4"/>
  <c r="G49" i="4" s="1"/>
  <c r="E49" i="4"/>
  <c r="N49" i="4"/>
  <c r="A50" i="4"/>
  <c r="B50" i="4"/>
  <c r="C50" i="4"/>
  <c r="D50" i="4"/>
  <c r="G50" i="4" s="1"/>
  <c r="E50" i="4"/>
  <c r="N50" i="4"/>
  <c r="A51" i="4"/>
  <c r="B51" i="4"/>
  <c r="C51" i="4"/>
  <c r="D51" i="4"/>
  <c r="G51" i="4" s="1"/>
  <c r="E51" i="4"/>
  <c r="N51" i="4"/>
  <c r="E48" i="6" l="1"/>
  <c r="T48" i="5" s="1"/>
  <c r="W48" i="5"/>
  <c r="X48" i="5" s="1"/>
  <c r="E47" i="6"/>
  <c r="T47" i="5" s="1"/>
  <c r="W47" i="5"/>
  <c r="X47" i="5" s="1"/>
  <c r="E50" i="6"/>
  <c r="T50" i="5" s="1"/>
  <c r="W50" i="5"/>
  <c r="X50" i="5" s="1"/>
  <c r="E49" i="6"/>
  <c r="T49" i="5" s="1"/>
  <c r="W49" i="5"/>
  <c r="X49" i="5" s="1"/>
  <c r="F50" i="4"/>
  <c r="F48" i="4"/>
  <c r="F46" i="4"/>
  <c r="F51" i="4"/>
  <c r="F49" i="4"/>
  <c r="F47" i="4"/>
  <c r="J45" i="5"/>
  <c r="J44" i="5"/>
  <c r="M45" i="5"/>
  <c r="W45" i="5"/>
  <c r="X45" i="5" s="1"/>
  <c r="K45" i="5"/>
  <c r="P44" i="5"/>
  <c r="N46" i="5"/>
  <c r="N44" i="5"/>
  <c r="M44" i="5"/>
  <c r="W46" i="5"/>
  <c r="X46" i="5" s="1"/>
  <c r="M46" i="5"/>
  <c r="I44" i="5"/>
  <c r="I46" i="5"/>
  <c r="U45" i="5"/>
  <c r="S45" i="5"/>
  <c r="K44" i="5"/>
  <c r="U46" i="5"/>
  <c r="K46" i="5"/>
  <c r="P45" i="5"/>
  <c r="P46" i="5"/>
  <c r="J46" i="5"/>
  <c r="N45" i="5"/>
  <c r="I45" i="5"/>
  <c r="S46" i="5"/>
  <c r="Z41" i="7"/>
  <c r="X41" i="7"/>
  <c r="V41" i="7"/>
  <c r="T41" i="7"/>
  <c r="R41" i="7"/>
  <c r="P41" i="7"/>
  <c r="N41" i="7"/>
  <c r="L41" i="7"/>
  <c r="J41" i="7"/>
  <c r="H41" i="7"/>
  <c r="F40" i="7"/>
  <c r="D40" i="7"/>
  <c r="AA40" i="7" s="1"/>
  <c r="Q49" i="5" l="1"/>
  <c r="U49" i="5"/>
  <c r="Q47" i="5"/>
  <c r="U47" i="5"/>
  <c r="Q50" i="5"/>
  <c r="U50" i="5"/>
  <c r="Q48" i="5"/>
  <c r="U48" i="5"/>
  <c r="B39" i="7"/>
  <c r="AA41" i="7"/>
  <c r="Q39" i="3"/>
  <c r="A42" i="4" l="1"/>
  <c r="B42" i="4"/>
  <c r="C42" i="4"/>
  <c r="D42" i="4"/>
  <c r="G42" i="4" s="1"/>
  <c r="E42" i="4"/>
  <c r="N42" i="4"/>
  <c r="A43" i="4"/>
  <c r="B43" i="4"/>
  <c r="C43" i="4"/>
  <c r="D43" i="4"/>
  <c r="G43" i="4" s="1"/>
  <c r="E43" i="4"/>
  <c r="N43" i="4"/>
  <c r="A44" i="4"/>
  <c r="B44" i="4"/>
  <c r="C44" i="4"/>
  <c r="D44" i="4"/>
  <c r="G44" i="4" s="1"/>
  <c r="E44" i="4"/>
  <c r="N44" i="4"/>
  <c r="A45" i="4"/>
  <c r="B45" i="4"/>
  <c r="C45" i="4"/>
  <c r="D45" i="4"/>
  <c r="G45" i="4" s="1"/>
  <c r="E45" i="4"/>
  <c r="N45" i="4"/>
  <c r="A34" i="6"/>
  <c r="B34" i="6"/>
  <c r="C34" i="6"/>
  <c r="D34" i="6"/>
  <c r="F34" i="6"/>
  <c r="E34" i="6" s="1"/>
  <c r="A35" i="6"/>
  <c r="B35" i="6"/>
  <c r="C35" i="6"/>
  <c r="D35" i="6"/>
  <c r="F35" i="6"/>
  <c r="E35" i="6" s="1"/>
  <c r="A36" i="6"/>
  <c r="B36" i="6"/>
  <c r="C36" i="6"/>
  <c r="D36" i="6"/>
  <c r="F36" i="6"/>
  <c r="E36" i="6" s="1"/>
  <c r="A37" i="6"/>
  <c r="B37" i="6"/>
  <c r="C37" i="6"/>
  <c r="D37" i="6"/>
  <c r="F37" i="6"/>
  <c r="E37" i="6" s="1"/>
  <c r="A38" i="6"/>
  <c r="B38" i="6"/>
  <c r="C38" i="6"/>
  <c r="D38" i="6"/>
  <c r="F38" i="6"/>
  <c r="E38" i="6" s="1"/>
  <c r="A39" i="6"/>
  <c r="B39" i="6"/>
  <c r="C39" i="6"/>
  <c r="D39" i="6"/>
  <c r="F39" i="6"/>
  <c r="E39" i="6" s="1"/>
  <c r="A40" i="6"/>
  <c r="B40" i="6"/>
  <c r="C40" i="6"/>
  <c r="D40" i="6"/>
  <c r="F40" i="6"/>
  <c r="E40" i="6" s="1"/>
  <c r="A41" i="6"/>
  <c r="B41" i="6"/>
  <c r="C41" i="6"/>
  <c r="D41" i="6"/>
  <c r="R41" i="5" s="1"/>
  <c r="F41" i="6"/>
  <c r="E41" i="6" s="1"/>
  <c r="T41" i="5" s="1"/>
  <c r="Q41" i="5" s="1"/>
  <c r="A42" i="6"/>
  <c r="B42" i="6"/>
  <c r="C42" i="6"/>
  <c r="D42" i="6"/>
  <c r="R42" i="5" s="1"/>
  <c r="F42" i="6"/>
  <c r="E42" i="6" s="1"/>
  <c r="T42" i="5" s="1"/>
  <c r="Q42" i="5" s="1"/>
  <c r="A43" i="6"/>
  <c r="B43" i="6"/>
  <c r="C43" i="6"/>
  <c r="D43" i="6"/>
  <c r="R43" i="5" s="1"/>
  <c r="F43" i="6"/>
  <c r="E43" i="6" s="1"/>
  <c r="T43" i="5" s="1"/>
  <c r="Q43" i="5" s="1"/>
  <c r="A44" i="6"/>
  <c r="B44" i="6"/>
  <c r="C44" i="6"/>
  <c r="D44" i="6"/>
  <c r="R44" i="5" s="1"/>
  <c r="S44" i="5" s="1"/>
  <c r="F44" i="6"/>
  <c r="B41" i="5"/>
  <c r="C41" i="5"/>
  <c r="D41" i="5"/>
  <c r="E41" i="5"/>
  <c r="F41" i="5"/>
  <c r="G41" i="5"/>
  <c r="B42" i="5"/>
  <c r="C42" i="5"/>
  <c r="D42" i="5"/>
  <c r="E42" i="5"/>
  <c r="F42" i="5"/>
  <c r="G42" i="5"/>
  <c r="B43" i="5"/>
  <c r="C43" i="5"/>
  <c r="D43" i="5"/>
  <c r="E43" i="5"/>
  <c r="F43" i="5"/>
  <c r="G43" i="5"/>
  <c r="F45" i="4" l="1"/>
  <c r="F43" i="4"/>
  <c r="F42" i="4"/>
  <c r="F44" i="4"/>
  <c r="E44" i="6"/>
  <c r="T44" i="5" s="1"/>
  <c r="W44" i="5"/>
  <c r="X44" i="5" s="1"/>
  <c r="W43" i="5"/>
  <c r="X43" i="5" s="1"/>
  <c r="W41" i="5"/>
  <c r="X41" i="5" s="1"/>
  <c r="J41" i="5"/>
  <c r="J43" i="5"/>
  <c r="N42" i="5"/>
  <c r="M43" i="5"/>
  <c r="P41" i="5"/>
  <c r="N41" i="5"/>
  <c r="N43" i="5"/>
  <c r="M41" i="5"/>
  <c r="S43" i="5"/>
  <c r="W42" i="5"/>
  <c r="X42" i="5" s="1"/>
  <c r="M42" i="5"/>
  <c r="I41" i="5"/>
  <c r="I43" i="5"/>
  <c r="I42" i="5"/>
  <c r="K41" i="5"/>
  <c r="U42" i="5"/>
  <c r="K42" i="5"/>
  <c r="S41" i="5"/>
  <c r="U43" i="5"/>
  <c r="K43" i="5"/>
  <c r="P42" i="5"/>
  <c r="J42" i="5"/>
  <c r="P43" i="5"/>
  <c r="S42" i="5"/>
  <c r="U41" i="5"/>
  <c r="Z35" i="7"/>
  <c r="X35" i="7"/>
  <c r="V35" i="7"/>
  <c r="T35" i="7"/>
  <c r="R35" i="7"/>
  <c r="P35" i="7"/>
  <c r="N35" i="7"/>
  <c r="L35" i="7"/>
  <c r="J35" i="7"/>
  <c r="H35" i="7"/>
  <c r="F34" i="7"/>
  <c r="D34" i="7"/>
  <c r="Q44" i="5" l="1"/>
  <c r="U44" i="5"/>
  <c r="AA34" i="7"/>
  <c r="AA35" i="7"/>
  <c r="B33" i="7"/>
  <c r="F7" i="6"/>
  <c r="E7" i="6" s="1"/>
  <c r="F8" i="6"/>
  <c r="E8" i="6" s="1"/>
  <c r="F9" i="6"/>
  <c r="E9" i="6" s="1"/>
  <c r="F10" i="6"/>
  <c r="E10" i="6" s="1"/>
  <c r="F11" i="6"/>
  <c r="E11" i="6" s="1"/>
  <c r="F12" i="6"/>
  <c r="E12" i="6" s="1"/>
  <c r="F13" i="6"/>
  <c r="E13" i="6" s="1"/>
  <c r="F14" i="6"/>
  <c r="E14" i="6" s="1"/>
  <c r="F15" i="6"/>
  <c r="E15" i="6" s="1"/>
  <c r="F16" i="6"/>
  <c r="E16" i="6" s="1"/>
  <c r="F17" i="6"/>
  <c r="E17" i="6" s="1"/>
  <c r="F18" i="6"/>
  <c r="E18" i="6" s="1"/>
  <c r="F19" i="6"/>
  <c r="E19" i="6" s="1"/>
  <c r="F20" i="6"/>
  <c r="E20" i="6" s="1"/>
  <c r="F21" i="6"/>
  <c r="E21" i="6" s="1"/>
  <c r="F22" i="6"/>
  <c r="E22" i="6" s="1"/>
  <c r="F23" i="6"/>
  <c r="E23" i="6" s="1"/>
  <c r="F24" i="6"/>
  <c r="E24" i="6" s="1"/>
  <c r="F25" i="6"/>
  <c r="E25" i="6" s="1"/>
  <c r="F26" i="6"/>
  <c r="E26" i="6" s="1"/>
  <c r="F27" i="6"/>
  <c r="E27" i="6" s="1"/>
  <c r="F28" i="6"/>
  <c r="E28" i="6" s="1"/>
  <c r="F29" i="6"/>
  <c r="E29" i="6" s="1"/>
  <c r="F30" i="6"/>
  <c r="E30" i="6" s="1"/>
  <c r="F31" i="6"/>
  <c r="E31" i="6" s="1"/>
  <c r="F32" i="6"/>
  <c r="E32" i="6" s="1"/>
  <c r="F33" i="6"/>
  <c r="E33" i="6" s="1"/>
  <c r="F6" i="6"/>
  <c r="E6" i="6" s="1"/>
  <c r="F5" i="6"/>
  <c r="E5" i="6" s="1"/>
  <c r="F4" i="6"/>
  <c r="E4" i="6" s="1"/>
  <c r="F3" i="6"/>
  <c r="E3" i="6" s="1"/>
  <c r="B32" i="5" l="1"/>
  <c r="C32" i="5"/>
  <c r="D32" i="5"/>
  <c r="E32" i="5"/>
  <c r="F32" i="5"/>
  <c r="G32" i="5"/>
  <c r="B33" i="5"/>
  <c r="C33" i="5"/>
  <c r="D33" i="5"/>
  <c r="E33" i="5"/>
  <c r="F33" i="5"/>
  <c r="G33" i="5"/>
  <c r="B34" i="5"/>
  <c r="C34" i="5"/>
  <c r="D34" i="5"/>
  <c r="E34" i="5"/>
  <c r="F34" i="5"/>
  <c r="G34" i="5"/>
  <c r="R34" i="5"/>
  <c r="T34" i="5"/>
  <c r="Q34" i="5" s="1"/>
  <c r="W34" i="5"/>
  <c r="B35" i="5"/>
  <c r="C35" i="5"/>
  <c r="D35" i="5"/>
  <c r="E35" i="5"/>
  <c r="F35" i="5"/>
  <c r="G35" i="5"/>
  <c r="R35" i="5"/>
  <c r="T35" i="5"/>
  <c r="Q35" i="5" s="1"/>
  <c r="W35" i="5"/>
  <c r="B36" i="5"/>
  <c r="C36" i="5"/>
  <c r="D36" i="5"/>
  <c r="E36" i="5"/>
  <c r="F36" i="5"/>
  <c r="G36" i="5"/>
  <c r="R36" i="5"/>
  <c r="T36" i="5"/>
  <c r="Q36" i="5" s="1"/>
  <c r="W36" i="5"/>
  <c r="B37" i="5"/>
  <c r="C37" i="5"/>
  <c r="D37" i="5"/>
  <c r="E37" i="5"/>
  <c r="F37" i="5"/>
  <c r="G37" i="5"/>
  <c r="R37" i="5"/>
  <c r="T37" i="5"/>
  <c r="Q37" i="5" s="1"/>
  <c r="W37" i="5"/>
  <c r="B38" i="5"/>
  <c r="C38" i="5"/>
  <c r="D38" i="5"/>
  <c r="E38" i="5"/>
  <c r="F38" i="5"/>
  <c r="G38" i="5"/>
  <c r="R38" i="5"/>
  <c r="T38" i="5"/>
  <c r="Q38" i="5" s="1"/>
  <c r="W38" i="5"/>
  <c r="B39" i="5"/>
  <c r="C39" i="5"/>
  <c r="D39" i="5"/>
  <c r="E39" i="5"/>
  <c r="F39" i="5"/>
  <c r="G39" i="5"/>
  <c r="R39" i="5"/>
  <c r="T39" i="5"/>
  <c r="Q39" i="5" s="1"/>
  <c r="W39" i="5"/>
  <c r="B40" i="5"/>
  <c r="C40" i="5"/>
  <c r="D40" i="5"/>
  <c r="E40" i="5"/>
  <c r="F40" i="5"/>
  <c r="G40" i="5"/>
  <c r="R40" i="5"/>
  <c r="T40" i="5"/>
  <c r="Q40" i="5" s="1"/>
  <c r="W40" i="5"/>
  <c r="I40" i="5" l="1"/>
  <c r="J40" i="5"/>
  <c r="K40" i="5"/>
  <c r="I36" i="5"/>
  <c r="J36" i="5"/>
  <c r="K36" i="5"/>
  <c r="J33" i="5"/>
  <c r="K33" i="5"/>
  <c r="I33" i="5"/>
  <c r="I39" i="5"/>
  <c r="J39" i="5"/>
  <c r="K39" i="5"/>
  <c r="I35" i="5"/>
  <c r="J35" i="5"/>
  <c r="K35" i="5"/>
  <c r="K38" i="5"/>
  <c r="I38" i="5"/>
  <c r="J38" i="5"/>
  <c r="K34" i="5"/>
  <c r="I34" i="5"/>
  <c r="J34" i="5"/>
  <c r="I32" i="5"/>
  <c r="J32" i="5"/>
  <c r="K32" i="5"/>
  <c r="J37" i="5"/>
  <c r="K37" i="5"/>
  <c r="I37" i="5"/>
  <c r="X40" i="5"/>
  <c r="X36" i="5"/>
  <c r="S40" i="5"/>
  <c r="N36" i="5"/>
  <c r="N34" i="5"/>
  <c r="M39" i="5"/>
  <c r="M36" i="5"/>
  <c r="X38" i="5"/>
  <c r="P33" i="5"/>
  <c r="S38" i="5"/>
  <c r="N37" i="5"/>
  <c r="U38" i="5"/>
  <c r="S36" i="5"/>
  <c r="N35" i="5"/>
  <c r="N33" i="5"/>
  <c r="N32" i="5"/>
  <c r="P32" i="5"/>
  <c r="N40" i="5"/>
  <c r="N39" i="5"/>
  <c r="M37" i="5"/>
  <c r="M32" i="5"/>
  <c r="M40" i="5"/>
  <c r="X37" i="5"/>
  <c r="P37" i="5"/>
  <c r="M35" i="5"/>
  <c r="U34" i="5"/>
  <c r="M33" i="5"/>
  <c r="P39" i="5"/>
  <c r="P40" i="5"/>
  <c r="X39" i="5"/>
  <c r="S39" i="5"/>
  <c r="M38" i="5"/>
  <c r="U37" i="5"/>
  <c r="P36" i="5"/>
  <c r="X35" i="5"/>
  <c r="S35" i="5"/>
  <c r="M34" i="5"/>
  <c r="U39" i="5"/>
  <c r="P38" i="5"/>
  <c r="S37" i="5"/>
  <c r="U35" i="5"/>
  <c r="P34" i="5"/>
  <c r="U40" i="5"/>
  <c r="N38" i="5"/>
  <c r="U36" i="5"/>
  <c r="P35" i="5"/>
  <c r="X34" i="5"/>
  <c r="S34" i="5"/>
  <c r="B27" i="7"/>
  <c r="X29" i="7"/>
  <c r="Z29" i="7"/>
  <c r="V29" i="7"/>
  <c r="T29" i="7"/>
  <c r="R29" i="7"/>
  <c r="P29" i="7"/>
  <c r="N29" i="7"/>
  <c r="L29" i="7"/>
  <c r="J29" i="7"/>
  <c r="H29" i="7"/>
  <c r="AA29" i="7" s="1"/>
  <c r="F28" i="7"/>
  <c r="D28" i="7"/>
  <c r="AA28" i="7" l="1"/>
  <c r="R38" i="9"/>
  <c r="O38" i="9"/>
  <c r="Q25" i="9" l="1"/>
  <c r="N28" i="9" s="1"/>
  <c r="P25" i="9"/>
  <c r="O25" i="9"/>
  <c r="N25" i="9"/>
  <c r="N26" i="9" l="1"/>
  <c r="B26" i="5"/>
  <c r="C26" i="5"/>
  <c r="D26" i="5"/>
  <c r="E26" i="5"/>
  <c r="F26" i="5"/>
  <c r="G26" i="5"/>
  <c r="B27" i="5"/>
  <c r="C27" i="5"/>
  <c r="D27" i="5"/>
  <c r="E27" i="5"/>
  <c r="F27" i="5"/>
  <c r="G27" i="5"/>
  <c r="B28" i="5"/>
  <c r="C28" i="5"/>
  <c r="D28" i="5"/>
  <c r="E28" i="5"/>
  <c r="F28" i="5"/>
  <c r="G28" i="5"/>
  <c r="B29" i="5"/>
  <c r="C29" i="5"/>
  <c r="D29" i="5"/>
  <c r="E29" i="5"/>
  <c r="F29" i="5"/>
  <c r="G29" i="5"/>
  <c r="B30" i="5"/>
  <c r="C30" i="5"/>
  <c r="D30" i="5"/>
  <c r="E30" i="5"/>
  <c r="F30" i="5"/>
  <c r="G30" i="5"/>
  <c r="B31" i="5"/>
  <c r="C31" i="5"/>
  <c r="D31" i="5"/>
  <c r="E31" i="5"/>
  <c r="F31" i="5"/>
  <c r="G31" i="5"/>
  <c r="K30" i="5" l="1"/>
  <c r="I30" i="5"/>
  <c r="J30" i="5"/>
  <c r="I28" i="5"/>
  <c r="J28" i="5"/>
  <c r="K28" i="5"/>
  <c r="K26" i="5"/>
  <c r="I26" i="5"/>
  <c r="J26" i="5"/>
  <c r="I31" i="5"/>
  <c r="J31" i="5"/>
  <c r="K31" i="5"/>
  <c r="J29" i="5"/>
  <c r="K29" i="5"/>
  <c r="I29" i="5"/>
  <c r="I27" i="5"/>
  <c r="J27" i="5"/>
  <c r="K27" i="5"/>
  <c r="M31" i="5"/>
  <c r="P26" i="5"/>
  <c r="M29" i="5"/>
  <c r="N29" i="5"/>
  <c r="N28" i="5"/>
  <c r="M26" i="5"/>
  <c r="M30" i="5"/>
  <c r="M27" i="5"/>
  <c r="N30" i="5"/>
  <c r="P30" i="5"/>
  <c r="M28" i="5"/>
  <c r="N26" i="5"/>
  <c r="P31" i="5"/>
  <c r="P27" i="5"/>
  <c r="N31" i="5"/>
  <c r="P28" i="5"/>
  <c r="N27" i="5"/>
  <c r="P29" i="5"/>
  <c r="R37" i="9"/>
  <c r="R42" i="9" s="1"/>
  <c r="Q35" i="9" l="1"/>
  <c r="V23" i="7"/>
  <c r="T23" i="7"/>
  <c r="R23" i="7"/>
  <c r="P23" i="7"/>
  <c r="N23" i="7"/>
  <c r="L23" i="7"/>
  <c r="J23" i="7"/>
  <c r="H23" i="7"/>
  <c r="F22" i="7"/>
  <c r="D22" i="7"/>
  <c r="W22" i="7" l="1"/>
  <c r="W23" i="7"/>
  <c r="Q42" i="9"/>
  <c r="P35" i="9"/>
  <c r="B21" i="7"/>
  <c r="N42" i="9"/>
  <c r="P36" i="9" l="1"/>
  <c r="P42" i="9"/>
  <c r="O37" i="9"/>
  <c r="O42" i="9" s="1"/>
  <c r="M38" i="9"/>
  <c r="M45" i="9" s="1"/>
  <c r="M42" i="9"/>
  <c r="P38" i="9" l="1"/>
  <c r="Q36" i="9"/>
  <c r="M39" i="9"/>
  <c r="M40" i="9" s="1"/>
  <c r="N38" i="9"/>
  <c r="N39" i="9" s="1"/>
  <c r="N40" i="9" s="1"/>
  <c r="V17" i="7"/>
  <c r="T17" i="7"/>
  <c r="R17" i="7"/>
  <c r="P17" i="7"/>
  <c r="N17" i="7"/>
  <c r="L17" i="7"/>
  <c r="J17" i="7"/>
  <c r="H17" i="7"/>
  <c r="F16" i="7"/>
  <c r="D16" i="7"/>
  <c r="W16" i="7" l="1"/>
  <c r="W17" i="7"/>
  <c r="Q38" i="9"/>
  <c r="P39" i="9"/>
  <c r="O39" i="9"/>
  <c r="B15" i="7"/>
  <c r="G3" i="5"/>
  <c r="Q39" i="9" l="1"/>
  <c r="Q40" i="9" s="1"/>
  <c r="P40" i="9"/>
  <c r="R39" i="9" l="1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7" i="4"/>
  <c r="B13" i="5" l="1"/>
  <c r="C13" i="5"/>
  <c r="F13" i="5"/>
  <c r="G13" i="5"/>
  <c r="B14" i="5"/>
  <c r="C14" i="5"/>
  <c r="F14" i="5"/>
  <c r="G14" i="5"/>
  <c r="B15" i="5"/>
  <c r="C15" i="5"/>
  <c r="F15" i="5"/>
  <c r="G15" i="5"/>
  <c r="B16" i="5"/>
  <c r="C16" i="5"/>
  <c r="F16" i="5"/>
  <c r="G16" i="5"/>
  <c r="B17" i="5"/>
  <c r="C17" i="5"/>
  <c r="F17" i="5"/>
  <c r="G17" i="5"/>
  <c r="B18" i="5"/>
  <c r="C18" i="5"/>
  <c r="F18" i="5"/>
  <c r="G18" i="5"/>
  <c r="B19" i="5"/>
  <c r="C19" i="5"/>
  <c r="F19" i="5"/>
  <c r="G19" i="5"/>
  <c r="B20" i="5"/>
  <c r="C20" i="5"/>
  <c r="F20" i="5"/>
  <c r="G20" i="5"/>
  <c r="B21" i="5"/>
  <c r="C21" i="5"/>
  <c r="F21" i="5"/>
  <c r="G21" i="5"/>
  <c r="B22" i="5"/>
  <c r="C22" i="5"/>
  <c r="F22" i="5"/>
  <c r="G22" i="5"/>
  <c r="B23" i="5"/>
  <c r="C23" i="5"/>
  <c r="F23" i="5"/>
  <c r="G23" i="5"/>
  <c r="B24" i="5"/>
  <c r="C24" i="5"/>
  <c r="F24" i="5"/>
  <c r="G24" i="5"/>
  <c r="B25" i="5"/>
  <c r="C25" i="5"/>
  <c r="F25" i="5"/>
  <c r="G25" i="5"/>
  <c r="G12" i="5"/>
  <c r="F12" i="5"/>
  <c r="C12" i="5"/>
  <c r="B12" i="5"/>
  <c r="A13" i="6"/>
  <c r="B13" i="6"/>
  <c r="C13" i="6"/>
  <c r="A14" i="6"/>
  <c r="B14" i="6"/>
  <c r="C14" i="6"/>
  <c r="A15" i="6"/>
  <c r="B15" i="6"/>
  <c r="C15" i="6"/>
  <c r="A16" i="6"/>
  <c r="B16" i="6"/>
  <c r="C16" i="6"/>
  <c r="A17" i="6"/>
  <c r="B17" i="6"/>
  <c r="C17" i="6"/>
  <c r="A18" i="6"/>
  <c r="B18" i="6"/>
  <c r="C18" i="6"/>
  <c r="A19" i="6"/>
  <c r="B19" i="6"/>
  <c r="C19" i="6"/>
  <c r="A20" i="6"/>
  <c r="B20" i="6"/>
  <c r="C20" i="6"/>
  <c r="A21" i="6"/>
  <c r="B21" i="6"/>
  <c r="C21" i="6"/>
  <c r="A22" i="6"/>
  <c r="B22" i="6"/>
  <c r="C22" i="6"/>
  <c r="A23" i="6"/>
  <c r="B23" i="6"/>
  <c r="C23" i="6"/>
  <c r="A24" i="6"/>
  <c r="B24" i="6"/>
  <c r="C24" i="6"/>
  <c r="A25" i="6"/>
  <c r="B25" i="6"/>
  <c r="C25" i="6"/>
  <c r="A26" i="6"/>
  <c r="B26" i="6"/>
  <c r="C26" i="6"/>
  <c r="A27" i="6"/>
  <c r="B27" i="6"/>
  <c r="C27" i="6"/>
  <c r="A28" i="6"/>
  <c r="B28" i="6"/>
  <c r="C28" i="6"/>
  <c r="A29" i="6"/>
  <c r="B29" i="6"/>
  <c r="C29" i="6"/>
  <c r="A30" i="6"/>
  <c r="B30" i="6"/>
  <c r="C30" i="6"/>
  <c r="A31" i="6"/>
  <c r="B31" i="6"/>
  <c r="C31" i="6"/>
  <c r="A32" i="6"/>
  <c r="B32" i="6"/>
  <c r="C32" i="6"/>
  <c r="A33" i="6"/>
  <c r="B33" i="6"/>
  <c r="C33" i="6"/>
  <c r="C12" i="6"/>
  <c r="B12" i="6"/>
  <c r="A12" i="6"/>
  <c r="B15" i="4"/>
  <c r="C15" i="4"/>
  <c r="D15" i="4"/>
  <c r="G15" i="4" s="1"/>
  <c r="E15" i="4"/>
  <c r="N15" i="4"/>
  <c r="B16" i="4"/>
  <c r="C16" i="4"/>
  <c r="F16" i="4" s="1"/>
  <c r="D16" i="4"/>
  <c r="G16" i="4" s="1"/>
  <c r="E16" i="4"/>
  <c r="N16" i="4"/>
  <c r="B17" i="4"/>
  <c r="C17" i="4"/>
  <c r="D17" i="4"/>
  <c r="G17" i="4" s="1"/>
  <c r="E17" i="4"/>
  <c r="N17" i="4"/>
  <c r="B18" i="4"/>
  <c r="C18" i="4"/>
  <c r="D18" i="4"/>
  <c r="G18" i="4" s="1"/>
  <c r="E18" i="4"/>
  <c r="N18" i="4"/>
  <c r="B19" i="4"/>
  <c r="C19" i="4"/>
  <c r="D19" i="4"/>
  <c r="G19" i="4" s="1"/>
  <c r="E19" i="4"/>
  <c r="N19" i="4"/>
  <c r="B20" i="4"/>
  <c r="C20" i="4"/>
  <c r="D20" i="4"/>
  <c r="G20" i="4" s="1"/>
  <c r="E20" i="4"/>
  <c r="N20" i="4"/>
  <c r="B21" i="4"/>
  <c r="C21" i="4"/>
  <c r="D21" i="4"/>
  <c r="G21" i="4" s="1"/>
  <c r="E21" i="4"/>
  <c r="N21" i="4"/>
  <c r="B22" i="4"/>
  <c r="C22" i="4"/>
  <c r="D22" i="4"/>
  <c r="G22" i="4" s="1"/>
  <c r="E22" i="4"/>
  <c r="N22" i="4"/>
  <c r="B23" i="4"/>
  <c r="C23" i="4"/>
  <c r="F23" i="4" s="1"/>
  <c r="D23" i="4"/>
  <c r="G23" i="4" s="1"/>
  <c r="E23" i="4"/>
  <c r="N23" i="4"/>
  <c r="B24" i="4"/>
  <c r="C24" i="4"/>
  <c r="D24" i="4"/>
  <c r="G24" i="4" s="1"/>
  <c r="E24" i="4"/>
  <c r="N24" i="4"/>
  <c r="B25" i="4"/>
  <c r="C25" i="4"/>
  <c r="D25" i="4"/>
  <c r="G25" i="4" s="1"/>
  <c r="E25" i="4"/>
  <c r="N25" i="4"/>
  <c r="B26" i="4"/>
  <c r="C26" i="4"/>
  <c r="D26" i="4"/>
  <c r="G26" i="4" s="1"/>
  <c r="E26" i="4"/>
  <c r="N26" i="4"/>
  <c r="B27" i="4"/>
  <c r="C27" i="4"/>
  <c r="D27" i="4"/>
  <c r="G27" i="4" s="1"/>
  <c r="E27" i="4"/>
  <c r="N27" i="4"/>
  <c r="B28" i="4"/>
  <c r="C28" i="4"/>
  <c r="D28" i="4"/>
  <c r="G28" i="4" s="1"/>
  <c r="E28" i="4"/>
  <c r="N28" i="4"/>
  <c r="B29" i="4"/>
  <c r="C29" i="4"/>
  <c r="D29" i="4"/>
  <c r="G29" i="4" s="1"/>
  <c r="E29" i="4"/>
  <c r="N29" i="4"/>
  <c r="B30" i="4"/>
  <c r="C30" i="4"/>
  <c r="D30" i="4"/>
  <c r="G30" i="4" s="1"/>
  <c r="E30" i="4"/>
  <c r="N30" i="4"/>
  <c r="B31" i="4"/>
  <c r="C31" i="4"/>
  <c r="D31" i="4"/>
  <c r="G31" i="4" s="1"/>
  <c r="E31" i="4"/>
  <c r="N31" i="4"/>
  <c r="B32" i="4"/>
  <c r="C32" i="4"/>
  <c r="F32" i="4" s="1"/>
  <c r="D32" i="4"/>
  <c r="G32" i="4" s="1"/>
  <c r="E32" i="4"/>
  <c r="N32" i="4"/>
  <c r="B33" i="4"/>
  <c r="C33" i="4"/>
  <c r="D33" i="4"/>
  <c r="G33" i="4" s="1"/>
  <c r="E33" i="4"/>
  <c r="N33" i="4"/>
  <c r="B34" i="4"/>
  <c r="C34" i="4"/>
  <c r="D34" i="4"/>
  <c r="G34" i="4" s="1"/>
  <c r="E34" i="4"/>
  <c r="N34" i="4"/>
  <c r="B35" i="4"/>
  <c r="C35" i="4"/>
  <c r="F35" i="4" s="1"/>
  <c r="D35" i="4"/>
  <c r="G35" i="4" s="1"/>
  <c r="E35" i="4"/>
  <c r="N35" i="4"/>
  <c r="B36" i="4"/>
  <c r="C36" i="4"/>
  <c r="D36" i="4"/>
  <c r="G36" i="4" s="1"/>
  <c r="E36" i="4"/>
  <c r="N36" i="4"/>
  <c r="B37" i="4"/>
  <c r="C37" i="4"/>
  <c r="D37" i="4"/>
  <c r="G37" i="4" s="1"/>
  <c r="E37" i="4"/>
  <c r="N37" i="4"/>
  <c r="B38" i="4"/>
  <c r="C38" i="4"/>
  <c r="D38" i="4"/>
  <c r="G38" i="4" s="1"/>
  <c r="E38" i="4"/>
  <c r="N38" i="4"/>
  <c r="B39" i="4"/>
  <c r="C39" i="4"/>
  <c r="D39" i="4"/>
  <c r="G39" i="4" s="1"/>
  <c r="E39" i="4"/>
  <c r="N39" i="4"/>
  <c r="B40" i="4"/>
  <c r="C40" i="4"/>
  <c r="F40" i="4" s="1"/>
  <c r="D40" i="4"/>
  <c r="G40" i="4" s="1"/>
  <c r="E40" i="4"/>
  <c r="N40" i="4"/>
  <c r="B41" i="4"/>
  <c r="C41" i="4"/>
  <c r="D41" i="4"/>
  <c r="G41" i="4" s="1"/>
  <c r="E41" i="4"/>
  <c r="N41" i="4"/>
  <c r="N14" i="4"/>
  <c r="E14" i="4"/>
  <c r="D14" i="4"/>
  <c r="G14" i="4" s="1"/>
  <c r="C14" i="4"/>
  <c r="B14" i="4"/>
  <c r="N13" i="4"/>
  <c r="E13" i="4"/>
  <c r="D13" i="4"/>
  <c r="C13" i="4"/>
  <c r="B13" i="4"/>
  <c r="F30" i="4" l="1"/>
  <c r="F22" i="4"/>
  <c r="F18" i="4"/>
  <c r="F33" i="4"/>
  <c r="F29" i="4"/>
  <c r="F25" i="4"/>
  <c r="F38" i="4"/>
  <c r="F34" i="4"/>
  <c r="F31" i="4"/>
  <c r="F21" i="4"/>
  <c r="F17" i="4"/>
  <c r="F37" i="4"/>
  <c r="F39" i="4"/>
  <c r="F36" i="4"/>
  <c r="F41" i="4"/>
  <c r="F19" i="4"/>
  <c r="F28" i="4"/>
  <c r="F27" i="4"/>
  <c r="F26" i="4"/>
  <c r="F24" i="4"/>
  <c r="I25" i="5"/>
  <c r="I24" i="5"/>
  <c r="I23" i="5"/>
  <c r="I22" i="5"/>
  <c r="I21" i="5"/>
  <c r="I20" i="5"/>
  <c r="I19" i="5"/>
  <c r="I18" i="5"/>
  <c r="I17" i="5"/>
  <c r="I16" i="5"/>
  <c r="I15" i="5"/>
  <c r="I14" i="5"/>
  <c r="I13" i="5"/>
  <c r="I12" i="5"/>
  <c r="F20" i="4"/>
  <c r="F15" i="4"/>
  <c r="F13" i="4"/>
  <c r="F14" i="4"/>
  <c r="P18" i="5"/>
  <c r="E22" i="5"/>
  <c r="J22" i="5" s="1"/>
  <c r="E25" i="5"/>
  <c r="M25" i="5" s="1"/>
  <c r="P13" i="5"/>
  <c r="P21" i="5"/>
  <c r="P14" i="5"/>
  <c r="P22" i="5"/>
  <c r="E14" i="5"/>
  <c r="J14" i="5" s="1"/>
  <c r="P17" i="5"/>
  <c r="E18" i="5"/>
  <c r="J18" i="5" s="1"/>
  <c r="P23" i="5"/>
  <c r="P19" i="5"/>
  <c r="P15" i="5"/>
  <c r="P25" i="5"/>
  <c r="P24" i="5"/>
  <c r="P20" i="5"/>
  <c r="P16" i="5"/>
  <c r="P12" i="5"/>
  <c r="H26" i="9"/>
  <c r="K20" i="9"/>
  <c r="K23" i="9"/>
  <c r="C17" i="9"/>
  <c r="C24" i="9"/>
  <c r="C23" i="9"/>
  <c r="C22" i="9"/>
  <c r="C21" i="9"/>
  <c r="C20" i="9"/>
  <c r="F20" i="9" s="1"/>
  <c r="I20" i="9" s="1"/>
  <c r="J25" i="5" l="1"/>
  <c r="M18" i="5"/>
  <c r="M22" i="5"/>
  <c r="M14" i="5"/>
  <c r="V11" i="7"/>
  <c r="T11" i="7"/>
  <c r="R11" i="7"/>
  <c r="P11" i="7"/>
  <c r="N11" i="7"/>
  <c r="L11" i="7"/>
  <c r="J11" i="7"/>
  <c r="H11" i="7"/>
  <c r="F10" i="7"/>
  <c r="D10" i="7"/>
  <c r="W10" i="7" l="1"/>
  <c r="W11" i="7"/>
  <c r="B9" i="7"/>
  <c r="F3" i="5"/>
  <c r="I3" i="5" s="1"/>
  <c r="F6" i="5"/>
  <c r="G6" i="5"/>
  <c r="F7" i="5"/>
  <c r="G7" i="5"/>
  <c r="F8" i="5"/>
  <c r="G8" i="5"/>
  <c r="F9" i="5"/>
  <c r="G9" i="5"/>
  <c r="F10" i="5"/>
  <c r="G10" i="5"/>
  <c r="F11" i="5"/>
  <c r="G11" i="5"/>
  <c r="G5" i="5"/>
  <c r="F5" i="5"/>
  <c r="G4" i="5"/>
  <c r="F4" i="5"/>
  <c r="I11" i="5" l="1"/>
  <c r="I9" i="5"/>
  <c r="I7" i="5"/>
  <c r="I4" i="5"/>
  <c r="I10" i="5"/>
  <c r="I8" i="5"/>
  <c r="I6" i="5"/>
  <c r="I5" i="5"/>
  <c r="C4" i="5"/>
  <c r="C5" i="5"/>
  <c r="C6" i="5"/>
  <c r="C7" i="5"/>
  <c r="C8" i="5"/>
  <c r="C9" i="5"/>
  <c r="C10" i="5"/>
  <c r="C11" i="5"/>
  <c r="C3" i="5"/>
  <c r="B5" i="5"/>
  <c r="B4" i="5"/>
  <c r="B3" i="5"/>
  <c r="C4" i="6"/>
  <c r="C5" i="6"/>
  <c r="C6" i="6"/>
  <c r="C7" i="6"/>
  <c r="C8" i="6"/>
  <c r="C9" i="6"/>
  <c r="C10" i="6"/>
  <c r="C11" i="6"/>
  <c r="C3" i="6"/>
  <c r="A6" i="6"/>
  <c r="B5" i="6"/>
  <c r="B4" i="6"/>
  <c r="B3" i="6"/>
  <c r="B12" i="4"/>
  <c r="C12" i="4"/>
  <c r="D12" i="4"/>
  <c r="G12" i="4" s="1"/>
  <c r="E12" i="4"/>
  <c r="N12" i="4"/>
  <c r="B8" i="4"/>
  <c r="C8" i="4"/>
  <c r="D8" i="4"/>
  <c r="G8" i="4" s="1"/>
  <c r="E8" i="4"/>
  <c r="N8" i="4"/>
  <c r="B9" i="4"/>
  <c r="C9" i="4"/>
  <c r="D9" i="4"/>
  <c r="G9" i="4" s="1"/>
  <c r="E9" i="4"/>
  <c r="F9" i="4"/>
  <c r="N9" i="4"/>
  <c r="B10" i="4"/>
  <c r="C10" i="4"/>
  <c r="D10" i="4"/>
  <c r="G10" i="4" s="1"/>
  <c r="E10" i="4"/>
  <c r="N10" i="4"/>
  <c r="B11" i="4"/>
  <c r="C11" i="4"/>
  <c r="D11" i="4"/>
  <c r="G11" i="4" s="1"/>
  <c r="E11" i="4"/>
  <c r="N11" i="4"/>
  <c r="I3" i="4"/>
  <c r="P3" i="4"/>
  <c r="Q3" i="4"/>
  <c r="Q4" i="3"/>
  <c r="Q5" i="3"/>
  <c r="Q6" i="3"/>
  <c r="Q7" i="3"/>
  <c r="Q8" i="3"/>
  <c r="Q9" i="3"/>
  <c r="Q10" i="3"/>
  <c r="Q11" i="3"/>
  <c r="Q12" i="3"/>
  <c r="Q13" i="3"/>
  <c r="Q14" i="3"/>
  <c r="Q15" i="3"/>
  <c r="Q16" i="3"/>
  <c r="Q17" i="3"/>
  <c r="Q18" i="3"/>
  <c r="Q19" i="3"/>
  <c r="Q20" i="3"/>
  <c r="Q21" i="3"/>
  <c r="Q22" i="3"/>
  <c r="Q23" i="3"/>
  <c r="Q24" i="3"/>
  <c r="Q25" i="3"/>
  <c r="Q26" i="3"/>
  <c r="Q27" i="3"/>
  <c r="Q28" i="3"/>
  <c r="Q29" i="3"/>
  <c r="Q30" i="3"/>
  <c r="Q31" i="3"/>
  <c r="Q32" i="3"/>
  <c r="Q33" i="3"/>
  <c r="Q34" i="3"/>
  <c r="Q35" i="3"/>
  <c r="Q36" i="3"/>
  <c r="Q37" i="3"/>
  <c r="Q38" i="3"/>
  <c r="Q40" i="3"/>
  <c r="Q43" i="3"/>
  <c r="Q44" i="3"/>
  <c r="Q45" i="3"/>
  <c r="Q46" i="3"/>
  <c r="Q47" i="3"/>
  <c r="Q48" i="3"/>
  <c r="Q49" i="3"/>
  <c r="Q50" i="3"/>
  <c r="Q51" i="3"/>
  <c r="Q52" i="3"/>
  <c r="Q53" i="3"/>
  <c r="Q54" i="3"/>
  <c r="Q55" i="3"/>
  <c r="Q56" i="3"/>
  <c r="Q57" i="3"/>
  <c r="Q58" i="3"/>
  <c r="Q59" i="3"/>
  <c r="Q60" i="3"/>
  <c r="Q61" i="3"/>
  <c r="Q62" i="3"/>
  <c r="Q63" i="3"/>
  <c r="Q64" i="3"/>
  <c r="Q65" i="3"/>
  <c r="Q66" i="3"/>
  <c r="Q67" i="3"/>
  <c r="Q68" i="3"/>
  <c r="Q69" i="3"/>
  <c r="Q70" i="3"/>
  <c r="Q71" i="3"/>
  <c r="Q72" i="3"/>
  <c r="Q73" i="3"/>
  <c r="Q74" i="3"/>
  <c r="Q75" i="3"/>
  <c r="Q76" i="3"/>
  <c r="Q77" i="3"/>
  <c r="Q78" i="3"/>
  <c r="Q79" i="3"/>
  <c r="Q80" i="3"/>
  <c r="Q81" i="3"/>
  <c r="Q82" i="3"/>
  <c r="Q83" i="3"/>
  <c r="Q84" i="3"/>
  <c r="Q85" i="3"/>
  <c r="Q86" i="3"/>
  <c r="Q87" i="3"/>
  <c r="Q88" i="3"/>
  <c r="Q89" i="3"/>
  <c r="Q90" i="3"/>
  <c r="Q91" i="3"/>
  <c r="Q92" i="3"/>
  <c r="Q93" i="3"/>
  <c r="Q94" i="3"/>
  <c r="Q95" i="3"/>
  <c r="Q96" i="3"/>
  <c r="Q97" i="3"/>
  <c r="Q98" i="3"/>
  <c r="Q99" i="3"/>
  <c r="Q100" i="3"/>
  <c r="Q101" i="3"/>
  <c r="Q102" i="3"/>
  <c r="Q103" i="3"/>
  <c r="Q104" i="3"/>
  <c r="Q3" i="3"/>
  <c r="F10" i="4" l="1"/>
  <c r="F8" i="4"/>
  <c r="F11" i="4"/>
  <c r="F12" i="4"/>
  <c r="P3" i="5"/>
  <c r="P4" i="5"/>
  <c r="P5" i="5"/>
  <c r="A94" i="3"/>
  <c r="A95" i="3"/>
  <c r="A96" i="3"/>
  <c r="A97" i="3"/>
  <c r="A98" i="3"/>
  <c r="A99" i="3"/>
  <c r="A100" i="3"/>
  <c r="A101" i="3"/>
  <c r="A102" i="3"/>
  <c r="A103" i="3"/>
  <c r="A104" i="3"/>
  <c r="V5" i="7"/>
  <c r="T5" i="7"/>
  <c r="R5" i="7"/>
  <c r="P5" i="7"/>
  <c r="N5" i="7"/>
  <c r="L5" i="7"/>
  <c r="J5" i="7"/>
  <c r="H5" i="7"/>
  <c r="F4" i="7"/>
  <c r="D4" i="7"/>
  <c r="W4" i="7" l="1"/>
  <c r="W5" i="7"/>
  <c r="B3" i="7"/>
  <c r="G13" i="4" l="1"/>
  <c r="A89" i="3" l="1"/>
  <c r="A90" i="3"/>
  <c r="A91" i="3"/>
  <c r="A92" i="3"/>
  <c r="A93" i="3"/>
  <c r="A83" i="3" l="1"/>
  <c r="A84" i="3"/>
  <c r="A85" i="3"/>
  <c r="A86" i="3"/>
  <c r="A87" i="3"/>
  <c r="A88" i="3"/>
  <c r="A74" i="3" l="1"/>
  <c r="A73" i="3"/>
  <c r="A69" i="3" l="1"/>
  <c r="A70" i="3"/>
  <c r="A71" i="3"/>
  <c r="A75" i="3" l="1"/>
  <c r="A76" i="3"/>
  <c r="A77" i="3"/>
  <c r="A78" i="3"/>
  <c r="A79" i="3"/>
  <c r="A80" i="3"/>
  <c r="A81" i="3"/>
  <c r="A82" i="3"/>
  <c r="A66" i="3" l="1"/>
  <c r="A67" i="3"/>
  <c r="A68" i="3"/>
  <c r="A72" i="3"/>
  <c r="A62" i="3" l="1"/>
  <c r="A63" i="3"/>
  <c r="A64" i="3"/>
  <c r="A65" i="3"/>
  <c r="A54" i="3" l="1"/>
  <c r="D26" i="9" l="1"/>
  <c r="E26" i="9"/>
  <c r="A55" i="3" l="1"/>
  <c r="A56" i="3"/>
  <c r="A57" i="3"/>
  <c r="A58" i="3"/>
  <c r="A59" i="3"/>
  <c r="A60" i="3"/>
  <c r="A61" i="3"/>
  <c r="K21" i="9" l="1"/>
  <c r="K26" i="9" s="1"/>
  <c r="F24" i="9" l="1"/>
  <c r="I24" i="9" s="1"/>
  <c r="J24" i="9" l="1"/>
  <c r="A48" i="3"/>
  <c r="A49" i="3"/>
  <c r="A50" i="3"/>
  <c r="A51" i="3"/>
  <c r="A52" i="3"/>
  <c r="A53" i="3"/>
  <c r="J26" i="9" l="1"/>
  <c r="V10" i="3"/>
  <c r="F21" i="9" l="1"/>
  <c r="I21" i="9" l="1"/>
  <c r="B6" i="6" l="1"/>
  <c r="B11" i="6" l="1"/>
  <c r="A11" i="6"/>
  <c r="B10" i="6"/>
  <c r="A10" i="6"/>
  <c r="B9" i="6"/>
  <c r="A9" i="6"/>
  <c r="B8" i="6"/>
  <c r="A8" i="6"/>
  <c r="B7" i="6"/>
  <c r="A7" i="6"/>
  <c r="P11" i="5"/>
  <c r="B11" i="5"/>
  <c r="P10" i="5"/>
  <c r="B10" i="5"/>
  <c r="P9" i="5"/>
  <c r="B9" i="5"/>
  <c r="P8" i="5"/>
  <c r="B8" i="5"/>
  <c r="P7" i="5"/>
  <c r="B7" i="5"/>
  <c r="P6" i="5"/>
  <c r="B6" i="5"/>
  <c r="N7" i="4"/>
  <c r="E7" i="4"/>
  <c r="D7" i="4"/>
  <c r="G7" i="4" s="1"/>
  <c r="C7" i="4"/>
  <c r="B7" i="4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V11" i="3"/>
  <c r="A10" i="3"/>
  <c r="V9" i="3"/>
  <c r="A9" i="3"/>
  <c r="V8" i="3"/>
  <c r="A8" i="3"/>
  <c r="V7" i="3"/>
  <c r="A7" i="3"/>
  <c r="V6" i="3"/>
  <c r="A6" i="3"/>
  <c r="V5" i="3"/>
  <c r="A5" i="3"/>
  <c r="V4" i="3"/>
  <c r="A4" i="3"/>
  <c r="V3" i="3"/>
  <c r="A3" i="3"/>
  <c r="F7" i="4" l="1"/>
  <c r="F22" i="9" l="1"/>
  <c r="I22" i="9" s="1"/>
  <c r="F23" i="9"/>
  <c r="F12" i="9"/>
  <c r="H11" i="9"/>
  <c r="H14" i="9" s="1"/>
  <c r="L11" i="9"/>
  <c r="L14" i="9" s="1"/>
  <c r="O5" i="9"/>
  <c r="H5" i="9"/>
  <c r="P5" i="9"/>
  <c r="I12" i="9"/>
  <c r="D12" i="9"/>
  <c r="P4" i="9"/>
  <c r="P7" i="9" s="1"/>
  <c r="C4" i="9"/>
  <c r="I5" i="9"/>
  <c r="G4" i="9"/>
  <c r="J12" i="9"/>
  <c r="J11" i="9"/>
  <c r="J14" i="9" s="1"/>
  <c r="E11" i="9"/>
  <c r="F4" i="9"/>
  <c r="F7" i="9" s="1"/>
  <c r="L12" i="9"/>
  <c r="I11" i="9"/>
  <c r="M4" i="9"/>
  <c r="K12" i="9"/>
  <c r="K11" i="9"/>
  <c r="C5" i="9"/>
  <c r="M5" i="9"/>
  <c r="F5" i="9"/>
  <c r="L4" i="9"/>
  <c r="L7" i="9" s="1"/>
  <c r="H4" i="9"/>
  <c r="H7" i="9" s="1"/>
  <c r="K4" i="9"/>
  <c r="E4" i="9"/>
  <c r="G11" i="9"/>
  <c r="O4" i="9"/>
  <c r="K5" i="9"/>
  <c r="I4" i="9"/>
  <c r="E5" i="9"/>
  <c r="G12" i="9"/>
  <c r="D11" i="9"/>
  <c r="D14" i="9" s="1"/>
  <c r="N5" i="9"/>
  <c r="D4" i="9"/>
  <c r="D5" i="9"/>
  <c r="E12" i="9"/>
  <c r="E14" i="9" s="1"/>
  <c r="J4" i="9"/>
  <c r="J7" i="9" s="1"/>
  <c r="L5" i="9"/>
  <c r="C11" i="9"/>
  <c r="H12" i="9"/>
  <c r="G5" i="9"/>
  <c r="G7" i="9" s="1"/>
  <c r="C12" i="9"/>
  <c r="N4" i="9"/>
  <c r="N7" i="9" s="1"/>
  <c r="J5" i="9"/>
  <c r="F11" i="9"/>
  <c r="F14" i="9" s="1"/>
  <c r="M7" i="9" l="1"/>
  <c r="C7" i="9"/>
  <c r="K14" i="9"/>
  <c r="K7" i="9"/>
  <c r="G14" i="9"/>
  <c r="C14" i="9"/>
  <c r="E7" i="9"/>
  <c r="O7" i="9"/>
  <c r="I23" i="9"/>
  <c r="I7" i="9"/>
  <c r="I14" i="9"/>
  <c r="D7" i="9"/>
  <c r="C26" i="9"/>
  <c r="C13" i="9"/>
  <c r="I13" i="9"/>
  <c r="O6" i="9"/>
  <c r="K13" i="9"/>
  <c r="E13" i="9"/>
  <c r="G6" i="9"/>
  <c r="E6" i="9"/>
  <c r="K6" i="9"/>
  <c r="M6" i="9"/>
  <c r="I6" i="9"/>
  <c r="G13" i="9"/>
  <c r="C6" i="9"/>
  <c r="C16" i="9" l="1"/>
  <c r="I26" i="9"/>
  <c r="E4" i="5" l="1"/>
  <c r="J4" i="5" s="1"/>
  <c r="D4" i="5"/>
  <c r="K4" i="5" s="1"/>
  <c r="E3" i="5"/>
  <c r="J3" i="5" s="1"/>
  <c r="D3" i="5"/>
  <c r="K3" i="5" s="1"/>
  <c r="E5" i="5"/>
  <c r="J5" i="5" s="1"/>
  <c r="D5" i="5"/>
  <c r="K5" i="5" s="1"/>
  <c r="M5" i="5" l="1"/>
  <c r="M4" i="5"/>
  <c r="N3" i="5"/>
  <c r="M3" i="5"/>
  <c r="N5" i="5"/>
  <c r="N4" i="5"/>
  <c r="E15" i="5" l="1"/>
  <c r="J15" i="5" s="1"/>
  <c r="D15" i="5"/>
  <c r="K15" i="5" s="1"/>
  <c r="E19" i="5"/>
  <c r="J19" i="5" s="1"/>
  <c r="D19" i="5"/>
  <c r="K19" i="5" s="1"/>
  <c r="D14" i="5"/>
  <c r="K14" i="5" s="1"/>
  <c r="E6" i="5"/>
  <c r="J6" i="5" s="1"/>
  <c r="D6" i="5"/>
  <c r="K6" i="5" s="1"/>
  <c r="E17" i="5"/>
  <c r="J17" i="5" s="1"/>
  <c r="D17" i="5"/>
  <c r="K17" i="5" s="1"/>
  <c r="D18" i="5"/>
  <c r="K18" i="5" s="1"/>
  <c r="E21" i="5"/>
  <c r="J21" i="5" s="1"/>
  <c r="D21" i="5"/>
  <c r="K21" i="5" s="1"/>
  <c r="E10" i="5"/>
  <c r="J10" i="5" s="1"/>
  <c r="D10" i="5"/>
  <c r="K10" i="5" s="1"/>
  <c r="E16" i="5"/>
  <c r="J16" i="5" s="1"/>
  <c r="D16" i="5"/>
  <c r="K16" i="5" s="1"/>
  <c r="E8" i="5"/>
  <c r="J8" i="5" s="1"/>
  <c r="D8" i="5"/>
  <c r="K8" i="5" s="1"/>
  <c r="E7" i="5"/>
  <c r="J7" i="5" s="1"/>
  <c r="D7" i="5"/>
  <c r="K7" i="5" s="1"/>
  <c r="E11" i="5"/>
  <c r="J11" i="5" s="1"/>
  <c r="D11" i="5"/>
  <c r="K11" i="5" s="1"/>
  <c r="E13" i="5"/>
  <c r="J13" i="5" s="1"/>
  <c r="D13" i="5"/>
  <c r="K13" i="5" s="1"/>
  <c r="E12" i="5"/>
  <c r="J12" i="5" s="1"/>
  <c r="D12" i="5"/>
  <c r="K12" i="5" s="1"/>
  <c r="D22" i="5"/>
  <c r="K22" i="5" s="1"/>
  <c r="D25" i="5"/>
  <c r="K25" i="5" s="1"/>
  <c r="E23" i="5"/>
  <c r="J23" i="5" s="1"/>
  <c r="D23" i="5"/>
  <c r="K23" i="5" s="1"/>
  <c r="E20" i="5"/>
  <c r="J20" i="5" s="1"/>
  <c r="D20" i="5"/>
  <c r="K20" i="5" s="1"/>
  <c r="E24" i="5"/>
  <c r="J24" i="5" s="1"/>
  <c r="D24" i="5"/>
  <c r="K24" i="5" s="1"/>
  <c r="E9" i="5"/>
  <c r="J9" i="5" s="1"/>
  <c r="D9" i="5"/>
  <c r="K9" i="5" s="1"/>
  <c r="M9" i="5" l="1"/>
  <c r="M23" i="5"/>
  <c r="N13" i="5"/>
  <c r="M19" i="5"/>
  <c r="N24" i="5"/>
  <c r="N25" i="5"/>
  <c r="M13" i="5"/>
  <c r="M12" i="5"/>
  <c r="N7" i="5"/>
  <c r="N8" i="5"/>
  <c r="M21" i="5"/>
  <c r="N9" i="5"/>
  <c r="M24" i="5"/>
  <c r="N20" i="5"/>
  <c r="N22" i="5"/>
  <c r="N11" i="5"/>
  <c r="M7" i="5"/>
  <c r="M8" i="5"/>
  <c r="M16" i="5"/>
  <c r="M10" i="5"/>
  <c r="N18" i="5"/>
  <c r="M17" i="5"/>
  <c r="N12" i="5"/>
  <c r="N15" i="5"/>
  <c r="N16" i="5"/>
  <c r="N21" i="5"/>
  <c r="N17" i="5"/>
  <c r="N6" i="5"/>
  <c r="M15" i="5"/>
  <c r="M20" i="5"/>
  <c r="M11" i="5"/>
  <c r="N14" i="5"/>
  <c r="N23" i="5"/>
  <c r="N10" i="5"/>
  <c r="M6" i="5"/>
  <c r="N19" i="5"/>
  <c r="D4" i="6"/>
  <c r="R4" i="5" s="1"/>
  <c r="D5" i="6"/>
  <c r="R5" i="5" s="1"/>
  <c r="D3" i="6"/>
  <c r="R3" i="5" s="1"/>
  <c r="D27" i="6"/>
  <c r="R27" i="5" s="1"/>
  <c r="S27" i="5" s="1"/>
  <c r="D15" i="6"/>
  <c r="R15" i="5" s="1"/>
  <c r="D30" i="6"/>
  <c r="R30" i="5" s="1"/>
  <c r="S30" i="5" s="1"/>
  <c r="D26" i="6"/>
  <c r="R26" i="5" s="1"/>
  <c r="S26" i="5" s="1"/>
  <c r="D16" i="6"/>
  <c r="R16" i="5" s="1"/>
  <c r="D24" i="6"/>
  <c r="D13" i="6"/>
  <c r="R13" i="5" s="1"/>
  <c r="D29" i="6"/>
  <c r="R29" i="5" s="1"/>
  <c r="S29" i="5" s="1"/>
  <c r="D33" i="6"/>
  <c r="R33" i="5" s="1"/>
  <c r="S33" i="5" s="1"/>
  <c r="D9" i="6"/>
  <c r="D22" i="6"/>
  <c r="R22" i="5" s="1"/>
  <c r="D31" i="6"/>
  <c r="R31" i="5" s="1"/>
  <c r="S31" i="5" s="1"/>
  <c r="D25" i="6"/>
  <c r="D23" i="6"/>
  <c r="R23" i="5" s="1"/>
  <c r="D6" i="6"/>
  <c r="D18" i="6"/>
  <c r="D11" i="6"/>
  <c r="R11" i="5" s="1"/>
  <c r="D19" i="6"/>
  <c r="R19" i="5" s="1"/>
  <c r="D17" i="6"/>
  <c r="R17" i="5" s="1"/>
  <c r="D21" i="6"/>
  <c r="D20" i="6"/>
  <c r="D10" i="6"/>
  <c r="R10" i="5" s="1"/>
  <c r="D32" i="6"/>
  <c r="R32" i="5" s="1"/>
  <c r="S32" i="5" s="1"/>
  <c r="D14" i="6"/>
  <c r="D7" i="6"/>
  <c r="R7" i="5" s="1"/>
  <c r="D12" i="6"/>
  <c r="R12" i="5" s="1"/>
  <c r="D8" i="6"/>
  <c r="D28" i="6"/>
  <c r="R28" i="5" s="1"/>
  <c r="S28" i="5" s="1"/>
  <c r="R21" i="5" l="1"/>
  <c r="S21" i="5" s="1"/>
  <c r="R8" i="5"/>
  <c r="S8" i="5" s="1"/>
  <c r="R6" i="5"/>
  <c r="S6" i="5" s="1"/>
  <c r="S5" i="5"/>
  <c r="R20" i="5"/>
  <c r="S20" i="5" s="1"/>
  <c r="R25" i="5"/>
  <c r="S25" i="5" s="1"/>
  <c r="R14" i="5"/>
  <c r="S14" i="5" s="1"/>
  <c r="R18" i="5"/>
  <c r="S18" i="5" s="1"/>
  <c r="R9" i="5"/>
  <c r="S9" i="5" s="1"/>
  <c r="R24" i="5"/>
  <c r="S24" i="5" s="1"/>
  <c r="S4" i="5"/>
  <c r="S3" i="5"/>
  <c r="S23" i="5"/>
  <c r="S17" i="5"/>
  <c r="S16" i="5"/>
  <c r="S19" i="5"/>
  <c r="S12" i="5"/>
  <c r="S10" i="5"/>
  <c r="S7" i="5"/>
  <c r="S11" i="5"/>
  <c r="S22" i="5"/>
  <c r="S13" i="5"/>
  <c r="S15" i="5"/>
  <c r="W14" i="5"/>
  <c r="X14" i="5" s="1"/>
  <c r="T16" i="5"/>
  <c r="Q16" i="5" s="1"/>
  <c r="W7" i="5"/>
  <c r="X7" i="5" s="1"/>
  <c r="W12" i="5"/>
  <c r="X12" i="5" s="1"/>
  <c r="T24" i="5"/>
  <c r="T10" i="5"/>
  <c r="Q10" i="5" s="1"/>
  <c r="T25" i="5"/>
  <c r="T13" i="5"/>
  <c r="Q13" i="5" s="1"/>
  <c r="T3" i="5"/>
  <c r="Q3" i="5" s="1"/>
  <c r="T19" i="5"/>
  <c r="Q19" i="5" s="1"/>
  <c r="W9" i="5"/>
  <c r="X9" i="5" s="1"/>
  <c r="W23" i="5"/>
  <c r="X23" i="5" s="1"/>
  <c r="W11" i="5"/>
  <c r="X11" i="5" s="1"/>
  <c r="W20" i="5"/>
  <c r="X20" i="5" s="1"/>
  <c r="T17" i="5"/>
  <c r="Q17" i="5" s="1"/>
  <c r="T4" i="5"/>
  <c r="Q4" i="5" s="1"/>
  <c r="T22" i="5"/>
  <c r="Q22" i="5" s="1"/>
  <c r="T18" i="5"/>
  <c r="Q24" i="5" l="1"/>
  <c r="Q18" i="5"/>
  <c r="U25" i="5"/>
  <c r="Q25" i="5"/>
  <c r="T32" i="5"/>
  <c r="Q32" i="5" s="1"/>
  <c r="W32" i="5"/>
  <c r="X32" i="5" s="1"/>
  <c r="T33" i="5"/>
  <c r="Q33" i="5" s="1"/>
  <c r="W33" i="5"/>
  <c r="X33" i="5" s="1"/>
  <c r="T30" i="5"/>
  <c r="Q30" i="5" s="1"/>
  <c r="W30" i="5"/>
  <c r="X30" i="5" s="1"/>
  <c r="T27" i="5"/>
  <c r="Q27" i="5" s="1"/>
  <c r="W27" i="5"/>
  <c r="X27" i="5" s="1"/>
  <c r="T26" i="5"/>
  <c r="Q26" i="5" s="1"/>
  <c r="W26" i="5"/>
  <c r="X26" i="5" s="1"/>
  <c r="T31" i="5"/>
  <c r="Q31" i="5" s="1"/>
  <c r="W31" i="5"/>
  <c r="X31" i="5" s="1"/>
  <c r="T28" i="5"/>
  <c r="Q28" i="5" s="1"/>
  <c r="W28" i="5"/>
  <c r="X28" i="5" s="1"/>
  <c r="T29" i="5"/>
  <c r="Q29" i="5" s="1"/>
  <c r="W29" i="5"/>
  <c r="X29" i="5" s="1"/>
  <c r="T12" i="5"/>
  <c r="Q12" i="5" s="1"/>
  <c r="W16" i="5"/>
  <c r="X16" i="5" s="1"/>
  <c r="W24" i="5"/>
  <c r="X24" i="5" s="1"/>
  <c r="T7" i="5"/>
  <c r="W18" i="5"/>
  <c r="X18" i="5" s="1"/>
  <c r="W25" i="5"/>
  <c r="X25" i="5" s="1"/>
  <c r="W22" i="5"/>
  <c r="X22" i="5" s="1"/>
  <c r="W13" i="5"/>
  <c r="X13" i="5" s="1"/>
  <c r="T9" i="5"/>
  <c r="T14" i="5"/>
  <c r="T23" i="5"/>
  <c r="Q23" i="5" s="1"/>
  <c r="W3" i="5"/>
  <c r="X3" i="5" s="1"/>
  <c r="T11" i="5"/>
  <c r="U17" i="5"/>
  <c r="T6" i="5"/>
  <c r="Q6" i="5" s="1"/>
  <c r="W6" i="5"/>
  <c r="X6" i="5" s="1"/>
  <c r="U19" i="5"/>
  <c r="T5" i="5"/>
  <c r="Q5" i="5" s="1"/>
  <c r="W5" i="5"/>
  <c r="X5" i="5" s="1"/>
  <c r="W21" i="5"/>
  <c r="X21" i="5" s="1"/>
  <c r="T21" i="5"/>
  <c r="Q21" i="5" s="1"/>
  <c r="W17" i="5"/>
  <c r="X17" i="5" s="1"/>
  <c r="U24" i="5"/>
  <c r="U16" i="5"/>
  <c r="U4" i="5"/>
  <c r="U22" i="5"/>
  <c r="W4" i="5"/>
  <c r="X4" i="5" s="1"/>
  <c r="T15" i="5"/>
  <c r="Q15" i="5" s="1"/>
  <c r="W15" i="5"/>
  <c r="X15" i="5" s="1"/>
  <c r="W19" i="5"/>
  <c r="X19" i="5" s="1"/>
  <c r="T8" i="5"/>
  <c r="Q8" i="5" s="1"/>
  <c r="W8" i="5"/>
  <c r="X8" i="5" s="1"/>
  <c r="T20" i="5"/>
  <c r="Q20" i="5" s="1"/>
  <c r="U3" i="5"/>
  <c r="U13" i="5"/>
  <c r="U10" i="5"/>
  <c r="U18" i="5"/>
  <c r="W10" i="5"/>
  <c r="X10" i="5" s="1"/>
  <c r="U9" i="5" l="1"/>
  <c r="Q9" i="5"/>
  <c r="U14" i="5"/>
  <c r="Q14" i="5"/>
  <c r="U11" i="5"/>
  <c r="Q11" i="5"/>
  <c r="U7" i="5"/>
  <c r="Q7" i="5"/>
  <c r="U33" i="5"/>
  <c r="U32" i="5"/>
  <c r="U27" i="5"/>
  <c r="U31" i="5"/>
  <c r="U29" i="5"/>
  <c r="U28" i="5"/>
  <c r="U26" i="5"/>
  <c r="U30" i="5"/>
  <c r="U12" i="5"/>
  <c r="U23" i="5"/>
  <c r="U20" i="5"/>
  <c r="U15" i="5"/>
  <c r="U21" i="5"/>
  <c r="U8" i="5"/>
  <c r="U5" i="5"/>
  <c r="U6" i="5"/>
  <c r="AC2" i="5" l="1"/>
  <c r="AB2" i="5" s="1"/>
  <c r="AA2" i="5" l="1"/>
  <c r="Z2" i="5"/>
</calcChain>
</file>

<file path=xl/sharedStrings.xml><?xml version="1.0" encoding="utf-8"?>
<sst xmlns="http://schemas.openxmlformats.org/spreadsheetml/2006/main" count="878" uniqueCount="340">
  <si>
    <t>コード</t>
    <phoneticPr fontId="3"/>
  </si>
  <si>
    <t>銘柄名</t>
    <rPh sb="0" eb="2">
      <t>メイガラ</t>
    </rPh>
    <rPh sb="2" eb="3">
      <t>メイ</t>
    </rPh>
    <phoneticPr fontId="3"/>
  </si>
  <si>
    <t>市場</t>
    <rPh sb="0" eb="2">
      <t>シジョウ</t>
    </rPh>
    <phoneticPr fontId="3"/>
  </si>
  <si>
    <t>単元</t>
    <rPh sb="0" eb="2">
      <t>タンゲン</t>
    </rPh>
    <phoneticPr fontId="3"/>
  </si>
  <si>
    <t>現在値</t>
    <rPh sb="0" eb="2">
      <t>ゲンザイ</t>
    </rPh>
    <rPh sb="2" eb="3">
      <t>ネ</t>
    </rPh>
    <phoneticPr fontId="3"/>
  </si>
  <si>
    <t>前日差</t>
    <rPh sb="0" eb="2">
      <t>ゼンジツ</t>
    </rPh>
    <rPh sb="2" eb="3">
      <t>サ</t>
    </rPh>
    <phoneticPr fontId="3"/>
  </si>
  <si>
    <t>前日比(%)</t>
    <rPh sb="0" eb="3">
      <t>ゼンジツヒ</t>
    </rPh>
    <phoneticPr fontId="3"/>
  </si>
  <si>
    <t>出来高</t>
    <rPh sb="0" eb="3">
      <t>デキダカ</t>
    </rPh>
    <phoneticPr fontId="3"/>
  </si>
  <si>
    <t>始値</t>
    <rPh sb="0" eb="2">
      <t>ハジメネ</t>
    </rPh>
    <phoneticPr fontId="3"/>
  </si>
  <si>
    <t>高値</t>
    <rPh sb="0" eb="2">
      <t>タカネ</t>
    </rPh>
    <phoneticPr fontId="3"/>
  </si>
  <si>
    <t>安値</t>
    <rPh sb="0" eb="2">
      <t>ヤスネ</t>
    </rPh>
    <phoneticPr fontId="3"/>
  </si>
  <si>
    <t>日付</t>
    <rPh sb="0" eb="2">
      <t>ヒヅケ</t>
    </rPh>
    <phoneticPr fontId="3"/>
  </si>
  <si>
    <t>時間</t>
    <rPh sb="0" eb="2">
      <t>ジカン</t>
    </rPh>
    <phoneticPr fontId="3"/>
  </si>
  <si>
    <t>最終分割情報</t>
  </si>
  <si>
    <t>Initial Public Offering</t>
  </si>
  <si>
    <t>※当日11:00まで</t>
    <rPh sb="1" eb="3">
      <t>トウジツ</t>
    </rPh>
    <phoneticPr fontId="8"/>
  </si>
  <si>
    <t>※当日か翌営業日</t>
    <rPh sb="1" eb="3">
      <t>トウジツ</t>
    </rPh>
    <rPh sb="4" eb="8">
      <t>ヨクエイギョウビ</t>
    </rPh>
    <phoneticPr fontId="8"/>
  </si>
  <si>
    <t>銘柄名</t>
    <rPh sb="0" eb="2">
      <t>メイガラ</t>
    </rPh>
    <rPh sb="2" eb="3">
      <t>メイ</t>
    </rPh>
    <phoneticPr fontId="8"/>
  </si>
  <si>
    <t>BB開始日</t>
    <rPh sb="2" eb="4">
      <t>カイシ</t>
    </rPh>
    <rPh sb="4" eb="5">
      <t>ビ</t>
    </rPh>
    <phoneticPr fontId="8"/>
  </si>
  <si>
    <t>BB終了日※</t>
    <rPh sb="2" eb="5">
      <t>シュウリョウビ</t>
    </rPh>
    <phoneticPr fontId="8"/>
  </si>
  <si>
    <t>抽選日※</t>
    <rPh sb="0" eb="3">
      <t>チュウセンビ</t>
    </rPh>
    <phoneticPr fontId="8"/>
  </si>
  <si>
    <t>市場</t>
    <rPh sb="0" eb="2">
      <t>シジョウ</t>
    </rPh>
    <phoneticPr fontId="8"/>
  </si>
  <si>
    <t>公開価格</t>
    <rPh sb="0" eb="2">
      <t>コウカイ</t>
    </rPh>
    <rPh sb="2" eb="4">
      <t>カカク</t>
    </rPh>
    <phoneticPr fontId="8"/>
  </si>
  <si>
    <t>評価</t>
    <rPh sb="0" eb="2">
      <t>ヒョウカ</t>
    </rPh>
    <phoneticPr fontId="8"/>
  </si>
  <si>
    <t>マネックス証券</t>
    <rPh sb="5" eb="7">
      <t>ショウケン</t>
    </rPh>
    <phoneticPr fontId="8"/>
  </si>
  <si>
    <t>SMBC日興証券</t>
    <rPh sb="4" eb="6">
      <t>ニッコウ</t>
    </rPh>
    <rPh sb="6" eb="8">
      <t>ショウケン</t>
    </rPh>
    <phoneticPr fontId="8"/>
  </si>
  <si>
    <t>大和証券</t>
    <rPh sb="0" eb="2">
      <t>ダイワ</t>
    </rPh>
    <rPh sb="2" eb="4">
      <t>ショウケン</t>
    </rPh>
    <phoneticPr fontId="8"/>
  </si>
  <si>
    <t>SBI証券</t>
    <rPh sb="3" eb="5">
      <t>ショウケン</t>
    </rPh>
    <phoneticPr fontId="8"/>
  </si>
  <si>
    <t>主幹事</t>
    <rPh sb="0" eb="3">
      <t>シュカンジ</t>
    </rPh>
    <phoneticPr fontId="8"/>
  </si>
  <si>
    <t>上場日</t>
    <rPh sb="0" eb="3">
      <t>ジョウジョウビ</t>
    </rPh>
    <phoneticPr fontId="8"/>
  </si>
  <si>
    <t>初値</t>
    <rPh sb="0" eb="2">
      <t>ハツネ</t>
    </rPh>
    <phoneticPr fontId="8"/>
  </si>
  <si>
    <t>騰落率</t>
    <rPh sb="0" eb="3">
      <t>トウラクリツ</t>
    </rPh>
    <phoneticPr fontId="8"/>
  </si>
  <si>
    <t>備考</t>
    <rPh sb="0" eb="2">
      <t>ビコウ</t>
    </rPh>
    <phoneticPr fontId="8"/>
  </si>
  <si>
    <t>回数</t>
    <rPh sb="0" eb="2">
      <t>カイスウ</t>
    </rPh>
    <phoneticPr fontId="8"/>
  </si>
  <si>
    <t>買付証券</t>
    <rPh sb="0" eb="2">
      <t>カイツケ</t>
    </rPh>
    <rPh sb="2" eb="4">
      <t>ショウケン</t>
    </rPh>
    <phoneticPr fontId="8"/>
  </si>
  <si>
    <t>ジャスダック</t>
  </si>
  <si>
    <t>大和証券</t>
  </si>
  <si>
    <t>東証一部</t>
    <rPh sb="0" eb="2">
      <t>トウショウ</t>
    </rPh>
    <rPh sb="2" eb="4">
      <t>イチブ</t>
    </rPh>
    <phoneticPr fontId="8"/>
  </si>
  <si>
    <t>S</t>
    <phoneticPr fontId="8"/>
  </si>
  <si>
    <t>マネックス</t>
    <phoneticPr fontId="8"/>
  </si>
  <si>
    <t>マザーズ</t>
  </si>
  <si>
    <t>C</t>
  </si>
  <si>
    <t>東証二部</t>
    <rPh sb="0" eb="2">
      <t>トウショウ</t>
    </rPh>
    <rPh sb="2" eb="4">
      <t>ニブ</t>
    </rPh>
    <phoneticPr fontId="8"/>
  </si>
  <si>
    <t>SMBC日興証券</t>
    <phoneticPr fontId="8"/>
  </si>
  <si>
    <t>A</t>
    <phoneticPr fontId="8"/>
  </si>
  <si>
    <t>SMBC日興</t>
    <rPh sb="4" eb="6">
      <t>ニッコウ</t>
    </rPh>
    <phoneticPr fontId="8"/>
  </si>
  <si>
    <t>B</t>
  </si>
  <si>
    <t>SMBC日興証券</t>
  </si>
  <si>
    <t>マザーズ</t>
    <phoneticPr fontId="8"/>
  </si>
  <si>
    <t>SBI証券</t>
  </si>
  <si>
    <t>B</t>
    <phoneticPr fontId="8"/>
  </si>
  <si>
    <t>大和</t>
    <rPh sb="0" eb="2">
      <t>ダイワ</t>
    </rPh>
    <phoneticPr fontId="8"/>
  </si>
  <si>
    <t>D</t>
  </si>
  <si>
    <t>野村証券</t>
    <rPh sb="0" eb="2">
      <t>ノムラ</t>
    </rPh>
    <rPh sb="2" eb="4">
      <t>ショウケン</t>
    </rPh>
    <phoneticPr fontId="8"/>
  </si>
  <si>
    <t>東海東京証券</t>
  </si>
  <si>
    <t>C</t>
    <phoneticPr fontId="8"/>
  </si>
  <si>
    <t>SBI</t>
    <phoneticPr fontId="8"/>
  </si>
  <si>
    <t>東証インフラ</t>
    <rPh sb="0" eb="2">
      <t>トウショウ</t>
    </rPh>
    <phoneticPr fontId="8"/>
  </si>
  <si>
    <t>三菱UFJ・MS証券</t>
    <phoneticPr fontId="8"/>
  </si>
  <si>
    <t>D</t>
    <phoneticPr fontId="8"/>
  </si>
  <si>
    <t>A</t>
  </si>
  <si>
    <t>札幌アンビシャス</t>
    <rPh sb="0" eb="2">
      <t>サッポロ</t>
    </rPh>
    <phoneticPr fontId="8"/>
  </si>
  <si>
    <t>みずほ証券</t>
    <rPh sb="3" eb="5">
      <t>ショウケン</t>
    </rPh>
    <phoneticPr fontId="8"/>
  </si>
  <si>
    <t>E</t>
    <phoneticPr fontId="8"/>
  </si>
  <si>
    <t>岡三証券</t>
    <rPh sb="0" eb="2">
      <t>オカサン</t>
    </rPh>
    <rPh sb="2" eb="4">
      <t>ショウケン</t>
    </rPh>
    <phoneticPr fontId="8"/>
  </si>
  <si>
    <t>参考URL</t>
    <rPh sb="0" eb="2">
      <t>サンコウ</t>
    </rPh>
    <phoneticPr fontId="8"/>
  </si>
  <si>
    <t>TOKYO IPO</t>
    <phoneticPr fontId="8"/>
  </si>
  <si>
    <t>http://www.tokyoipo.com/ipo/schedule.php</t>
    <phoneticPr fontId="8"/>
  </si>
  <si>
    <t>IPO スケジュール</t>
    <phoneticPr fontId="8"/>
  </si>
  <si>
    <t>IPO ゲッター</t>
    <phoneticPr fontId="8"/>
  </si>
  <si>
    <t>IPO secondary investment</t>
    <phoneticPr fontId="8"/>
  </si>
  <si>
    <t>&lt; 税抜金額 100株単位 &gt;</t>
    <rPh sb="2" eb="3">
      <t>ゼイ</t>
    </rPh>
    <rPh sb="3" eb="4">
      <t>バツ</t>
    </rPh>
    <rPh sb="4" eb="6">
      <t>キンガク</t>
    </rPh>
    <rPh sb="10" eb="11">
      <t>カブ</t>
    </rPh>
    <rPh sb="11" eb="13">
      <t>タンイ</t>
    </rPh>
    <phoneticPr fontId="8"/>
  </si>
  <si>
    <t>※約定した翌日反映(当日約定分は0.2320で計算)</t>
    <rPh sb="1" eb="3">
      <t>ヤクテイ</t>
    </rPh>
    <rPh sb="5" eb="7">
      <t>ヨクジツ</t>
    </rPh>
    <rPh sb="7" eb="9">
      <t>ハンエイ</t>
    </rPh>
    <rPh sb="10" eb="12">
      <t>トウジツ</t>
    </rPh>
    <rPh sb="12" eb="14">
      <t>ヤクテイ</t>
    </rPh>
    <rPh sb="14" eb="15">
      <t>ブン</t>
    </rPh>
    <rPh sb="23" eb="25">
      <t>ケイサン</t>
    </rPh>
    <phoneticPr fontId="8"/>
  </si>
  <si>
    <t>出来高</t>
    <rPh sb="0" eb="3">
      <t>デキダカ</t>
    </rPh>
    <phoneticPr fontId="8"/>
  </si>
  <si>
    <t>初値売却損益</t>
    <rPh sb="0" eb="2">
      <t>ハツネ</t>
    </rPh>
    <rPh sb="2" eb="4">
      <t>バイキャク</t>
    </rPh>
    <rPh sb="4" eb="6">
      <t>ソンエキ</t>
    </rPh>
    <phoneticPr fontId="8"/>
  </si>
  <si>
    <t>経過日数</t>
    <rPh sb="0" eb="2">
      <t>ケイカ</t>
    </rPh>
    <rPh sb="2" eb="4">
      <t>ニッスウ</t>
    </rPh>
    <phoneticPr fontId="8"/>
  </si>
  <si>
    <t>買付額</t>
    <rPh sb="0" eb="2">
      <t>カイツケ</t>
    </rPh>
    <rPh sb="2" eb="3">
      <t>ガク</t>
    </rPh>
    <phoneticPr fontId="8"/>
  </si>
  <si>
    <t>買付株数</t>
    <rPh sb="0" eb="2">
      <t>カイツケ</t>
    </rPh>
    <rPh sb="2" eb="4">
      <t>カブスウ</t>
    </rPh>
    <phoneticPr fontId="8"/>
  </si>
  <si>
    <t>売却額</t>
    <rPh sb="0" eb="3">
      <t>バイキャクガク</t>
    </rPh>
    <phoneticPr fontId="8"/>
  </si>
  <si>
    <t>手数料</t>
    <rPh sb="0" eb="3">
      <t>テスウリョウ</t>
    </rPh>
    <phoneticPr fontId="8"/>
  </si>
  <si>
    <t>諸税</t>
    <rPh sb="0" eb="2">
      <t>ショゼイ</t>
    </rPh>
    <phoneticPr fontId="8"/>
  </si>
  <si>
    <t>損益計</t>
    <rPh sb="0" eb="2">
      <t>ソンエキ</t>
    </rPh>
    <rPh sb="2" eb="3">
      <t>ケイ</t>
    </rPh>
    <phoneticPr fontId="8"/>
  </si>
  <si>
    <t>購入日</t>
    <rPh sb="0" eb="2">
      <t>コウニュウ</t>
    </rPh>
    <rPh sb="2" eb="3">
      <t>ビ</t>
    </rPh>
    <phoneticPr fontId="8"/>
  </si>
  <si>
    <t>買付手数料</t>
    <rPh sb="0" eb="2">
      <t>カイツケ</t>
    </rPh>
    <rPh sb="2" eb="5">
      <t>テスウリョウ</t>
    </rPh>
    <phoneticPr fontId="8"/>
  </si>
  <si>
    <t>買付譲渡益</t>
    <rPh sb="0" eb="2">
      <t>カイツケ</t>
    </rPh>
    <rPh sb="2" eb="5">
      <t>ジョウトエキ</t>
    </rPh>
    <phoneticPr fontId="8"/>
  </si>
  <si>
    <t>売却手数料</t>
    <rPh sb="0" eb="2">
      <t>バイキャク</t>
    </rPh>
    <rPh sb="2" eb="5">
      <t>テスウリョウ</t>
    </rPh>
    <phoneticPr fontId="8"/>
  </si>
  <si>
    <t>売却譲渡益</t>
    <rPh sb="0" eb="2">
      <t>バイキャク</t>
    </rPh>
    <rPh sb="2" eb="5">
      <t>ジョウトエキ</t>
    </rPh>
    <phoneticPr fontId="8"/>
  </si>
  <si>
    <t>SBI</t>
  </si>
  <si>
    <t>マネックス</t>
  </si>
  <si>
    <t>東証一部・二部はセカンダリ投資に不向き</t>
    <rPh sb="0" eb="2">
      <t>トウショウ</t>
    </rPh>
    <rPh sb="2" eb="4">
      <t>イチブ</t>
    </rPh>
    <rPh sb="5" eb="7">
      <t>ニブ</t>
    </rPh>
    <rPh sb="13" eb="15">
      <t>トウシ</t>
    </rPh>
    <rPh sb="16" eb="18">
      <t>フム</t>
    </rPh>
    <phoneticPr fontId="8"/>
  </si>
  <si>
    <t>※上場日当日の場合は初値が1日前に相当　　</t>
    <rPh sb="1" eb="4">
      <t>ジョウジョウビ</t>
    </rPh>
    <rPh sb="4" eb="6">
      <t>トウジツ</t>
    </rPh>
    <rPh sb="7" eb="9">
      <t>バアイ</t>
    </rPh>
    <rPh sb="10" eb="12">
      <t>ハツネ</t>
    </rPh>
    <rPh sb="14" eb="16">
      <t>ニチマエ</t>
    </rPh>
    <rPh sb="17" eb="19">
      <t>ソウトウ</t>
    </rPh>
    <phoneticPr fontId="8"/>
  </si>
  <si>
    <t>本日基準</t>
    <rPh sb="0" eb="2">
      <t>ホンジツ</t>
    </rPh>
    <rPh sb="2" eb="4">
      <t>キジュン</t>
    </rPh>
    <phoneticPr fontId="8"/>
  </si>
  <si>
    <t>前日基準</t>
    <rPh sb="0" eb="2">
      <t>ゼンジツ</t>
    </rPh>
    <rPh sb="2" eb="4">
      <t>キジュン</t>
    </rPh>
    <phoneticPr fontId="8"/>
  </si>
  <si>
    <t>前日比</t>
    <rPh sb="0" eb="3">
      <t>ゼンジツヒ</t>
    </rPh>
    <phoneticPr fontId="8"/>
  </si>
  <si>
    <t>3日前</t>
    <rPh sb="1" eb="3">
      <t>カマエ</t>
    </rPh>
    <phoneticPr fontId="8"/>
  </si>
  <si>
    <t>2日前</t>
    <rPh sb="1" eb="3">
      <t>カマエ</t>
    </rPh>
    <phoneticPr fontId="8"/>
  </si>
  <si>
    <t>1日前</t>
    <rPh sb="1" eb="3">
      <t>ニチマエ</t>
    </rPh>
    <phoneticPr fontId="8"/>
  </si>
  <si>
    <t>本日終値</t>
    <rPh sb="0" eb="2">
      <t>ホンジツ</t>
    </rPh>
    <rPh sb="2" eb="4">
      <t>オワリネ</t>
    </rPh>
    <phoneticPr fontId="8"/>
  </si>
  <si>
    <t>前々日比</t>
    <rPh sb="0" eb="3">
      <t>ゼンゼンジツ</t>
    </rPh>
    <rPh sb="3" eb="4">
      <t>ヒ</t>
    </rPh>
    <phoneticPr fontId="8"/>
  </si>
  <si>
    <t>三日前比</t>
    <rPh sb="0" eb="3">
      <t>ミッカマエ</t>
    </rPh>
    <rPh sb="3" eb="4">
      <t>ヒ</t>
    </rPh>
    <phoneticPr fontId="8"/>
  </si>
  <si>
    <t>履歴</t>
    <rPh sb="0" eb="2">
      <t>リレキ</t>
    </rPh>
    <phoneticPr fontId="8"/>
  </si>
  <si>
    <t>(適宜非表示にする)</t>
    <rPh sb="3" eb="6">
      <t>ヒヒョウジ</t>
    </rPh>
    <phoneticPr fontId="8"/>
  </si>
  <si>
    <t>現行値</t>
    <rPh sb="0" eb="2">
      <t>ゲンコウ</t>
    </rPh>
    <rPh sb="2" eb="3">
      <t>アタイ</t>
    </rPh>
    <phoneticPr fontId="8"/>
  </si>
  <si>
    <t>総額</t>
    <rPh sb="0" eb="2">
      <t>ソウガク</t>
    </rPh>
    <phoneticPr fontId="8"/>
  </si>
  <si>
    <t>UFJ</t>
    <phoneticPr fontId="8"/>
  </si>
  <si>
    <t>三井住友</t>
    <rPh sb="0" eb="2">
      <t>ミツイ</t>
    </rPh>
    <rPh sb="2" eb="4">
      <t>スミトモ</t>
    </rPh>
    <phoneticPr fontId="8"/>
  </si>
  <si>
    <t>SMBC</t>
    <phoneticPr fontId="8"/>
  </si>
  <si>
    <t>残高</t>
    <rPh sb="0" eb="2">
      <t>ザンダカ</t>
    </rPh>
    <phoneticPr fontId="8"/>
  </si>
  <si>
    <t>銀行口座</t>
    <rPh sb="0" eb="2">
      <t>ギンコウ</t>
    </rPh>
    <rPh sb="2" eb="4">
      <t>コウザ</t>
    </rPh>
    <phoneticPr fontId="8"/>
  </si>
  <si>
    <t>記載日</t>
    <rPh sb="0" eb="2">
      <t>キサイ</t>
    </rPh>
    <rPh sb="2" eb="3">
      <t>ビ</t>
    </rPh>
    <phoneticPr fontId="8"/>
  </si>
  <si>
    <t>証券口座</t>
    <rPh sb="0" eb="2">
      <t>ショウケン</t>
    </rPh>
    <rPh sb="2" eb="4">
      <t>コウザ</t>
    </rPh>
    <phoneticPr fontId="8"/>
  </si>
  <si>
    <t>コメント：</t>
    <phoneticPr fontId="8"/>
  </si>
  <si>
    <t>貸付金</t>
    <rPh sb="0" eb="2">
      <t>カシツケ</t>
    </rPh>
    <rPh sb="2" eb="3">
      <t>キン</t>
    </rPh>
    <phoneticPr fontId="8"/>
  </si>
  <si>
    <t>15万</t>
    <rPh sb="2" eb="3">
      <t>マン</t>
    </rPh>
    <phoneticPr fontId="8"/>
  </si>
  <si>
    <t>3万</t>
    <rPh sb="1" eb="2">
      <t>マン</t>
    </rPh>
    <phoneticPr fontId="8"/>
  </si>
  <si>
    <t>利益</t>
    <rPh sb="0" eb="2">
      <t>リエキ</t>
    </rPh>
    <phoneticPr fontId="8"/>
  </si>
  <si>
    <t>損失</t>
    <phoneticPr fontId="8"/>
  </si>
  <si>
    <t>勝敗カウント</t>
    <rPh sb="0" eb="2">
      <t>ショウハイ</t>
    </rPh>
    <phoneticPr fontId="8"/>
  </si>
  <si>
    <t>損益</t>
    <rPh sb="0" eb="1">
      <t>ソン</t>
    </rPh>
    <rPh sb="1" eb="2">
      <t>エキ</t>
    </rPh>
    <phoneticPr fontId="8"/>
  </si>
  <si>
    <t>当月総損益</t>
    <rPh sb="0" eb="2">
      <t>トウゲツ</t>
    </rPh>
    <rPh sb="2" eb="3">
      <t>ソウ</t>
    </rPh>
    <rPh sb="3" eb="5">
      <t>ソンエキ</t>
    </rPh>
    <phoneticPr fontId="8"/>
  </si>
  <si>
    <t>総損益</t>
    <rPh sb="0" eb="1">
      <t>ソウ</t>
    </rPh>
    <rPh sb="1" eb="3">
      <t>ソンエキ</t>
    </rPh>
    <phoneticPr fontId="8"/>
  </si>
  <si>
    <t>1取引当りの平均金額</t>
    <rPh sb="1" eb="3">
      <t>トリヒキ</t>
    </rPh>
    <rPh sb="3" eb="4">
      <t>ア</t>
    </rPh>
    <rPh sb="6" eb="8">
      <t>ヘイキン</t>
    </rPh>
    <rPh sb="8" eb="10">
      <t>キンガク</t>
    </rPh>
    <phoneticPr fontId="8"/>
  </si>
  <si>
    <t>5日間平均</t>
    <rPh sb="1" eb="3">
      <t>カカン</t>
    </rPh>
    <rPh sb="3" eb="5">
      <t>ヘイキン</t>
    </rPh>
    <phoneticPr fontId="2"/>
  </si>
  <si>
    <t>5日間平均値</t>
    <rPh sb="1" eb="3">
      <t>カカン</t>
    </rPh>
    <rPh sb="3" eb="6">
      <t>ヘイキンチ</t>
    </rPh>
    <phoneticPr fontId="2"/>
  </si>
  <si>
    <t>2017年度</t>
    <rPh sb="4" eb="5">
      <t>ネン</t>
    </rPh>
    <rPh sb="5" eb="6">
      <t>ド</t>
    </rPh>
    <phoneticPr fontId="8"/>
  </si>
  <si>
    <t>http://ipoget.com/</t>
    <phoneticPr fontId="8"/>
  </si>
  <si>
    <t>●</t>
    <phoneticPr fontId="2"/>
  </si>
  <si>
    <t>岡三オンライン証券</t>
    <rPh sb="0" eb="2">
      <t>オカサン</t>
    </rPh>
    <rPh sb="7" eb="9">
      <t>ショウケン</t>
    </rPh>
    <phoneticPr fontId="8"/>
  </si>
  <si>
    <t>岡三OL</t>
    <rPh sb="0" eb="2">
      <t>オカサン</t>
    </rPh>
    <phoneticPr fontId="8"/>
  </si>
  <si>
    <t>※大和・SBI・岡三OLは資金拘束なし(申込時&amp;抽選時に買付余力必要)</t>
    <rPh sb="1" eb="3">
      <t>ダイワ</t>
    </rPh>
    <rPh sb="8" eb="10">
      <t>オカサン</t>
    </rPh>
    <rPh sb="13" eb="15">
      <t>シキン</t>
    </rPh>
    <rPh sb="15" eb="17">
      <t>コウソク</t>
    </rPh>
    <rPh sb="20" eb="21">
      <t>モウ</t>
    </rPh>
    <rPh sb="21" eb="22">
      <t>コ</t>
    </rPh>
    <rPh sb="22" eb="23">
      <t>ジ</t>
    </rPh>
    <rPh sb="24" eb="26">
      <t>チュウセン</t>
    </rPh>
    <rPh sb="26" eb="27">
      <t>ジ</t>
    </rPh>
    <rPh sb="28" eb="29">
      <t>カ</t>
    </rPh>
    <rPh sb="29" eb="30">
      <t>ツ</t>
    </rPh>
    <rPh sb="30" eb="32">
      <t>ヨリョク</t>
    </rPh>
    <rPh sb="32" eb="34">
      <t>ヒツヨウ</t>
    </rPh>
    <phoneticPr fontId="8"/>
  </si>
  <si>
    <t>30万</t>
    <rPh sb="2" eb="3">
      <t>マン</t>
    </rPh>
    <phoneticPr fontId="8"/>
  </si>
  <si>
    <t>いちよし証券</t>
    <rPh sb="4" eb="6">
      <t>ショウケン</t>
    </rPh>
    <phoneticPr fontId="2"/>
  </si>
  <si>
    <t>SBI証券</t>
    <rPh sb="3" eb="5">
      <t>ショウケン</t>
    </rPh>
    <phoneticPr fontId="2"/>
  </si>
  <si>
    <t>SMBC日興証券</t>
    <rPh sb="4" eb="6">
      <t>ニッコウ</t>
    </rPh>
    <rPh sb="6" eb="8">
      <t>ショウケン</t>
    </rPh>
    <phoneticPr fontId="2"/>
  </si>
  <si>
    <t>大和証券</t>
    <rPh sb="0" eb="2">
      <t>ダイワ</t>
    </rPh>
    <rPh sb="2" eb="4">
      <t>ショウケン</t>
    </rPh>
    <phoneticPr fontId="2"/>
  </si>
  <si>
    <t>マネックス証券</t>
    <rPh sb="5" eb="7">
      <t>ショウケン</t>
    </rPh>
    <phoneticPr fontId="2"/>
  </si>
  <si>
    <t>岡三オンライン証券</t>
    <rPh sb="0" eb="2">
      <t>オカサン</t>
    </rPh>
    <rPh sb="7" eb="9">
      <t>ショウケン</t>
    </rPh>
    <phoneticPr fontId="2"/>
  </si>
  <si>
    <t>総損益</t>
    <rPh sb="0" eb="1">
      <t>ソウ</t>
    </rPh>
    <rPh sb="1" eb="3">
      <t>ソンエキ</t>
    </rPh>
    <phoneticPr fontId="2"/>
  </si>
  <si>
    <t>譲渡益税</t>
    <rPh sb="0" eb="4">
      <t>ジョウトエキゼイ</t>
    </rPh>
    <phoneticPr fontId="2"/>
  </si>
  <si>
    <t>総計</t>
    <rPh sb="0" eb="2">
      <t>ソウケイ</t>
    </rPh>
    <phoneticPr fontId="2"/>
  </si>
  <si>
    <t>実損益</t>
    <rPh sb="0" eb="1">
      <t>ジツ</t>
    </rPh>
    <rPh sb="1" eb="2">
      <t>ソン</t>
    </rPh>
    <rPh sb="2" eb="3">
      <t>エキ</t>
    </rPh>
    <phoneticPr fontId="2"/>
  </si>
  <si>
    <t>証券口座別サマリ</t>
    <rPh sb="0" eb="2">
      <t>ショウケン</t>
    </rPh>
    <rPh sb="2" eb="4">
      <t>コウザ</t>
    </rPh>
    <rPh sb="4" eb="5">
      <t>ベツ</t>
    </rPh>
    <phoneticPr fontId="2"/>
  </si>
  <si>
    <t>年月別サマリ</t>
    <rPh sb="0" eb="2">
      <t>ネンゲツ</t>
    </rPh>
    <rPh sb="2" eb="3">
      <t>ベツ</t>
    </rPh>
    <phoneticPr fontId="2"/>
  </si>
  <si>
    <t>残高</t>
    <rPh sb="0" eb="2">
      <t>ザンダカ</t>
    </rPh>
    <phoneticPr fontId="2"/>
  </si>
  <si>
    <t>誤差調整</t>
    <rPh sb="0" eb="2">
      <t>ゴサ</t>
    </rPh>
    <rPh sb="2" eb="4">
      <t>チョウセイ</t>
    </rPh>
    <phoneticPr fontId="2"/>
  </si>
  <si>
    <t>※下記引用</t>
    <rPh sb="1" eb="3">
      <t>カキ</t>
    </rPh>
    <rPh sb="3" eb="5">
      <t>インヨウ</t>
    </rPh>
    <phoneticPr fontId="2"/>
  </si>
  <si>
    <t>※手動メンテ</t>
    <rPh sb="1" eb="3">
      <t>シュドウ</t>
    </rPh>
    <phoneticPr fontId="2"/>
  </si>
  <si>
    <t>買付可能額</t>
    <rPh sb="0" eb="2">
      <t>カイツケ</t>
    </rPh>
    <rPh sb="2" eb="5">
      <t>カノウガク</t>
    </rPh>
    <phoneticPr fontId="2"/>
  </si>
  <si>
    <t>平均取得単価*株数</t>
    <rPh sb="0" eb="2">
      <t>ヘイキン</t>
    </rPh>
    <rPh sb="2" eb="4">
      <t>シュトク</t>
    </rPh>
    <rPh sb="4" eb="6">
      <t>タンカ</t>
    </rPh>
    <rPh sb="7" eb="9">
      <t>カブスウ</t>
    </rPh>
    <phoneticPr fontId="2"/>
  </si>
  <si>
    <t>現行出資額</t>
    <rPh sb="0" eb="2">
      <t>ゲンコウ</t>
    </rPh>
    <rPh sb="2" eb="4">
      <t>シュッシ</t>
    </rPh>
    <rPh sb="4" eb="5">
      <t>ガク</t>
    </rPh>
    <phoneticPr fontId="2"/>
  </si>
  <si>
    <t>配当所得税</t>
    <phoneticPr fontId="2"/>
  </si>
  <si>
    <t>48万</t>
    <rPh sb="2" eb="3">
      <t>マン</t>
    </rPh>
    <phoneticPr fontId="8"/>
  </si>
  <si>
    <t>0万</t>
    <rPh sb="1" eb="2">
      <t>マン</t>
    </rPh>
    <phoneticPr fontId="8"/>
  </si>
  <si>
    <t>http://diamond.jp/category/z-ipo-schedule</t>
    <phoneticPr fontId="8"/>
  </si>
  <si>
    <t>状態割合</t>
    <rPh sb="0" eb="2">
      <t>ジョウタイ</t>
    </rPh>
    <rPh sb="2" eb="4">
      <t>ワリアイ</t>
    </rPh>
    <phoneticPr fontId="2"/>
  </si>
  <si>
    <t>状態</t>
    <rPh sb="0" eb="2">
      <t>ジョウタイ</t>
    </rPh>
    <phoneticPr fontId="2"/>
  </si>
  <si>
    <t>割高</t>
    <rPh sb="0" eb="2">
      <t>ワリダカ</t>
    </rPh>
    <phoneticPr fontId="2"/>
  </si>
  <si>
    <t>普通</t>
    <rPh sb="0" eb="2">
      <t>フツウ</t>
    </rPh>
    <phoneticPr fontId="2"/>
  </si>
  <si>
    <t>割安</t>
    <rPh sb="0" eb="2">
      <t>ワリヤス</t>
    </rPh>
    <phoneticPr fontId="2"/>
  </si>
  <si>
    <t>名古屋セントレックス</t>
    <rPh sb="0" eb="3">
      <t>ナゴヤ</t>
    </rPh>
    <phoneticPr fontId="8"/>
  </si>
  <si>
    <t>名証二部</t>
    <rPh sb="0" eb="2">
      <t>メイショウ</t>
    </rPh>
    <rPh sb="2" eb="4">
      <t>ニブ</t>
    </rPh>
    <phoneticPr fontId="8"/>
  </si>
  <si>
    <t>BP</t>
    <phoneticPr fontId="8"/>
  </si>
  <si>
    <t>ZAIF</t>
    <phoneticPr fontId="8"/>
  </si>
  <si>
    <t>39万</t>
    <rPh sb="2" eb="3">
      <t>マン</t>
    </rPh>
    <phoneticPr fontId="8"/>
  </si>
  <si>
    <t>201万</t>
    <rPh sb="3" eb="4">
      <t>マン</t>
    </rPh>
    <phoneticPr fontId="8"/>
  </si>
  <si>
    <t>66万</t>
    <rPh sb="2" eb="3">
      <t>マン</t>
    </rPh>
    <phoneticPr fontId="8"/>
  </si>
  <si>
    <t>7万</t>
    <rPh sb="1" eb="2">
      <t>マン</t>
    </rPh>
    <phoneticPr fontId="8"/>
  </si>
  <si>
    <t>家賃更新料支払有</t>
    <rPh sb="0" eb="2">
      <t>ヤチン</t>
    </rPh>
    <rPh sb="2" eb="4">
      <t>コウシン</t>
    </rPh>
    <rPh sb="4" eb="5">
      <t>リョウ</t>
    </rPh>
    <rPh sb="5" eb="7">
      <t>シハライ</t>
    </rPh>
    <rPh sb="7" eb="8">
      <t>ア</t>
    </rPh>
    <phoneticPr fontId="2"/>
  </si>
  <si>
    <t>Ｍマート</t>
  </si>
  <si>
    <t>不参加</t>
    <rPh sb="0" eb="3">
      <t>フサンカ</t>
    </rPh>
    <phoneticPr fontId="2"/>
  </si>
  <si>
    <t>トレイダーズHD</t>
  </si>
  <si>
    <t>リミックスポイント</t>
  </si>
  <si>
    <t>ソレイジア・ファーマ</t>
    <phoneticPr fontId="2"/>
  </si>
  <si>
    <t>繰越前購入日</t>
    <rPh sb="0" eb="2">
      <t>クリコシ</t>
    </rPh>
    <rPh sb="2" eb="3">
      <t>マエ</t>
    </rPh>
    <rPh sb="3" eb="5">
      <t>コウニュウ</t>
    </rPh>
    <rPh sb="5" eb="6">
      <t>ビ</t>
    </rPh>
    <phoneticPr fontId="8"/>
  </si>
  <si>
    <t>ジェイテックコーポレーション</t>
  </si>
  <si>
    <t>-</t>
    <phoneticPr fontId="2"/>
  </si>
  <si>
    <t>ＳＥＲＩＯＨＤ</t>
    <phoneticPr fontId="2"/>
  </si>
  <si>
    <t>神戸天然物化学</t>
  </si>
  <si>
    <t>日総工産</t>
  </si>
  <si>
    <t>フェイスネットワーク</t>
  </si>
  <si>
    <t>2万</t>
    <rPh sb="1" eb="2">
      <t>マン</t>
    </rPh>
    <phoneticPr fontId="8"/>
  </si>
  <si>
    <t>13万</t>
    <rPh sb="2" eb="3">
      <t>マン</t>
    </rPh>
    <phoneticPr fontId="8"/>
  </si>
  <si>
    <t>株損失-120万,仮想通貨損失-40万</t>
    <rPh sb="0" eb="1">
      <t>カブ</t>
    </rPh>
    <rPh sb="1" eb="3">
      <t>ソンシツ</t>
    </rPh>
    <rPh sb="7" eb="8">
      <t>マン</t>
    </rPh>
    <rPh sb="9" eb="11">
      <t>カソウ</t>
    </rPh>
    <rPh sb="11" eb="13">
      <t>ツウカ</t>
    </rPh>
    <rPh sb="13" eb="15">
      <t>ソンシツ</t>
    </rPh>
    <rPh sb="18" eb="19">
      <t>マン</t>
    </rPh>
    <phoneticPr fontId="2"/>
  </si>
  <si>
    <t>2017年通期</t>
    <rPh sb="4" eb="5">
      <t>ネン</t>
    </rPh>
    <rPh sb="5" eb="7">
      <t>ツウキ</t>
    </rPh>
    <phoneticPr fontId="2"/>
  </si>
  <si>
    <t>譲渡益税・配当所得税</t>
    <phoneticPr fontId="2"/>
  </si>
  <si>
    <t>年初元本</t>
    <rPh sb="0" eb="2">
      <t>ネンショ</t>
    </rPh>
    <rPh sb="2" eb="4">
      <t>ガンポン</t>
    </rPh>
    <phoneticPr fontId="2"/>
  </si>
  <si>
    <t>落選</t>
    <rPh sb="0" eb="2">
      <t>ラクセン</t>
    </rPh>
    <phoneticPr fontId="2"/>
  </si>
  <si>
    <t>共和コーポレーション</t>
  </si>
  <si>
    <t>不参加</t>
    <rPh sb="0" eb="3">
      <t>フサンカ</t>
    </rPh>
    <phoneticPr fontId="2"/>
  </si>
  <si>
    <t>-</t>
    <phoneticPr fontId="2"/>
  </si>
  <si>
    <t>信和</t>
  </si>
  <si>
    <t>不参加</t>
    <rPh sb="0" eb="3">
      <t>フサンカ</t>
    </rPh>
    <phoneticPr fontId="2"/>
  </si>
  <si>
    <t>-</t>
    <phoneticPr fontId="2"/>
  </si>
  <si>
    <t>ＳＯＵ</t>
  </si>
  <si>
    <t>不参加</t>
    <rPh sb="0" eb="3">
      <t>フサンカ</t>
    </rPh>
    <phoneticPr fontId="2"/>
  </si>
  <si>
    <t>キュービーネットHD</t>
    <phoneticPr fontId="2"/>
  </si>
  <si>
    <t>ファイバーゲート</t>
  </si>
  <si>
    <t>-</t>
    <phoneticPr fontId="2"/>
  </si>
  <si>
    <t>ＲＰＡHD</t>
    <phoneticPr fontId="2"/>
  </si>
  <si>
    <t>不参加</t>
    <rPh sb="0" eb="3">
      <t>フサンカ</t>
    </rPh>
    <phoneticPr fontId="2"/>
  </si>
  <si>
    <t>アジャイルメディア・ネットワーク</t>
  </si>
  <si>
    <t>-</t>
    <phoneticPr fontId="2"/>
  </si>
  <si>
    <t>アズ企画設計</t>
  </si>
  <si>
    <t>和心</t>
  </si>
  <si>
    <t>日本リビング保証</t>
  </si>
  <si>
    <t>不参加</t>
    <rPh sb="0" eb="3">
      <t>フサンカ</t>
    </rPh>
    <phoneticPr fontId="2"/>
  </si>
  <si>
    <t>-</t>
    <phoneticPr fontId="2"/>
  </si>
  <si>
    <t>1万</t>
    <rPh sb="1" eb="2">
      <t>マン</t>
    </rPh>
    <phoneticPr fontId="8"/>
  </si>
  <si>
    <t>株損失-100万,仮想通貨損失-50万</t>
    <rPh sb="0" eb="1">
      <t>カブ</t>
    </rPh>
    <rPh sb="1" eb="3">
      <t>ソンシツ</t>
    </rPh>
    <rPh sb="7" eb="8">
      <t>マン</t>
    </rPh>
    <rPh sb="9" eb="11">
      <t>カソウ</t>
    </rPh>
    <rPh sb="11" eb="13">
      <t>ツウカ</t>
    </rPh>
    <rPh sb="13" eb="15">
      <t>ソンシツ</t>
    </rPh>
    <rPh sb="18" eb="19">
      <t>マン</t>
    </rPh>
    <phoneticPr fontId="2"/>
  </si>
  <si>
    <t>25万</t>
    <rPh sb="2" eb="3">
      <t>マン</t>
    </rPh>
    <phoneticPr fontId="8"/>
  </si>
  <si>
    <t>ブティックス</t>
  </si>
  <si>
    <t>仮想通貨</t>
    <rPh sb="0" eb="2">
      <t>カソウ</t>
    </rPh>
    <rPh sb="2" eb="4">
      <t>ツウカ</t>
    </rPh>
    <phoneticPr fontId="2"/>
  </si>
  <si>
    <t>Nem(本人)</t>
    <rPh sb="4" eb="6">
      <t>ホンニン</t>
    </rPh>
    <phoneticPr fontId="2"/>
  </si>
  <si>
    <t>Nem(父)</t>
    <rPh sb="4" eb="5">
      <t>チチ</t>
    </rPh>
    <phoneticPr fontId="2"/>
  </si>
  <si>
    <t>元値</t>
    <rPh sb="0" eb="2">
      <t>モトネ</t>
    </rPh>
    <phoneticPr fontId="2"/>
  </si>
  <si>
    <t>枚数</t>
    <rPh sb="0" eb="2">
      <t>マイスウ</t>
    </rPh>
    <phoneticPr fontId="2"/>
  </si>
  <si>
    <t>時価</t>
    <rPh sb="0" eb="2">
      <t>ジカ</t>
    </rPh>
    <phoneticPr fontId="2"/>
  </si>
  <si>
    <t>損益額</t>
    <rPh sb="0" eb="1">
      <t>ソン</t>
    </rPh>
    <rPh sb="1" eb="2">
      <t>エキ</t>
    </rPh>
    <rPh sb="2" eb="3">
      <t>ガク</t>
    </rPh>
    <phoneticPr fontId="2"/>
  </si>
  <si>
    <t>損益率</t>
    <rPh sb="0" eb="1">
      <t>ソン</t>
    </rPh>
    <rPh sb="1" eb="2">
      <t>エキ</t>
    </rPh>
    <rPh sb="2" eb="3">
      <t>リツ</t>
    </rPh>
    <phoneticPr fontId="2"/>
  </si>
  <si>
    <t>総計</t>
    <rPh sb="0" eb="2">
      <t>ソウケイ</t>
    </rPh>
    <phoneticPr fontId="2"/>
  </si>
  <si>
    <t>-</t>
    <phoneticPr fontId="2"/>
  </si>
  <si>
    <t>時価計算日：</t>
    <rPh sb="0" eb="2">
      <t>ジカ</t>
    </rPh>
    <rPh sb="2" eb="4">
      <t>ケイサン</t>
    </rPh>
    <rPh sb="4" eb="5">
      <t>ビ</t>
    </rPh>
    <phoneticPr fontId="2"/>
  </si>
  <si>
    <t>持分比率</t>
    <rPh sb="0" eb="2">
      <t>モチブン</t>
    </rPh>
    <rPh sb="2" eb="4">
      <t>ヒリツ</t>
    </rPh>
    <phoneticPr fontId="2"/>
  </si>
  <si>
    <t>1枚当たり価格</t>
    <rPh sb="1" eb="2">
      <t>マイ</t>
    </rPh>
    <rPh sb="2" eb="3">
      <t>ア</t>
    </rPh>
    <rPh sb="5" eb="7">
      <t>カカク</t>
    </rPh>
    <phoneticPr fontId="2"/>
  </si>
  <si>
    <t>ビープラッツ</t>
  </si>
  <si>
    <t>18万</t>
    <rPh sb="2" eb="3">
      <t>マン</t>
    </rPh>
    <phoneticPr fontId="8"/>
  </si>
  <si>
    <t>ACDトークン対応</t>
    <rPh sb="7" eb="9">
      <t>タイオウ</t>
    </rPh>
    <phoneticPr fontId="2"/>
  </si>
  <si>
    <t>ACD(本人)</t>
    <rPh sb="4" eb="6">
      <t>ホンニン</t>
    </rPh>
    <phoneticPr fontId="2"/>
  </si>
  <si>
    <t>ACD(優里子)</t>
    <rPh sb="4" eb="7">
      <t>ユリコ</t>
    </rPh>
    <phoneticPr fontId="2"/>
  </si>
  <si>
    <t>ヒューマン・アソシエイツ・HD</t>
    <phoneticPr fontId="2"/>
  </si>
  <si>
    <t>コンヴァノ</t>
  </si>
  <si>
    <t>不参加</t>
    <rPh sb="0" eb="3">
      <t>フサンカ</t>
    </rPh>
    <phoneticPr fontId="2"/>
  </si>
  <si>
    <t>-</t>
    <phoneticPr fontId="2"/>
  </si>
  <si>
    <t>所得税</t>
    <rPh sb="0" eb="3">
      <t>ショトクゼイ</t>
    </rPh>
    <phoneticPr fontId="2"/>
  </si>
  <si>
    <t>住民税</t>
    <rPh sb="0" eb="3">
      <t>ジュウミンゼイ</t>
    </rPh>
    <phoneticPr fontId="2"/>
  </si>
  <si>
    <t>※所得税 = 源泉徴収税額</t>
    <rPh sb="1" eb="4">
      <t>ショトクゼイ</t>
    </rPh>
    <phoneticPr fontId="2"/>
  </si>
  <si>
    <t>※住民税 = 株式等譲渡所得割額</t>
    <rPh sb="1" eb="4">
      <t>ジュウミンゼイ</t>
    </rPh>
    <phoneticPr fontId="2"/>
  </si>
  <si>
    <t>(計算後)還付金対象</t>
    <rPh sb="1" eb="3">
      <t>ケイサン</t>
    </rPh>
    <rPh sb="3" eb="4">
      <t>ゴ</t>
    </rPh>
    <rPh sb="5" eb="8">
      <t>カンプキン</t>
    </rPh>
    <rPh sb="8" eb="10">
      <t>タイショウ</t>
    </rPh>
    <phoneticPr fontId="2"/>
  </si>
  <si>
    <t>総計</t>
    <rPh sb="0" eb="2">
      <t>ソウケイ</t>
    </rPh>
    <phoneticPr fontId="2"/>
  </si>
  <si>
    <t>差引結果</t>
    <rPh sb="0" eb="2">
      <t>サシヒキ</t>
    </rPh>
    <rPh sb="2" eb="4">
      <t>ケッカ</t>
    </rPh>
    <phoneticPr fontId="2"/>
  </si>
  <si>
    <t>内配当額</t>
    <rPh sb="0" eb="1">
      <t>ウチ</t>
    </rPh>
    <rPh sb="1" eb="3">
      <t>ハイトウ</t>
    </rPh>
    <rPh sb="3" eb="4">
      <t>ガク</t>
    </rPh>
    <phoneticPr fontId="2"/>
  </si>
  <si>
    <t>翌年繰越対象額</t>
    <rPh sb="0" eb="2">
      <t>ヨクネン</t>
    </rPh>
    <rPh sb="2" eb="3">
      <t>ク</t>
    </rPh>
    <rPh sb="3" eb="4">
      <t>コ</t>
    </rPh>
    <rPh sb="4" eb="6">
      <t>タイショウ</t>
    </rPh>
    <rPh sb="6" eb="7">
      <t>ガク</t>
    </rPh>
    <phoneticPr fontId="2"/>
  </si>
  <si>
    <t>控除対象</t>
    <rPh sb="0" eb="2">
      <t>コウジョ</t>
    </rPh>
    <rPh sb="2" eb="4">
      <t>タイショウ</t>
    </rPh>
    <phoneticPr fontId="2"/>
  </si>
  <si>
    <t>現行価格</t>
    <rPh sb="0" eb="2">
      <t>ゲンコウ</t>
    </rPh>
    <rPh sb="2" eb="4">
      <t>カカク</t>
    </rPh>
    <phoneticPr fontId="2"/>
  </si>
  <si>
    <t>自己)実損益額</t>
    <rPh sb="0" eb="2">
      <t>ジコ</t>
    </rPh>
    <rPh sb="3" eb="4">
      <t>ジツ</t>
    </rPh>
    <rPh sb="4" eb="5">
      <t>ソン</t>
    </rPh>
    <rPh sb="5" eb="6">
      <t>エキ</t>
    </rPh>
    <rPh sb="6" eb="7">
      <t>ガク</t>
    </rPh>
    <phoneticPr fontId="2"/>
  </si>
  <si>
    <t>自己)投資金額</t>
    <rPh sb="0" eb="2">
      <t>ジコ</t>
    </rPh>
    <rPh sb="3" eb="5">
      <t>トウシ</t>
    </rPh>
    <rPh sb="5" eb="7">
      <t>キンガク</t>
    </rPh>
    <phoneticPr fontId="2"/>
  </si>
  <si>
    <t>ＨＥＲＯＺ</t>
  </si>
  <si>
    <t>-</t>
    <phoneticPr fontId="2"/>
  </si>
  <si>
    <t>不参加</t>
    <rPh sb="0" eb="3">
      <t>フサンカ</t>
    </rPh>
    <phoneticPr fontId="2"/>
  </si>
  <si>
    <t>公募割れ</t>
    <rPh sb="0" eb="3">
      <t>コウボワ</t>
    </rPh>
    <phoneticPr fontId="2"/>
  </si>
  <si>
    <t>ベストワンドットコム</t>
  </si>
  <si>
    <t>アイペット損害保険</t>
  </si>
  <si>
    <t>エヌリンクス</t>
  </si>
  <si>
    <t>不参加</t>
    <rPh sb="0" eb="3">
      <t>フサンカ</t>
    </rPh>
    <phoneticPr fontId="2"/>
  </si>
  <si>
    <t>-</t>
    <phoneticPr fontId="2"/>
  </si>
  <si>
    <t>17万</t>
    <rPh sb="2" eb="3">
      <t>マン</t>
    </rPh>
    <phoneticPr fontId="8"/>
  </si>
  <si>
    <t>MEW</t>
    <phoneticPr fontId="8"/>
  </si>
  <si>
    <t>6万</t>
    <rPh sb="1" eb="2">
      <t>マン</t>
    </rPh>
    <phoneticPr fontId="8"/>
  </si>
  <si>
    <t>12万</t>
    <rPh sb="2" eb="3">
      <t>マン</t>
    </rPh>
    <phoneticPr fontId="8"/>
  </si>
  <si>
    <t>貸付(す)</t>
    <rPh sb="0" eb="2">
      <t>カシツケ</t>
    </rPh>
    <phoneticPr fontId="8"/>
  </si>
  <si>
    <t>ACDトークン対応、株損失-125万,仮想通貨損失-50万(父から10万預かり中)</t>
    <rPh sb="7" eb="9">
      <t>タイオウ</t>
    </rPh>
    <rPh sb="10" eb="11">
      <t>カブ</t>
    </rPh>
    <rPh sb="11" eb="13">
      <t>ソンシツ</t>
    </rPh>
    <rPh sb="17" eb="18">
      <t>マン</t>
    </rPh>
    <rPh sb="19" eb="21">
      <t>カソウ</t>
    </rPh>
    <rPh sb="21" eb="23">
      <t>ツウカ</t>
    </rPh>
    <rPh sb="23" eb="25">
      <t>ソンシツ</t>
    </rPh>
    <rPh sb="28" eb="29">
      <t>マン</t>
    </rPh>
    <rPh sb="30" eb="31">
      <t>チチ</t>
    </rPh>
    <rPh sb="35" eb="36">
      <t>マン</t>
    </rPh>
    <rPh sb="36" eb="37">
      <t>アズ</t>
    </rPh>
    <rPh sb="39" eb="40">
      <t>チュウ</t>
    </rPh>
    <phoneticPr fontId="2"/>
  </si>
  <si>
    <t>15日間平均</t>
    <rPh sb="2" eb="4">
      <t>カカン</t>
    </rPh>
    <rPh sb="4" eb="6">
      <t>ヘイキン</t>
    </rPh>
    <phoneticPr fontId="2"/>
  </si>
  <si>
    <t>15日間最安値</t>
    <rPh sb="2" eb="4">
      <t>カカン</t>
    </rPh>
    <rPh sb="4" eb="7">
      <t>サイヤスネ</t>
    </rPh>
    <phoneticPr fontId="2"/>
  </si>
  <si>
    <t>15日間平均値</t>
    <rPh sb="2" eb="4">
      <t>カカン</t>
    </rPh>
    <rPh sb="4" eb="7">
      <t>ヘイキンチ</t>
    </rPh>
    <phoneticPr fontId="2"/>
  </si>
  <si>
    <t>15日間最安値</t>
    <phoneticPr fontId="2"/>
  </si>
  <si>
    <t>集計対象</t>
    <rPh sb="0" eb="2">
      <t>シュウケイ</t>
    </rPh>
    <rPh sb="2" eb="4">
      <t>タイショウ</t>
    </rPh>
    <phoneticPr fontId="2"/>
  </si>
  <si>
    <t>補欠当選(落選)</t>
  </si>
  <si>
    <t>補欠当選(落選)</t>
    <rPh sb="0" eb="2">
      <t>ホケツ</t>
    </rPh>
    <rPh sb="2" eb="4">
      <t>トウセン</t>
    </rPh>
    <rPh sb="5" eb="7">
      <t>ラクセン</t>
    </rPh>
    <phoneticPr fontId="2"/>
  </si>
  <si>
    <t>38万</t>
    <rPh sb="2" eb="3">
      <t>マン</t>
    </rPh>
    <phoneticPr fontId="8"/>
  </si>
  <si>
    <t>貸付金(優)</t>
    <rPh sb="0" eb="2">
      <t>カシツケ</t>
    </rPh>
    <rPh sb="2" eb="3">
      <t>キン</t>
    </rPh>
    <rPh sb="4" eb="5">
      <t>ユウ</t>
    </rPh>
    <phoneticPr fontId="8"/>
  </si>
  <si>
    <t>株時価損失-80万,仮想通貨損失-50万(父から10万預かり中)</t>
    <rPh sb="0" eb="1">
      <t>カブ</t>
    </rPh>
    <rPh sb="1" eb="3">
      <t>ジカ</t>
    </rPh>
    <rPh sb="3" eb="5">
      <t>ソンシツ</t>
    </rPh>
    <rPh sb="8" eb="9">
      <t>マン</t>
    </rPh>
    <phoneticPr fontId="2"/>
  </si>
  <si>
    <t>5万</t>
    <rPh sb="1" eb="2">
      <t>マン</t>
    </rPh>
    <phoneticPr fontId="8"/>
  </si>
  <si>
    <t>ラクスル</t>
    <phoneticPr fontId="2"/>
  </si>
  <si>
    <t>-</t>
    <phoneticPr fontId="2"/>
  </si>
  <si>
    <t>メルカリ</t>
  </si>
  <si>
    <t>-</t>
  </si>
  <si>
    <t>応募予定</t>
    <rPh sb="0" eb="2">
      <t>オウボ</t>
    </rPh>
    <rPh sb="2" eb="4">
      <t>ヨテイ</t>
    </rPh>
    <phoneticPr fontId="2"/>
  </si>
  <si>
    <t>ログリー</t>
    <phoneticPr fontId="2"/>
  </si>
  <si>
    <t>コーア商事HD</t>
    <phoneticPr fontId="2"/>
  </si>
  <si>
    <t>三菱UFJ・MS証券</t>
  </si>
  <si>
    <t>ＳＩＧ</t>
    <phoneticPr fontId="2"/>
  </si>
  <si>
    <t>ZUU</t>
    <phoneticPr fontId="2"/>
  </si>
  <si>
    <t>ライトアップ</t>
    <phoneticPr fontId="2"/>
  </si>
  <si>
    <t>-</t>
    <phoneticPr fontId="2"/>
  </si>
  <si>
    <t>国際紙パルプ商事</t>
    <phoneticPr fontId="2"/>
  </si>
  <si>
    <t>-</t>
    <phoneticPr fontId="2"/>
  </si>
  <si>
    <t>エーアイ</t>
    <phoneticPr fontId="2"/>
  </si>
  <si>
    <t>プロパティデータバンク</t>
    <phoneticPr fontId="2"/>
  </si>
  <si>
    <t>-</t>
    <phoneticPr fontId="2"/>
  </si>
  <si>
    <t>IPS</t>
    <phoneticPr fontId="2"/>
  </si>
  <si>
    <t>スプリックス</t>
    <phoneticPr fontId="2"/>
  </si>
  <si>
    <t>インバウンドテック</t>
    <phoneticPr fontId="2"/>
  </si>
  <si>
    <t>16万</t>
    <rPh sb="2" eb="3">
      <t>マン</t>
    </rPh>
    <phoneticPr fontId="8"/>
  </si>
  <si>
    <t>仮想通貨窃盗被害(時価総額15万程),株時価損失-20万</t>
    <rPh sb="0" eb="2">
      <t>カソウ</t>
    </rPh>
    <rPh sb="2" eb="4">
      <t>ツウカ</t>
    </rPh>
    <rPh sb="4" eb="6">
      <t>セットウ</t>
    </rPh>
    <rPh sb="6" eb="8">
      <t>ヒガイ</t>
    </rPh>
    <rPh sb="9" eb="11">
      <t>ジカ</t>
    </rPh>
    <rPh sb="11" eb="13">
      <t>ソウガク</t>
    </rPh>
    <rPh sb="15" eb="16">
      <t>マン</t>
    </rPh>
    <rPh sb="16" eb="17">
      <t>ホド</t>
    </rPh>
    <rPh sb="19" eb="20">
      <t>カブ</t>
    </rPh>
    <rPh sb="20" eb="22">
      <t>ジカ</t>
    </rPh>
    <rPh sb="22" eb="24">
      <t>ソンシツ</t>
    </rPh>
    <rPh sb="27" eb="28">
      <t>マン</t>
    </rPh>
    <phoneticPr fontId="2"/>
  </si>
  <si>
    <t>窃盗により全消失</t>
    <rPh sb="0" eb="2">
      <t>セットウ</t>
    </rPh>
    <rPh sb="5" eb="6">
      <t>ゼン</t>
    </rPh>
    <rPh sb="6" eb="8">
      <t>ショウシツ</t>
    </rPh>
    <phoneticPr fontId="2"/>
  </si>
  <si>
    <t>-</t>
    <phoneticPr fontId="2"/>
  </si>
  <si>
    <t>ＭＴＧ</t>
  </si>
  <si>
    <t/>
  </si>
  <si>
    <t>ロジザード</t>
    <phoneticPr fontId="2"/>
  </si>
  <si>
    <t>応募中</t>
    <rPh sb="0" eb="2">
      <t>オウボ</t>
    </rPh>
    <rPh sb="2" eb="3">
      <t>チュウ</t>
    </rPh>
    <phoneticPr fontId="2"/>
  </si>
  <si>
    <t>キャンディル</t>
    <phoneticPr fontId="2"/>
  </si>
  <si>
    <t>(株)リミックスポイント</t>
    <phoneticPr fontId="3"/>
  </si>
  <si>
    <t>東証2部</t>
    <phoneticPr fontId="3"/>
  </si>
  <si>
    <t>トレイダーズホールディングス(株)</t>
    <phoneticPr fontId="3"/>
  </si>
  <si>
    <t>東証JQS</t>
    <phoneticPr fontId="3"/>
  </si>
  <si>
    <t>信和(株)</t>
    <phoneticPr fontId="2"/>
  </si>
  <si>
    <t>ＲＰＡホールディングス(株)</t>
    <phoneticPr fontId="2"/>
  </si>
  <si>
    <t>東証JQS</t>
    <phoneticPr fontId="2"/>
  </si>
  <si>
    <t>ヒューマン・アソシエイツ・ホールディングス(株)</t>
    <phoneticPr fontId="2"/>
  </si>
  <si>
    <t>ＨＥＲＯＺ(株)</t>
    <phoneticPr fontId="2"/>
  </si>
  <si>
    <t>(株)ベストワンドットコム</t>
    <phoneticPr fontId="2"/>
  </si>
  <si>
    <t>アイペット損害保険(株)</t>
    <phoneticPr fontId="2"/>
  </si>
  <si>
    <t>(株)エヌリンクス</t>
    <phoneticPr fontId="2"/>
  </si>
  <si>
    <t>[1:5]（15/07/29）</t>
    <phoneticPr fontId="3"/>
  </si>
  <si>
    <t>[1:100]（13/09/26）</t>
    <phoneticPr fontId="3"/>
  </si>
  <si>
    <t>ソレイジア・ファーマ(株)</t>
    <phoneticPr fontId="3"/>
  </si>
  <si>
    <t>マザーズ</t>
    <phoneticPr fontId="3"/>
  </si>
  <si>
    <t>なし</t>
    <phoneticPr fontId="3"/>
  </si>
  <si>
    <t>(株)Ｍマート</t>
    <phoneticPr fontId="2"/>
  </si>
  <si>
    <t>マザーズ</t>
    <phoneticPr fontId="2"/>
  </si>
  <si>
    <t>なし</t>
    <phoneticPr fontId="2"/>
  </si>
  <si>
    <t>(株)ジェイテックコーポレーション</t>
    <phoneticPr fontId="2"/>
  </si>
  <si>
    <t>(株)ＳＥＲＩＯホールディングス</t>
    <phoneticPr fontId="2"/>
  </si>
  <si>
    <t>神戸天然物化学(株)</t>
    <phoneticPr fontId="2"/>
  </si>
  <si>
    <t>日総工産(株)</t>
    <phoneticPr fontId="2"/>
  </si>
  <si>
    <t>東証1部</t>
    <phoneticPr fontId="2"/>
  </si>
  <si>
    <t>(株)フェイスネットワーク</t>
    <phoneticPr fontId="2"/>
  </si>
  <si>
    <t>(株)共和コーポレーション</t>
    <phoneticPr fontId="2"/>
  </si>
  <si>
    <t>東証2部</t>
    <phoneticPr fontId="2"/>
  </si>
  <si>
    <t>(株)ＳＯＵ</t>
    <phoneticPr fontId="2"/>
  </si>
  <si>
    <t>キュービーネットホールディングス(株)</t>
    <phoneticPr fontId="2"/>
  </si>
  <si>
    <t>(株)ファイバーゲート</t>
    <phoneticPr fontId="2"/>
  </si>
  <si>
    <t>アジャイルメディア・ネットワーク(株)</t>
    <phoneticPr fontId="2"/>
  </si>
  <si>
    <t>(株)アズ企画設計</t>
    <phoneticPr fontId="2"/>
  </si>
  <si>
    <t>(株)和心</t>
    <phoneticPr fontId="2"/>
  </si>
  <si>
    <t>日本リビング保証(株)</t>
    <phoneticPr fontId="2"/>
  </si>
  <si>
    <t>ブティックス(株)</t>
    <phoneticPr fontId="2"/>
  </si>
  <si>
    <t>ビープラッツ(株)</t>
    <phoneticPr fontId="2"/>
  </si>
  <si>
    <t>(株)コンヴァノ</t>
    <phoneticPr fontId="2"/>
  </si>
  <si>
    <t>ラクスル(株)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</si>
</sst>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76" formatCode="\+#,##0;[Red]\-#,##0;0"/>
    <numFmt numFmtId="177" formatCode="\+0.00;[Red]\-0.00;0.00"/>
    <numFmt numFmtId="178" formatCode="m/d"/>
    <numFmt numFmtId="179" formatCode="#,##0_);[Red]\(#,##0\)"/>
    <numFmt numFmtId="180" formatCode="0.000_ "/>
    <numFmt numFmtId="181" formatCode="0_ ;[Red]\-0\ "/>
    <numFmt numFmtId="182" formatCode="yyyy&quot;年&quot;m&quot;月&quot;;@"/>
    <numFmt numFmtId="183" formatCode="0.0%"/>
    <numFmt numFmtId="184" formatCode="0.0"/>
    <numFmt numFmtId="185" formatCode="#,##0_ ;[Red]\-#,##0\ "/>
  </numFmts>
  <fonts count="18" x14ac:knownFonts="1">
    <font>
      <sz val="11"/>
      <color theme="1"/>
      <name val="Meiryo UI"/>
      <family val="2"/>
      <charset val="128"/>
    </font>
    <font>
      <sz val="11"/>
      <name val="ＭＳ Ｐゴシック"/>
      <family val="3"/>
      <charset val="128"/>
    </font>
    <font>
      <sz val="6"/>
      <name val="Meiryo UI"/>
      <family val="2"/>
      <charset val="128"/>
    </font>
    <font>
      <sz val="6"/>
      <name val="ＭＳ Ｐゴシック"/>
      <family val="3"/>
      <charset val="128"/>
    </font>
    <font>
      <u/>
      <sz val="11"/>
      <color indexed="12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b/>
      <i/>
      <sz val="11"/>
      <color theme="0"/>
      <name val="メイリオ"/>
      <family val="3"/>
      <charset val="128"/>
    </font>
    <font>
      <sz val="11"/>
      <color theme="1"/>
      <name val="Meiryo UI"/>
      <family val="3"/>
      <charset val="128"/>
    </font>
    <font>
      <sz val="6"/>
      <name val="ＭＳ Ｐゴシック"/>
      <family val="2"/>
      <charset val="128"/>
      <scheme val="minor"/>
    </font>
    <font>
      <b/>
      <sz val="11"/>
      <color theme="1"/>
      <name val="Meiryo UI"/>
      <family val="3"/>
      <charset val="128"/>
    </font>
    <font>
      <u/>
      <sz val="11"/>
      <color theme="10"/>
      <name val="ＭＳ Ｐゴシック"/>
      <family val="3"/>
      <charset val="128"/>
    </font>
    <font>
      <sz val="11"/>
      <color rgb="FFFF0000"/>
      <name val="Meiryo UI"/>
      <family val="3"/>
      <charset val="128"/>
    </font>
    <font>
      <b/>
      <sz val="11"/>
      <color rgb="FFFF0000"/>
      <name val="Meiryo UI"/>
      <family val="3"/>
      <charset val="128"/>
    </font>
    <font>
      <sz val="11"/>
      <color theme="0"/>
      <name val="Meiryo UI"/>
      <family val="3"/>
      <charset val="128"/>
    </font>
    <font>
      <b/>
      <sz val="11"/>
      <color theme="0"/>
      <name val="Meiryo UI"/>
      <family val="3"/>
      <charset val="128"/>
    </font>
    <font>
      <sz val="11"/>
      <color theme="1"/>
      <name val="Meiryo UI"/>
      <family val="2"/>
      <charset val="128"/>
    </font>
    <font>
      <b/>
      <strike/>
      <sz val="11"/>
      <color rgb="FFFF0000"/>
      <name val="Meiryo UI"/>
      <family val="3"/>
      <charset val="128"/>
    </font>
    <font>
      <b/>
      <sz val="11"/>
      <color rgb="FF002060"/>
      <name val="Meiryo UI"/>
      <family val="3"/>
      <charset val="128"/>
    </font>
  </fonts>
  <fills count="18">
    <fill>
      <patternFill patternType="none"/>
    </fill>
    <fill>
      <patternFill patternType="gray125"/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E0FCFB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hair">
        <color auto="1"/>
      </top>
      <bottom/>
      <diagonal/>
    </border>
    <border diagonalUp="1"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 style="thin">
        <color auto="1"/>
      </diagonal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/>
      <right style="thin">
        <color indexed="64"/>
      </right>
      <top/>
      <bottom style="hair">
        <color auto="1"/>
      </bottom>
      <diagonal/>
    </border>
    <border>
      <left style="medium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hair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medium">
        <color indexed="64"/>
      </right>
      <top style="hair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auto="1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uble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hair">
        <color auto="1"/>
      </top>
      <bottom style="thin">
        <color auto="1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9">
    <xf numFmtId="0" fontId="0" fillId="0" borderId="0">
      <alignment vertical="center"/>
    </xf>
    <xf numFmtId="0" fontId="1" fillId="0" borderId="0"/>
    <xf numFmtId="0" fontId="4" fillId="0" borderId="0" applyNumberFormat="0" applyFill="0" applyBorder="0" applyAlignment="0" applyProtection="0">
      <alignment vertical="top"/>
      <protection locked="0"/>
    </xf>
    <xf numFmtId="0" fontId="5" fillId="0" borderId="0">
      <alignment vertical="center"/>
    </xf>
    <xf numFmtId="38" fontId="5" fillId="0" borderId="0" applyFon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top"/>
      <protection locked="0"/>
    </xf>
    <xf numFmtId="9" fontId="5" fillId="0" borderId="0" applyFont="0" applyFill="0" applyBorder="0" applyAlignment="0" applyProtection="0">
      <alignment vertical="center"/>
    </xf>
    <xf numFmtId="38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</cellStyleXfs>
  <cellXfs count="255">
    <xf numFmtId="0" fontId="0" fillId="0" borderId="0" xfId="0">
      <alignment vertical="center"/>
    </xf>
    <xf numFmtId="0" fontId="1" fillId="0" borderId="0" xfId="1"/>
    <xf numFmtId="0" fontId="1" fillId="0" borderId="0" xfId="1" applyNumberFormat="1"/>
    <xf numFmtId="0" fontId="4" fillId="0" borderId="0" xfId="2" applyAlignment="1" applyProtection="1"/>
    <xf numFmtId="0" fontId="1" fillId="0" borderId="0" xfId="1" applyAlignment="1">
      <alignment wrapText="1"/>
    </xf>
    <xf numFmtId="3" fontId="1" fillId="0" borderId="0" xfId="1" applyNumberFormat="1"/>
    <xf numFmtId="3" fontId="1" fillId="0" borderId="0" xfId="1" applyNumberFormat="1" applyAlignment="1">
      <alignment wrapText="1"/>
    </xf>
    <xf numFmtId="176" fontId="1" fillId="0" borderId="0" xfId="1" applyNumberFormat="1"/>
    <xf numFmtId="177" fontId="1" fillId="0" borderId="0" xfId="1" applyNumberFormat="1"/>
    <xf numFmtId="178" fontId="1" fillId="0" borderId="0" xfId="1" applyNumberFormat="1" applyAlignment="1">
      <alignment wrapText="1"/>
    </xf>
    <xf numFmtId="20" fontId="1" fillId="0" borderId="0" xfId="1" applyNumberFormat="1"/>
    <xf numFmtId="178" fontId="1" fillId="0" borderId="0" xfId="1" applyNumberFormat="1"/>
    <xf numFmtId="0" fontId="7" fillId="0" borderId="0" xfId="3" applyFont="1" applyAlignment="1">
      <alignment horizontal="center" vertical="center"/>
    </xf>
    <xf numFmtId="0" fontId="7" fillId="0" borderId="0" xfId="3" applyFont="1" applyAlignment="1">
      <alignment horizontal="right" vertical="center"/>
    </xf>
    <xf numFmtId="0" fontId="7" fillId="0" borderId="0" xfId="3" applyFont="1" applyAlignment="1">
      <alignment horizontal="left" vertical="center"/>
    </xf>
    <xf numFmtId="38" fontId="7" fillId="0" borderId="0" xfId="4" applyFont="1" applyAlignment="1">
      <alignment horizontal="center" vertical="center"/>
    </xf>
    <xf numFmtId="14" fontId="7" fillId="0" borderId="0" xfId="3" applyNumberFormat="1" applyFont="1" applyAlignment="1">
      <alignment horizontal="left" vertical="center"/>
    </xf>
    <xf numFmtId="14" fontId="7" fillId="0" borderId="0" xfId="3" applyNumberFormat="1" applyFont="1" applyAlignment="1">
      <alignment horizontal="center" vertical="center"/>
    </xf>
    <xf numFmtId="179" fontId="7" fillId="0" borderId="0" xfId="3" applyNumberFormat="1" applyFont="1" applyAlignment="1">
      <alignment horizontal="center" vertical="center"/>
    </xf>
    <xf numFmtId="0" fontId="9" fillId="0" borderId="0" xfId="3" applyFont="1" applyFill="1" applyAlignment="1">
      <alignment horizontal="center" vertical="center"/>
    </xf>
    <xf numFmtId="38" fontId="9" fillId="0" borderId="0" xfId="3" applyNumberFormat="1" applyFont="1" applyFill="1" applyAlignment="1">
      <alignment horizontal="center" vertical="center"/>
    </xf>
    <xf numFmtId="3" fontId="7" fillId="0" borderId="0" xfId="3" applyNumberFormat="1" applyFont="1" applyAlignment="1">
      <alignment horizontal="center" vertical="center"/>
    </xf>
    <xf numFmtId="0" fontId="10" fillId="4" borderId="4" xfId="5" applyFill="1" applyBorder="1" applyAlignment="1" applyProtection="1">
      <alignment horizontal="center" vertical="center"/>
    </xf>
    <xf numFmtId="0" fontId="7" fillId="3" borderId="3" xfId="3" applyFont="1" applyFill="1" applyBorder="1" applyAlignment="1">
      <alignment horizontal="center" vertical="center"/>
    </xf>
    <xf numFmtId="0" fontId="7" fillId="0" borderId="6" xfId="3" applyFont="1" applyBorder="1" applyAlignment="1">
      <alignment horizontal="center" vertical="center"/>
    </xf>
    <xf numFmtId="0" fontId="7" fillId="0" borderId="5" xfId="3" applyFont="1" applyBorder="1" applyAlignment="1">
      <alignment horizontal="center" vertical="center"/>
    </xf>
    <xf numFmtId="0" fontId="7" fillId="0" borderId="7" xfId="3" applyFont="1" applyBorder="1" applyAlignment="1">
      <alignment horizontal="center" vertical="center"/>
    </xf>
    <xf numFmtId="0" fontId="7" fillId="0" borderId="9" xfId="3" applyFont="1" applyBorder="1" applyAlignment="1">
      <alignment horizontal="center" vertical="center"/>
    </xf>
    <xf numFmtId="0" fontId="7" fillId="0" borderId="8" xfId="3" applyFont="1" applyBorder="1" applyAlignment="1">
      <alignment horizontal="center" vertical="center"/>
    </xf>
    <xf numFmtId="0" fontId="7" fillId="0" borderId="10" xfId="3" applyFont="1" applyBorder="1" applyAlignment="1">
      <alignment horizontal="center" vertical="center"/>
    </xf>
    <xf numFmtId="0" fontId="10" fillId="0" borderId="0" xfId="5" applyAlignment="1" applyProtection="1">
      <alignment horizontal="left" vertical="center"/>
    </xf>
    <xf numFmtId="0" fontId="7" fillId="0" borderId="11" xfId="3" applyFont="1" applyBorder="1" applyAlignment="1">
      <alignment horizontal="center" vertical="center"/>
    </xf>
    <xf numFmtId="14" fontId="7" fillId="0" borderId="11" xfId="3" applyNumberFormat="1" applyFont="1" applyBorder="1" applyAlignment="1">
      <alignment horizontal="center" vertical="center"/>
    </xf>
    <xf numFmtId="38" fontId="7" fillId="0" borderId="11" xfId="4" applyFont="1" applyBorder="1" applyAlignment="1">
      <alignment horizontal="center" vertical="center"/>
    </xf>
    <xf numFmtId="179" fontId="7" fillId="0" borderId="11" xfId="3" applyNumberFormat="1" applyFont="1" applyBorder="1" applyAlignment="1">
      <alignment horizontal="center" vertical="center"/>
    </xf>
    <xf numFmtId="181" fontId="7" fillId="0" borderId="0" xfId="3" applyNumberFormat="1" applyFont="1" applyAlignment="1">
      <alignment horizontal="center" vertical="center"/>
    </xf>
    <xf numFmtId="38" fontId="12" fillId="0" borderId="0" xfId="4" applyFont="1" applyAlignment="1">
      <alignment horizontal="left" vertical="center"/>
    </xf>
    <xf numFmtId="0" fontId="7" fillId="0" borderId="0" xfId="3" applyFont="1">
      <alignment vertical="center"/>
    </xf>
    <xf numFmtId="0" fontId="9" fillId="5" borderId="0" xfId="3" applyFont="1" applyFill="1" applyAlignment="1">
      <alignment horizontal="center" vertical="center"/>
    </xf>
    <xf numFmtId="0" fontId="13" fillId="8" borderId="8" xfId="3" applyFont="1" applyFill="1" applyBorder="1" applyAlignment="1">
      <alignment horizontal="center" vertical="center"/>
    </xf>
    <xf numFmtId="3" fontId="13" fillId="8" borderId="8" xfId="4" applyNumberFormat="1" applyFont="1" applyFill="1" applyBorder="1" applyAlignment="1">
      <alignment horizontal="center" vertical="center"/>
    </xf>
    <xf numFmtId="181" fontId="7" fillId="3" borderId="8" xfId="3" applyNumberFormat="1" applyFont="1" applyFill="1" applyBorder="1" applyAlignment="1">
      <alignment horizontal="center" vertical="center"/>
    </xf>
    <xf numFmtId="38" fontId="7" fillId="0" borderId="14" xfId="4" applyFont="1" applyBorder="1" applyAlignment="1">
      <alignment horizontal="center" vertical="center"/>
    </xf>
    <xf numFmtId="0" fontId="7" fillId="0" borderId="7" xfId="3" applyFont="1" applyFill="1" applyBorder="1" applyAlignment="1">
      <alignment horizontal="center" vertical="center"/>
    </xf>
    <xf numFmtId="179" fontId="7" fillId="0" borderId="7" xfId="3" applyNumberFormat="1" applyFont="1" applyFill="1" applyBorder="1" applyAlignment="1">
      <alignment horizontal="center" vertical="center"/>
    </xf>
    <xf numFmtId="14" fontId="7" fillId="0" borderId="7" xfId="3" applyNumberFormat="1" applyFont="1" applyFill="1" applyBorder="1" applyAlignment="1">
      <alignment horizontal="center" vertical="center"/>
    </xf>
    <xf numFmtId="38" fontId="7" fillId="0" borderId="7" xfId="3" applyNumberFormat="1" applyFont="1" applyFill="1" applyBorder="1" applyAlignment="1">
      <alignment horizontal="center" vertical="center"/>
    </xf>
    <xf numFmtId="181" fontId="7" fillId="0" borderId="7" xfId="3" applyNumberFormat="1" applyFont="1" applyFill="1" applyBorder="1" applyAlignment="1">
      <alignment horizontal="center" vertical="center"/>
    </xf>
    <xf numFmtId="3" fontId="7" fillId="0" borderId="7" xfId="4" applyNumberFormat="1" applyFont="1" applyBorder="1" applyAlignment="1">
      <alignment horizontal="center" vertical="center"/>
    </xf>
    <xf numFmtId="0" fontId="7" fillId="0" borderId="8" xfId="3" applyFont="1" applyFill="1" applyBorder="1" applyAlignment="1">
      <alignment horizontal="center" vertical="center"/>
    </xf>
    <xf numFmtId="179" fontId="7" fillId="0" borderId="8" xfId="3" applyNumberFormat="1" applyFont="1" applyFill="1" applyBorder="1" applyAlignment="1">
      <alignment horizontal="center" vertical="center"/>
    </xf>
    <xf numFmtId="38" fontId="7" fillId="0" borderId="8" xfId="4" applyFont="1" applyFill="1" applyBorder="1" applyAlignment="1">
      <alignment horizontal="center" vertical="center"/>
    </xf>
    <xf numFmtId="14" fontId="7" fillId="0" borderId="8" xfId="3" applyNumberFormat="1" applyFont="1" applyFill="1" applyBorder="1" applyAlignment="1">
      <alignment horizontal="center" vertical="center"/>
    </xf>
    <xf numFmtId="181" fontId="7" fillId="0" borderId="8" xfId="3" applyNumberFormat="1" applyFont="1" applyFill="1" applyBorder="1" applyAlignment="1">
      <alignment horizontal="center" vertical="center"/>
    </xf>
    <xf numFmtId="0" fontId="7" fillId="10" borderId="8" xfId="3" applyFont="1" applyFill="1" applyBorder="1" applyAlignment="1">
      <alignment horizontal="center" vertical="center"/>
    </xf>
    <xf numFmtId="0" fontId="11" fillId="0" borderId="0" xfId="3" applyFont="1">
      <alignment vertical="center"/>
    </xf>
    <xf numFmtId="3" fontId="7" fillId="0" borderId="0" xfId="3" applyNumberFormat="1" applyFont="1">
      <alignment vertical="center"/>
    </xf>
    <xf numFmtId="38" fontId="7" fillId="0" borderId="0" xfId="3" applyNumberFormat="1" applyFont="1" applyAlignment="1">
      <alignment horizontal="center" vertical="center"/>
    </xf>
    <xf numFmtId="3" fontId="7" fillId="0" borderId="0" xfId="4" applyNumberFormat="1" applyFont="1" applyAlignment="1">
      <alignment horizontal="center" vertical="center"/>
    </xf>
    <xf numFmtId="38" fontId="7" fillId="0" borderId="0" xfId="4" applyFont="1" applyFill="1">
      <alignment vertical="center"/>
    </xf>
    <xf numFmtId="10" fontId="7" fillId="0" borderId="0" xfId="6" applyNumberFormat="1" applyFont="1" applyAlignment="1">
      <alignment horizontal="center" vertical="center"/>
    </xf>
    <xf numFmtId="10" fontId="7" fillId="0" borderId="0" xfId="3" applyNumberFormat="1" applyFont="1" applyAlignment="1">
      <alignment horizontal="center" vertical="center"/>
    </xf>
    <xf numFmtId="38" fontId="7" fillId="0" borderId="0" xfId="4" applyFont="1" applyFill="1" applyBorder="1" applyAlignment="1">
      <alignment horizontal="center" vertical="center"/>
    </xf>
    <xf numFmtId="0" fontId="7" fillId="0" borderId="5" xfId="3" applyFont="1" applyFill="1" applyBorder="1" applyAlignment="1">
      <alignment horizontal="center" vertical="center"/>
    </xf>
    <xf numFmtId="0" fontId="7" fillId="0" borderId="0" xfId="3" applyFont="1" applyBorder="1" applyAlignment="1">
      <alignment horizontal="center" vertical="center"/>
    </xf>
    <xf numFmtId="0" fontId="7" fillId="0" borderId="15" xfId="3" applyFont="1" applyBorder="1">
      <alignment vertical="center"/>
    </xf>
    <xf numFmtId="0" fontId="14" fillId="9" borderId="16" xfId="3" applyFont="1" applyFill="1" applyBorder="1" applyAlignment="1">
      <alignment horizontal="center" vertical="center"/>
    </xf>
    <xf numFmtId="0" fontId="14" fillId="9" borderId="17" xfId="3" applyFont="1" applyFill="1" applyBorder="1" applyAlignment="1">
      <alignment horizontal="center" vertical="center"/>
    </xf>
    <xf numFmtId="0" fontId="14" fillId="9" borderId="18" xfId="3" applyFont="1" applyFill="1" applyBorder="1" applyAlignment="1">
      <alignment horizontal="center" vertical="center"/>
    </xf>
    <xf numFmtId="0" fontId="14" fillId="9" borderId="19" xfId="3" applyFont="1" applyFill="1" applyBorder="1" applyAlignment="1">
      <alignment horizontal="center" vertical="center"/>
    </xf>
    <xf numFmtId="0" fontId="14" fillId="9" borderId="0" xfId="3" applyFont="1" applyFill="1" applyBorder="1" applyAlignment="1">
      <alignment horizontal="center" vertical="center"/>
    </xf>
    <xf numFmtId="0" fontId="7" fillId="0" borderId="20" xfId="3" applyFont="1" applyBorder="1">
      <alignment vertical="center"/>
    </xf>
    <xf numFmtId="0" fontId="7" fillId="0" borderId="22" xfId="3" applyFont="1" applyBorder="1">
      <alignment vertical="center"/>
    </xf>
    <xf numFmtId="0" fontId="7" fillId="0" borderId="24" xfId="3" applyFont="1" applyBorder="1" applyAlignment="1">
      <alignment horizontal="center" vertical="center"/>
    </xf>
    <xf numFmtId="0" fontId="7" fillId="0" borderId="25" xfId="3" applyFont="1" applyBorder="1">
      <alignment vertical="center"/>
    </xf>
    <xf numFmtId="14" fontId="7" fillId="0" borderId="27" xfId="3" applyNumberFormat="1" applyFont="1" applyBorder="1">
      <alignment vertical="center"/>
    </xf>
    <xf numFmtId="0" fontId="7" fillId="0" borderId="0" xfId="3" applyFont="1" applyBorder="1">
      <alignment vertical="center"/>
    </xf>
    <xf numFmtId="0" fontId="7" fillId="3" borderId="10" xfId="3" applyFont="1" applyFill="1" applyBorder="1" applyAlignment="1">
      <alignment horizontal="center" vertical="center"/>
    </xf>
    <xf numFmtId="0" fontId="7" fillId="0" borderId="10" xfId="3" applyFont="1" applyFill="1" applyBorder="1" applyAlignment="1">
      <alignment horizontal="center" vertical="center"/>
    </xf>
    <xf numFmtId="0" fontId="7" fillId="3" borderId="0" xfId="3" applyFont="1" applyFill="1" applyBorder="1" applyAlignment="1">
      <alignment horizontal="center" vertical="center"/>
    </xf>
    <xf numFmtId="0" fontId="7" fillId="3" borderId="8" xfId="3" applyFont="1" applyFill="1" applyBorder="1" applyAlignment="1">
      <alignment horizontal="center" vertical="center"/>
    </xf>
    <xf numFmtId="0" fontId="7" fillId="0" borderId="21" xfId="3" applyFont="1" applyFill="1" applyBorder="1" applyAlignment="1">
      <alignment horizontal="center" vertical="center"/>
    </xf>
    <xf numFmtId="0" fontId="7" fillId="0" borderId="23" xfId="3" applyFont="1" applyFill="1" applyBorder="1" applyAlignment="1">
      <alignment horizontal="center" vertical="center"/>
    </xf>
    <xf numFmtId="0" fontId="9" fillId="0" borderId="0" xfId="3" applyFont="1" applyAlignment="1">
      <alignment horizontal="right" vertical="center"/>
    </xf>
    <xf numFmtId="0" fontId="9" fillId="0" borderId="0" xfId="3" applyFont="1">
      <alignment vertical="center"/>
    </xf>
    <xf numFmtId="0" fontId="13" fillId="9" borderId="1" xfId="3" applyFont="1" applyFill="1" applyBorder="1" applyAlignment="1">
      <alignment horizontal="center" vertical="center"/>
    </xf>
    <xf numFmtId="0" fontId="13" fillId="8" borderId="2" xfId="3" applyFont="1" applyFill="1" applyBorder="1" applyAlignment="1">
      <alignment horizontal="center" vertical="center"/>
    </xf>
    <xf numFmtId="0" fontId="7" fillId="0" borderId="28" xfId="3" applyFont="1" applyBorder="1" applyAlignment="1">
      <alignment horizontal="center" vertical="center"/>
    </xf>
    <xf numFmtId="0" fontId="7" fillId="0" borderId="29" xfId="3" applyFont="1" applyBorder="1" applyAlignment="1">
      <alignment horizontal="center" vertical="center"/>
    </xf>
    <xf numFmtId="38" fontId="7" fillId="0" borderId="30" xfId="4" applyFont="1" applyBorder="1" applyAlignment="1">
      <alignment horizontal="center" vertical="center"/>
    </xf>
    <xf numFmtId="38" fontId="7" fillId="0" borderId="31" xfId="4" applyFont="1" applyBorder="1" applyAlignment="1">
      <alignment horizontal="center" vertical="center"/>
    </xf>
    <xf numFmtId="38" fontId="9" fillId="0" borderId="0" xfId="3" applyNumberFormat="1" applyFont="1">
      <alignment vertical="center"/>
    </xf>
    <xf numFmtId="38" fontId="7" fillId="0" borderId="0" xfId="3" applyNumberFormat="1" applyFont="1">
      <alignment vertical="center"/>
    </xf>
    <xf numFmtId="0" fontId="9" fillId="6" borderId="3" xfId="3" applyFont="1" applyFill="1" applyBorder="1" applyAlignment="1">
      <alignment horizontal="center" vertical="center"/>
    </xf>
    <xf numFmtId="179" fontId="9" fillId="6" borderId="3" xfId="3" applyNumberFormat="1" applyFont="1" applyFill="1" applyBorder="1" applyAlignment="1">
      <alignment horizontal="center" vertical="center"/>
    </xf>
    <xf numFmtId="38" fontId="9" fillId="6" borderId="3" xfId="4" applyFont="1" applyFill="1" applyBorder="1" applyAlignment="1">
      <alignment horizontal="center" vertical="center"/>
    </xf>
    <xf numFmtId="14" fontId="9" fillId="6" borderId="3" xfId="3" applyNumberFormat="1" applyFont="1" applyFill="1" applyBorder="1" applyAlignment="1">
      <alignment horizontal="center" vertical="center"/>
    </xf>
    <xf numFmtId="38" fontId="9" fillId="6" borderId="3" xfId="3" applyNumberFormat="1" applyFont="1" applyFill="1" applyBorder="1" applyAlignment="1">
      <alignment horizontal="center" vertical="center"/>
    </xf>
    <xf numFmtId="181" fontId="9" fillId="6" borderId="3" xfId="3" applyNumberFormat="1" applyFont="1" applyFill="1" applyBorder="1" applyAlignment="1">
      <alignment horizontal="center" vertical="center"/>
    </xf>
    <xf numFmtId="3" fontId="9" fillId="6" borderId="3" xfId="4" applyNumberFormat="1" applyFont="1" applyFill="1" applyBorder="1" applyAlignment="1">
      <alignment horizontal="center" vertical="center"/>
    </xf>
    <xf numFmtId="0" fontId="9" fillId="6" borderId="4" xfId="3" applyFont="1" applyFill="1" applyBorder="1" applyAlignment="1">
      <alignment horizontal="center" vertical="center"/>
    </xf>
    <xf numFmtId="38" fontId="9" fillId="6" borderId="0" xfId="4" applyFont="1" applyFill="1" applyAlignment="1">
      <alignment horizontal="center" vertical="center"/>
    </xf>
    <xf numFmtId="10" fontId="9" fillId="6" borderId="0" xfId="6" applyNumberFormat="1" applyFont="1" applyFill="1" applyAlignment="1">
      <alignment horizontal="center" vertical="center"/>
    </xf>
    <xf numFmtId="10" fontId="9" fillId="6" borderId="0" xfId="3" applyNumberFormat="1" applyFont="1" applyFill="1" applyAlignment="1">
      <alignment horizontal="center" vertical="center"/>
    </xf>
    <xf numFmtId="38" fontId="7" fillId="0" borderId="0" xfId="4" applyFont="1" applyBorder="1" applyAlignment="1">
      <alignment horizontal="center" vertical="center"/>
    </xf>
    <xf numFmtId="179" fontId="9" fillId="0" borderId="8" xfId="3" applyNumberFormat="1" applyFont="1" applyFill="1" applyBorder="1" applyAlignment="1">
      <alignment horizontal="center" vertical="center"/>
    </xf>
    <xf numFmtId="14" fontId="9" fillId="0" borderId="0" xfId="3" applyNumberFormat="1" applyFont="1" applyFill="1" applyBorder="1" applyAlignment="1">
      <alignment horizontal="center" vertical="center"/>
    </xf>
    <xf numFmtId="10" fontId="7" fillId="0" borderId="0" xfId="8" applyNumberFormat="1" applyFont="1" applyAlignment="1">
      <alignment horizontal="center" vertical="center"/>
    </xf>
    <xf numFmtId="181" fontId="7" fillId="7" borderId="11" xfId="3" applyNumberFormat="1" applyFont="1" applyFill="1" applyBorder="1" applyAlignment="1">
      <alignment horizontal="center" vertical="center"/>
    </xf>
    <xf numFmtId="0" fontId="13" fillId="8" borderId="11" xfId="3" applyFont="1" applyFill="1" applyBorder="1" applyAlignment="1">
      <alignment horizontal="center" vertical="center"/>
    </xf>
    <xf numFmtId="3" fontId="9" fillId="0" borderId="8" xfId="3" applyNumberFormat="1" applyFont="1" applyFill="1" applyBorder="1" applyAlignment="1">
      <alignment horizontal="center" vertical="center"/>
    </xf>
    <xf numFmtId="0" fontId="9" fillId="0" borderId="8" xfId="3" applyFont="1" applyBorder="1" applyAlignment="1">
      <alignment horizontal="center" vertical="center"/>
    </xf>
    <xf numFmtId="0" fontId="7" fillId="0" borderId="26" xfId="3" applyFont="1" applyFill="1" applyBorder="1" applyAlignment="1">
      <alignment horizontal="center" vertical="center"/>
    </xf>
    <xf numFmtId="0" fontId="9" fillId="3" borderId="0" xfId="3" applyFont="1" applyFill="1" applyAlignment="1">
      <alignment horizontal="center" vertical="center"/>
    </xf>
    <xf numFmtId="0" fontId="4" fillId="0" borderId="0" xfId="2" applyAlignment="1" applyProtection="1">
      <alignment horizontal="left" vertical="center"/>
    </xf>
    <xf numFmtId="0" fontId="9" fillId="6" borderId="0" xfId="3" applyFont="1" applyFill="1" applyAlignment="1">
      <alignment horizontal="center" vertical="center"/>
    </xf>
    <xf numFmtId="0" fontId="4" fillId="4" borderId="4" xfId="2" applyFill="1" applyBorder="1" applyAlignment="1" applyProtection="1">
      <alignment horizontal="center" vertical="center"/>
    </xf>
    <xf numFmtId="38" fontId="13" fillId="8" borderId="11" xfId="3" applyNumberFormat="1" applyFont="1" applyFill="1" applyBorder="1" applyAlignment="1">
      <alignment horizontal="center" vertical="center"/>
    </xf>
    <xf numFmtId="3" fontId="13" fillId="8" borderId="11" xfId="4" applyNumberFormat="1" applyFont="1" applyFill="1" applyBorder="1" applyAlignment="1">
      <alignment horizontal="center" vertical="center"/>
    </xf>
    <xf numFmtId="38" fontId="16" fillId="0" borderId="0" xfId="4" applyFont="1" applyAlignment="1">
      <alignment horizontal="left" vertical="center"/>
    </xf>
    <xf numFmtId="181" fontId="7" fillId="11" borderId="8" xfId="3" applyNumberFormat="1" applyFont="1" applyFill="1" applyBorder="1" applyAlignment="1">
      <alignment horizontal="center" vertical="center"/>
    </xf>
    <xf numFmtId="0" fontId="9" fillId="0" borderId="0" xfId="3" applyFont="1" applyAlignment="1">
      <alignment horizontal="left" vertical="center"/>
    </xf>
    <xf numFmtId="0" fontId="9" fillId="11" borderId="0" xfId="3" applyFont="1" applyFill="1" applyAlignment="1">
      <alignment horizontal="right" vertical="center"/>
    </xf>
    <xf numFmtId="0" fontId="9" fillId="5" borderId="0" xfId="3" applyFont="1" applyFill="1" applyAlignment="1">
      <alignment horizontal="right" vertical="center"/>
    </xf>
    <xf numFmtId="0" fontId="9" fillId="3" borderId="0" xfId="3" applyFont="1" applyFill="1" applyAlignment="1">
      <alignment horizontal="right" vertical="center"/>
    </xf>
    <xf numFmtId="0" fontId="9" fillId="12" borderId="0" xfId="3" applyFont="1" applyFill="1" applyAlignment="1">
      <alignment horizontal="right" vertical="center"/>
    </xf>
    <xf numFmtId="38" fontId="7" fillId="0" borderId="8" xfId="3" applyNumberFormat="1" applyFont="1" applyBorder="1">
      <alignment vertical="center"/>
    </xf>
    <xf numFmtId="3" fontId="7" fillId="0" borderId="8" xfId="3" applyNumberFormat="1" applyFont="1" applyBorder="1">
      <alignment vertical="center"/>
    </xf>
    <xf numFmtId="38" fontId="7" fillId="0" borderId="10" xfId="3" applyNumberFormat="1" applyFont="1" applyBorder="1">
      <alignment vertical="center"/>
    </xf>
    <xf numFmtId="3" fontId="7" fillId="0" borderId="10" xfId="3" applyNumberFormat="1" applyFont="1" applyBorder="1">
      <alignment vertical="center"/>
    </xf>
    <xf numFmtId="38" fontId="7" fillId="0" borderId="7" xfId="3" applyNumberFormat="1" applyFont="1" applyBorder="1">
      <alignment vertical="center"/>
    </xf>
    <xf numFmtId="0" fontId="9" fillId="7" borderId="0" xfId="3" applyFont="1" applyFill="1" applyAlignment="1">
      <alignment horizontal="right" vertical="center"/>
    </xf>
    <xf numFmtId="0" fontId="9" fillId="0" borderId="0" xfId="3" applyFont="1" applyAlignment="1">
      <alignment horizontal="center" vertical="center"/>
    </xf>
    <xf numFmtId="0" fontId="9" fillId="6" borderId="32" xfId="3" applyFont="1" applyFill="1" applyBorder="1" applyAlignment="1">
      <alignment horizontal="center" vertical="center"/>
    </xf>
    <xf numFmtId="38" fontId="9" fillId="0" borderId="17" xfId="4" applyFont="1" applyFill="1" applyBorder="1" applyAlignment="1">
      <alignment horizontal="center" vertical="center"/>
    </xf>
    <xf numFmtId="38" fontId="7" fillId="13" borderId="7" xfId="3" applyNumberFormat="1" applyFont="1" applyFill="1" applyBorder="1">
      <alignment vertical="center"/>
    </xf>
    <xf numFmtId="38" fontId="7" fillId="13" borderId="8" xfId="3" applyNumberFormat="1" applyFont="1" applyFill="1" applyBorder="1">
      <alignment vertical="center"/>
    </xf>
    <xf numFmtId="38" fontId="7" fillId="13" borderId="10" xfId="3" applyNumberFormat="1" applyFont="1" applyFill="1" applyBorder="1">
      <alignment vertical="center"/>
    </xf>
    <xf numFmtId="38" fontId="7" fillId="13" borderId="7" xfId="7" applyFont="1" applyFill="1" applyBorder="1">
      <alignment vertical="center"/>
    </xf>
    <xf numFmtId="38" fontId="7" fillId="13" borderId="8" xfId="7" applyFont="1" applyFill="1" applyBorder="1">
      <alignment vertical="center"/>
    </xf>
    <xf numFmtId="38" fontId="7" fillId="13" borderId="10" xfId="7" applyFont="1" applyFill="1" applyBorder="1">
      <alignment vertical="center"/>
    </xf>
    <xf numFmtId="3" fontId="7" fillId="13" borderId="7" xfId="3" applyNumberFormat="1" applyFont="1" applyFill="1" applyBorder="1">
      <alignment vertical="center"/>
    </xf>
    <xf numFmtId="3" fontId="7" fillId="13" borderId="8" xfId="3" applyNumberFormat="1" applyFont="1" applyFill="1" applyBorder="1">
      <alignment vertical="center"/>
    </xf>
    <xf numFmtId="3" fontId="7" fillId="13" borderId="10" xfId="3" applyNumberFormat="1" applyFont="1" applyFill="1" applyBorder="1">
      <alignment vertical="center"/>
    </xf>
    <xf numFmtId="0" fontId="9" fillId="13" borderId="0" xfId="3" applyFont="1" applyFill="1">
      <alignment vertical="center"/>
    </xf>
    <xf numFmtId="38" fontId="11" fillId="0" borderId="0" xfId="4" applyFont="1" applyAlignment="1">
      <alignment horizontal="center" vertical="center"/>
    </xf>
    <xf numFmtId="3" fontId="7" fillId="13" borderId="33" xfId="3" applyNumberFormat="1" applyFont="1" applyFill="1" applyBorder="1">
      <alignment vertical="center"/>
    </xf>
    <xf numFmtId="0" fontId="17" fillId="6" borderId="16" xfId="3" applyFont="1" applyFill="1" applyBorder="1" applyAlignment="1">
      <alignment horizontal="center" vertical="center"/>
    </xf>
    <xf numFmtId="0" fontId="17" fillId="6" borderId="17" xfId="3" applyFont="1" applyFill="1" applyBorder="1" applyAlignment="1">
      <alignment horizontal="center" vertical="center"/>
    </xf>
    <xf numFmtId="0" fontId="17" fillId="6" borderId="19" xfId="3" applyFont="1" applyFill="1" applyBorder="1" applyAlignment="1">
      <alignment horizontal="center" vertical="center"/>
    </xf>
    <xf numFmtId="10" fontId="7" fillId="0" borderId="34" xfId="8" applyNumberFormat="1" applyFont="1" applyBorder="1" applyAlignment="1">
      <alignment horizontal="center" vertical="center"/>
    </xf>
    <xf numFmtId="0" fontId="7" fillId="0" borderId="11" xfId="3" applyFont="1" applyFill="1" applyBorder="1" applyAlignment="1">
      <alignment horizontal="center" vertical="center"/>
    </xf>
    <xf numFmtId="0" fontId="7" fillId="14" borderId="10" xfId="3" applyFont="1" applyFill="1" applyBorder="1" applyAlignment="1">
      <alignment horizontal="center" vertical="center"/>
    </xf>
    <xf numFmtId="179" fontId="9" fillId="3" borderId="12" xfId="3" applyNumberFormat="1" applyFont="1" applyFill="1" applyBorder="1" applyAlignment="1">
      <alignment vertical="center"/>
    </xf>
    <xf numFmtId="0" fontId="9" fillId="5" borderId="0" xfId="3" applyFont="1" applyFill="1" applyAlignment="1">
      <alignment horizontal="center" vertical="center"/>
    </xf>
    <xf numFmtId="14" fontId="7" fillId="0" borderId="5" xfId="3" applyNumberFormat="1" applyFont="1" applyFill="1" applyBorder="1" applyAlignment="1">
      <alignment horizontal="center" vertical="center"/>
    </xf>
    <xf numFmtId="38" fontId="7" fillId="0" borderId="5" xfId="4" applyFont="1" applyFill="1" applyBorder="1" applyAlignment="1">
      <alignment horizontal="center" vertical="center"/>
    </xf>
    <xf numFmtId="180" fontId="7" fillId="0" borderId="5" xfId="3" applyNumberFormat="1" applyFont="1" applyFill="1" applyBorder="1" applyAlignment="1">
      <alignment horizontal="center" vertical="center"/>
    </xf>
    <xf numFmtId="179" fontId="7" fillId="0" borderId="5" xfId="3" applyNumberFormat="1" applyFont="1" applyFill="1" applyBorder="1" applyAlignment="1">
      <alignment horizontal="center" vertical="center"/>
    </xf>
    <xf numFmtId="0" fontId="11" fillId="0" borderId="8" xfId="3" applyFont="1" applyFill="1" applyBorder="1" applyAlignment="1">
      <alignment horizontal="center" vertical="center"/>
    </xf>
    <xf numFmtId="38" fontId="12" fillId="0" borderId="8" xfId="4" applyFont="1" applyFill="1" applyBorder="1" applyAlignment="1">
      <alignment horizontal="center" vertical="center"/>
    </xf>
    <xf numFmtId="14" fontId="7" fillId="0" borderId="11" xfId="3" applyNumberFormat="1" applyFont="1" applyFill="1" applyBorder="1" applyAlignment="1">
      <alignment horizontal="center" vertical="center"/>
    </xf>
    <xf numFmtId="38" fontId="7" fillId="0" borderId="11" xfId="4" applyFont="1" applyFill="1" applyBorder="1" applyAlignment="1">
      <alignment horizontal="center" vertical="center"/>
    </xf>
    <xf numFmtId="179" fontId="7" fillId="0" borderId="11" xfId="3" applyNumberFormat="1" applyFont="1" applyFill="1" applyBorder="1" applyAlignment="1">
      <alignment horizontal="center" vertical="center"/>
    </xf>
    <xf numFmtId="0" fontId="11" fillId="0" borderId="11" xfId="3" applyFont="1" applyFill="1" applyBorder="1" applyAlignment="1">
      <alignment horizontal="center" vertical="center"/>
    </xf>
    <xf numFmtId="38" fontId="11" fillId="0" borderId="11" xfId="4" applyFont="1" applyFill="1" applyBorder="1" applyAlignment="1">
      <alignment horizontal="center" vertical="center"/>
    </xf>
    <xf numFmtId="0" fontId="9" fillId="0" borderId="11" xfId="3" applyFont="1" applyFill="1" applyBorder="1" applyAlignment="1">
      <alignment horizontal="center" vertical="center"/>
    </xf>
    <xf numFmtId="0" fontId="9" fillId="15" borderId="11" xfId="3" applyFont="1" applyFill="1" applyBorder="1" applyAlignment="1">
      <alignment horizontal="center" vertical="center"/>
    </xf>
    <xf numFmtId="179" fontId="9" fillId="15" borderId="11" xfId="3" applyNumberFormat="1" applyFont="1" applyFill="1" applyBorder="1" applyAlignment="1">
      <alignment horizontal="center" vertical="center"/>
    </xf>
    <xf numFmtId="14" fontId="9" fillId="15" borderId="11" xfId="3" applyNumberFormat="1" applyFont="1" applyFill="1" applyBorder="1" applyAlignment="1">
      <alignment horizontal="center" vertical="center"/>
    </xf>
    <xf numFmtId="38" fontId="9" fillId="15" borderId="11" xfId="3" applyNumberFormat="1" applyFont="1" applyFill="1" applyBorder="1" applyAlignment="1">
      <alignment horizontal="center" vertical="center"/>
    </xf>
    <xf numFmtId="181" fontId="9" fillId="15" borderId="11" xfId="3" applyNumberFormat="1" applyFont="1" applyFill="1" applyBorder="1" applyAlignment="1">
      <alignment horizontal="center" vertical="center"/>
    </xf>
    <xf numFmtId="0" fontId="7" fillId="15" borderId="8" xfId="3" applyFont="1" applyFill="1" applyBorder="1" applyAlignment="1">
      <alignment horizontal="center" vertical="center"/>
    </xf>
    <xf numFmtId="179" fontId="7" fillId="15" borderId="8" xfId="3" applyNumberFormat="1" applyFont="1" applyFill="1" applyBorder="1" applyAlignment="1">
      <alignment horizontal="center" vertical="center"/>
    </xf>
    <xf numFmtId="14" fontId="7" fillId="15" borderId="8" xfId="3" applyNumberFormat="1" applyFont="1" applyFill="1" applyBorder="1" applyAlignment="1">
      <alignment horizontal="center" vertical="center"/>
    </xf>
    <xf numFmtId="38" fontId="7" fillId="15" borderId="8" xfId="3" applyNumberFormat="1" applyFont="1" applyFill="1" applyBorder="1" applyAlignment="1">
      <alignment horizontal="center" vertical="center"/>
    </xf>
    <xf numFmtId="181" fontId="7" fillId="15" borderId="8" xfId="3" applyNumberFormat="1" applyFont="1" applyFill="1" applyBorder="1" applyAlignment="1">
      <alignment horizontal="center" vertical="center"/>
    </xf>
    <xf numFmtId="3" fontId="9" fillId="0" borderId="7" xfId="3" applyNumberFormat="1" applyFont="1" applyFill="1" applyBorder="1" applyAlignment="1">
      <alignment horizontal="center" vertical="center"/>
    </xf>
    <xf numFmtId="0" fontId="7" fillId="0" borderId="8" xfId="3" applyFont="1" applyBorder="1">
      <alignment vertical="center"/>
    </xf>
    <xf numFmtId="0" fontId="7" fillId="0" borderId="7" xfId="3" applyFont="1" applyBorder="1">
      <alignment vertical="center"/>
    </xf>
    <xf numFmtId="0" fontId="7" fillId="0" borderId="35" xfId="3" applyFont="1" applyBorder="1" applyAlignment="1">
      <alignment horizontal="center" vertical="center"/>
    </xf>
    <xf numFmtId="0" fontId="7" fillId="0" borderId="35" xfId="3" applyFont="1" applyBorder="1">
      <alignment vertical="center"/>
    </xf>
    <xf numFmtId="0" fontId="9" fillId="0" borderId="35" xfId="3" applyFont="1" applyBorder="1">
      <alignment vertical="center"/>
    </xf>
    <xf numFmtId="0" fontId="9" fillId="0" borderId="35" xfId="3" applyFont="1" applyBorder="1" applyAlignment="1">
      <alignment horizontal="center" vertical="center"/>
    </xf>
    <xf numFmtId="14" fontId="9" fillId="6" borderId="3" xfId="3" applyNumberFormat="1" applyFont="1" applyFill="1" applyBorder="1">
      <alignment vertical="center"/>
    </xf>
    <xf numFmtId="0" fontId="9" fillId="6" borderId="3" xfId="3" applyFont="1" applyFill="1" applyBorder="1">
      <alignment vertical="center"/>
    </xf>
    <xf numFmtId="0" fontId="9" fillId="6" borderId="42" xfId="3" applyFont="1" applyFill="1" applyBorder="1" applyAlignment="1">
      <alignment horizontal="center" vertical="center"/>
    </xf>
    <xf numFmtId="0" fontId="9" fillId="6" borderId="44" xfId="3" applyFont="1" applyFill="1" applyBorder="1" applyAlignment="1">
      <alignment horizontal="center" vertical="center"/>
    </xf>
    <xf numFmtId="38" fontId="7" fillId="13" borderId="36" xfId="7" applyFont="1" applyFill="1" applyBorder="1">
      <alignment vertical="center"/>
    </xf>
    <xf numFmtId="38" fontId="7" fillId="13" borderId="45" xfId="7" applyFont="1" applyFill="1" applyBorder="1">
      <alignment vertical="center"/>
    </xf>
    <xf numFmtId="3" fontId="7" fillId="13" borderId="22" xfId="3" applyNumberFormat="1" applyFont="1" applyFill="1" applyBorder="1">
      <alignment vertical="center"/>
    </xf>
    <xf numFmtId="3" fontId="7" fillId="13" borderId="25" xfId="3" applyNumberFormat="1" applyFont="1" applyFill="1" applyBorder="1">
      <alignment vertical="center"/>
    </xf>
    <xf numFmtId="38" fontId="7" fillId="13" borderId="40" xfId="7" applyFont="1" applyFill="1" applyBorder="1">
      <alignment vertical="center"/>
    </xf>
    <xf numFmtId="38" fontId="7" fillId="0" borderId="8" xfId="3" applyNumberFormat="1" applyFont="1" applyFill="1" applyBorder="1" applyAlignment="1">
      <alignment horizontal="center" vertical="center"/>
    </xf>
    <xf numFmtId="0" fontId="13" fillId="0" borderId="8" xfId="3" applyFont="1" applyFill="1" applyBorder="1" applyAlignment="1">
      <alignment horizontal="center" vertical="center"/>
    </xf>
    <xf numFmtId="3" fontId="7" fillId="0" borderId="8" xfId="4" applyNumberFormat="1" applyFont="1" applyFill="1" applyBorder="1" applyAlignment="1">
      <alignment horizontal="center" vertical="center"/>
    </xf>
    <xf numFmtId="0" fontId="7" fillId="0" borderId="0" xfId="3" applyFont="1" applyFill="1">
      <alignment vertical="center"/>
    </xf>
    <xf numFmtId="14" fontId="7" fillId="0" borderId="0" xfId="3" applyNumberFormat="1" applyFont="1" applyFill="1" applyBorder="1" applyAlignment="1">
      <alignment horizontal="center" vertical="center"/>
    </xf>
    <xf numFmtId="38" fontId="7" fillId="0" borderId="6" xfId="4" applyFont="1" applyFill="1" applyBorder="1" applyAlignment="1">
      <alignment horizontal="center" vertical="center"/>
    </xf>
    <xf numFmtId="49" fontId="9" fillId="6" borderId="3" xfId="3" applyNumberFormat="1" applyFont="1" applyFill="1" applyBorder="1" applyAlignment="1">
      <alignment horizontal="center" vertical="center"/>
    </xf>
    <xf numFmtId="49" fontId="9" fillId="0" borderId="13" xfId="3" applyNumberFormat="1" applyFont="1" applyFill="1" applyBorder="1" applyAlignment="1">
      <alignment horizontal="center" vertical="center"/>
    </xf>
    <xf numFmtId="49" fontId="7" fillId="0" borderId="8" xfId="3" applyNumberFormat="1" applyFont="1" applyFill="1" applyBorder="1" applyAlignment="1">
      <alignment horizontal="center" vertical="center"/>
    </xf>
    <xf numFmtId="49" fontId="7" fillId="0" borderId="7" xfId="3" applyNumberFormat="1" applyFont="1" applyFill="1" applyBorder="1" applyAlignment="1">
      <alignment horizontal="center" vertical="center"/>
    </xf>
    <xf numFmtId="49" fontId="7" fillId="0" borderId="0" xfId="3" applyNumberFormat="1" applyFont="1" applyFill="1" applyAlignment="1">
      <alignment horizontal="center" vertical="center"/>
    </xf>
    <xf numFmtId="38" fontId="7" fillId="0" borderId="40" xfId="7" applyFont="1" applyBorder="1">
      <alignment vertical="center"/>
    </xf>
    <xf numFmtId="38" fontId="7" fillId="0" borderId="41" xfId="7" applyFont="1" applyBorder="1">
      <alignment vertical="center"/>
    </xf>
    <xf numFmtId="38" fontId="7" fillId="0" borderId="36" xfId="7" applyFont="1" applyBorder="1">
      <alignment vertical="center"/>
    </xf>
    <xf numFmtId="38" fontId="7" fillId="0" borderId="37" xfId="7" applyFont="1" applyBorder="1">
      <alignment vertical="center"/>
    </xf>
    <xf numFmtId="38" fontId="7" fillId="0" borderId="38" xfId="7" applyFont="1" applyBorder="1">
      <alignment vertical="center"/>
    </xf>
    <xf numFmtId="38" fontId="7" fillId="0" borderId="39" xfId="7" applyFont="1" applyBorder="1">
      <alignment vertical="center"/>
    </xf>
    <xf numFmtId="38" fontId="7" fillId="0" borderId="0" xfId="7" applyFont="1">
      <alignment vertical="center"/>
    </xf>
    <xf numFmtId="10" fontId="7" fillId="0" borderId="8" xfId="8" applyNumberFormat="1" applyFont="1" applyBorder="1" applyAlignment="1">
      <alignment horizontal="center" vertical="center"/>
    </xf>
    <xf numFmtId="10" fontId="7" fillId="0" borderId="8" xfId="3" applyNumberFormat="1" applyFont="1" applyBorder="1" applyAlignment="1">
      <alignment horizontal="center" vertical="center"/>
    </xf>
    <xf numFmtId="38" fontId="7" fillId="0" borderId="8" xfId="7" applyFont="1" applyBorder="1" applyAlignment="1">
      <alignment horizontal="center" vertical="center"/>
    </xf>
    <xf numFmtId="38" fontId="7" fillId="0" borderId="8" xfId="3" applyNumberFormat="1" applyFont="1" applyBorder="1" applyAlignment="1">
      <alignment horizontal="center" vertical="center"/>
    </xf>
    <xf numFmtId="184" fontId="7" fillId="0" borderId="0" xfId="3" applyNumberFormat="1" applyFont="1" applyAlignment="1">
      <alignment horizontal="center" vertical="center"/>
    </xf>
    <xf numFmtId="0" fontId="14" fillId="9" borderId="8" xfId="3" applyFont="1" applyFill="1" applyBorder="1" applyAlignment="1">
      <alignment horizontal="right" vertical="center"/>
    </xf>
    <xf numFmtId="0" fontId="14" fillId="9" borderId="10" xfId="3" applyFont="1" applyFill="1" applyBorder="1" applyAlignment="1">
      <alignment horizontal="right" vertical="center"/>
    </xf>
    <xf numFmtId="184" fontId="7" fillId="0" borderId="7" xfId="3" applyNumberFormat="1" applyFont="1" applyBorder="1" applyAlignment="1">
      <alignment horizontal="center" vertical="center"/>
    </xf>
    <xf numFmtId="0" fontId="14" fillId="9" borderId="3" xfId="3" applyFont="1" applyFill="1" applyBorder="1" applyAlignment="1">
      <alignment horizontal="center" vertical="center"/>
    </xf>
    <xf numFmtId="0" fontId="14" fillId="16" borderId="3" xfId="3" applyFont="1" applyFill="1" applyBorder="1" applyAlignment="1">
      <alignment horizontal="center" vertical="center"/>
    </xf>
    <xf numFmtId="0" fontId="9" fillId="6" borderId="43" xfId="3" applyFont="1" applyFill="1" applyBorder="1" applyAlignment="1">
      <alignment horizontal="center" vertical="center"/>
    </xf>
    <xf numFmtId="38" fontId="7" fillId="0" borderId="8" xfId="7" applyFont="1" applyFill="1" applyBorder="1" applyAlignment="1">
      <alignment horizontal="center" vertical="center"/>
    </xf>
    <xf numFmtId="183" fontId="7" fillId="0" borderId="11" xfId="8" applyNumberFormat="1" applyFont="1" applyBorder="1" applyAlignment="1">
      <alignment horizontal="center" vertical="center"/>
    </xf>
    <xf numFmtId="38" fontId="7" fillId="0" borderId="8" xfId="7" applyNumberFormat="1" applyFont="1" applyBorder="1" applyAlignment="1">
      <alignment horizontal="center" vertical="center"/>
    </xf>
    <xf numFmtId="3" fontId="7" fillId="0" borderId="0" xfId="3" applyNumberFormat="1" applyFont="1" applyFill="1" applyAlignment="1">
      <alignment horizontal="center" vertical="center"/>
    </xf>
    <xf numFmtId="0" fontId="7" fillId="0" borderId="0" xfId="3" applyFont="1" applyFill="1" applyBorder="1" applyAlignment="1">
      <alignment horizontal="center" vertical="center"/>
    </xf>
    <xf numFmtId="0" fontId="7" fillId="17" borderId="7" xfId="3" applyFont="1" applyFill="1" applyBorder="1" applyAlignment="1">
      <alignment horizontal="center" vertical="center"/>
    </xf>
    <xf numFmtId="10" fontId="7" fillId="17" borderId="8" xfId="8" applyNumberFormat="1" applyFont="1" applyFill="1" applyBorder="1" applyAlignment="1">
      <alignment horizontal="center" vertical="center"/>
    </xf>
    <xf numFmtId="10" fontId="7" fillId="17" borderId="8" xfId="3" applyNumberFormat="1" applyFont="1" applyFill="1" applyBorder="1" applyAlignment="1">
      <alignment horizontal="center" vertical="center"/>
    </xf>
    <xf numFmtId="0" fontId="7" fillId="17" borderId="8" xfId="3" applyFont="1" applyFill="1" applyBorder="1" applyAlignment="1">
      <alignment horizontal="center" vertical="center"/>
    </xf>
    <xf numFmtId="38" fontId="7" fillId="17" borderId="8" xfId="7" applyFont="1" applyFill="1" applyBorder="1" applyAlignment="1">
      <alignment horizontal="center" vertical="center"/>
    </xf>
    <xf numFmtId="38" fontId="7" fillId="17" borderId="8" xfId="3" applyNumberFormat="1" applyFont="1" applyFill="1" applyBorder="1" applyAlignment="1">
      <alignment horizontal="center" vertical="center"/>
    </xf>
    <xf numFmtId="38" fontId="7" fillId="17" borderId="8" xfId="7" applyNumberFormat="1" applyFont="1" applyFill="1" applyBorder="1" applyAlignment="1">
      <alignment horizontal="center" vertical="center"/>
    </xf>
    <xf numFmtId="183" fontId="7" fillId="17" borderId="11" xfId="8" applyNumberFormat="1" applyFont="1" applyFill="1" applyBorder="1" applyAlignment="1">
      <alignment horizontal="center" vertical="center"/>
    </xf>
    <xf numFmtId="0" fontId="7" fillId="17" borderId="11" xfId="3" applyFont="1" applyFill="1" applyBorder="1" applyAlignment="1">
      <alignment horizontal="center" vertical="center"/>
    </xf>
    <xf numFmtId="184" fontId="7" fillId="17" borderId="0" xfId="3" applyNumberFormat="1" applyFont="1" applyFill="1" applyAlignment="1">
      <alignment horizontal="center" vertical="center"/>
    </xf>
    <xf numFmtId="185" fontId="7" fillId="17" borderId="0" xfId="3" applyNumberFormat="1" applyFont="1" applyFill="1" applyAlignment="1">
      <alignment horizontal="center" vertical="center"/>
    </xf>
    <xf numFmtId="38" fontId="7" fillId="17" borderId="0" xfId="7" applyFont="1" applyFill="1" applyAlignment="1">
      <alignment horizontal="center" vertical="center"/>
    </xf>
    <xf numFmtId="0" fontId="12" fillId="0" borderId="0" xfId="3" applyFont="1">
      <alignment vertical="center"/>
    </xf>
    <xf numFmtId="0" fontId="6" fillId="2" borderId="0" xfId="3" applyFont="1" applyFill="1" applyAlignment="1">
      <alignment horizontal="center" vertical="center"/>
    </xf>
    <xf numFmtId="0" fontId="6" fillId="2" borderId="12" xfId="3" applyFont="1" applyFill="1" applyBorder="1" applyAlignment="1">
      <alignment horizontal="center" vertical="center"/>
    </xf>
    <xf numFmtId="10" fontId="9" fillId="5" borderId="0" xfId="6" applyNumberFormat="1" applyFont="1" applyFill="1" applyAlignment="1">
      <alignment horizontal="center" vertical="center"/>
    </xf>
    <xf numFmtId="0" fontId="9" fillId="5" borderId="0" xfId="3" applyFont="1" applyFill="1" applyAlignment="1">
      <alignment horizontal="center" vertical="center"/>
    </xf>
    <xf numFmtId="184" fontId="7" fillId="17" borderId="1" xfId="3" applyNumberFormat="1" applyFont="1" applyFill="1" applyBorder="1" applyAlignment="1">
      <alignment horizontal="center" vertical="center"/>
    </xf>
    <xf numFmtId="184" fontId="7" fillId="17" borderId="46" xfId="3" applyNumberFormat="1" applyFont="1" applyFill="1" applyBorder="1" applyAlignment="1">
      <alignment horizontal="center" vertical="center"/>
    </xf>
    <xf numFmtId="184" fontId="7" fillId="17" borderId="2" xfId="3" applyNumberFormat="1" applyFont="1" applyFill="1" applyBorder="1" applyAlignment="1">
      <alignment horizontal="center" vertical="center"/>
    </xf>
    <xf numFmtId="184" fontId="7" fillId="13" borderId="1" xfId="3" applyNumberFormat="1" applyFont="1" applyFill="1" applyBorder="1" applyAlignment="1">
      <alignment horizontal="center" vertical="center"/>
    </xf>
    <xf numFmtId="184" fontId="7" fillId="13" borderId="46" xfId="3" applyNumberFormat="1" applyFont="1" applyFill="1" applyBorder="1" applyAlignment="1">
      <alignment horizontal="center" vertical="center"/>
    </xf>
    <xf numFmtId="184" fontId="7" fillId="13" borderId="2" xfId="3" applyNumberFormat="1" applyFont="1" applyFill="1" applyBorder="1" applyAlignment="1">
      <alignment horizontal="center" vertical="center"/>
    </xf>
    <xf numFmtId="38" fontId="9" fillId="0" borderId="16" xfId="3" applyNumberFormat="1" applyFont="1" applyBorder="1" applyAlignment="1">
      <alignment horizontal="center" vertical="center"/>
    </xf>
    <xf numFmtId="0" fontId="9" fillId="0" borderId="19" xfId="3" applyFont="1" applyBorder="1" applyAlignment="1">
      <alignment horizontal="center" vertical="center"/>
    </xf>
    <xf numFmtId="182" fontId="9" fillId="3" borderId="1" xfId="3" applyNumberFormat="1" applyFont="1" applyFill="1" applyBorder="1" applyAlignment="1">
      <alignment horizontal="center" vertical="center"/>
    </xf>
    <xf numFmtId="182" fontId="9" fillId="3" borderId="2" xfId="3" applyNumberFormat="1" applyFont="1" applyFill="1" applyBorder="1" applyAlignment="1">
      <alignment horizontal="center" vertical="center"/>
    </xf>
    <xf numFmtId="182" fontId="9" fillId="3" borderId="46" xfId="3" applyNumberFormat="1" applyFont="1" applyFill="1" applyBorder="1" applyAlignment="1">
      <alignment horizontal="center" vertical="center"/>
    </xf>
  </cellXfs>
  <cellStyles count="9">
    <cellStyle name="パーセント" xfId="8" builtinId="5"/>
    <cellStyle name="パーセント 2" xfId="6"/>
    <cellStyle name="ハイパーリンク" xfId="2" builtinId="8"/>
    <cellStyle name="ハイパーリンク 2" xfId="5"/>
    <cellStyle name="桁区切り" xfId="7" builtinId="6"/>
    <cellStyle name="桁区切り 2" xfId="4"/>
    <cellStyle name="標準" xfId="0" builtinId="0"/>
    <cellStyle name="標準 2" xfId="1"/>
    <cellStyle name="標準 3" xfId="3"/>
  </cellStyles>
  <dxfs count="54"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ill>
        <patternFill patternType="none">
          <bgColor auto="1"/>
        </patternFill>
      </fill>
    </dxf>
    <dxf>
      <font>
        <b/>
        <i val="0"/>
      </font>
      <border>
        <left style="thin">
          <color auto="1"/>
        </left>
        <right style="thin">
          <color auto="1"/>
        </right>
        <top/>
        <bottom/>
        <vertical/>
        <horizontal/>
      </border>
    </dxf>
    <dxf>
      <fill>
        <patternFill>
          <bgColor theme="0" tint="-0.24994659260841701"/>
        </patternFill>
      </fill>
    </dxf>
    <dxf>
      <font>
        <color theme="0"/>
      </font>
      <fill>
        <patternFill>
          <fgColor theme="0"/>
          <bgColor theme="1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ont>
        <b/>
        <i val="0"/>
      </font>
      <border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 patternType="solid">
          <bgColor rgb="FF00B050"/>
        </patternFill>
      </fill>
    </dxf>
    <dxf>
      <font>
        <color rgb="FFFF0000"/>
      </font>
      <fill>
        <patternFill>
          <bgColor theme="6" tint="0.59996337778862885"/>
        </patternFill>
      </fill>
    </dxf>
    <dxf>
      <font>
        <color theme="0"/>
      </font>
      <fill>
        <patternFill>
          <bgColor rgb="FF00206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border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5" tint="0.79998168889431442"/>
        </patternFill>
      </fill>
    </dxf>
    <dxf>
      <font>
        <b/>
        <i val="0"/>
      </font>
      <border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 patternType="solid">
          <bgColor rgb="FF00B050"/>
        </patternFill>
      </fill>
    </dxf>
    <dxf>
      <font>
        <color rgb="FFFF0000"/>
      </font>
      <fill>
        <patternFill>
          <bgColor theme="6" tint="0.59996337778862885"/>
        </patternFill>
      </fill>
    </dxf>
    <dxf>
      <fill>
        <patternFill>
          <bgColor theme="0" tint="-0.24994659260841701"/>
        </patternFill>
      </fill>
    </dxf>
    <dxf>
      <font>
        <color theme="0"/>
      </font>
      <fill>
        <patternFill>
          <fgColor theme="0"/>
          <bgColor theme="1"/>
        </patternFill>
      </fill>
    </dxf>
    <dxf>
      <font>
        <color theme="0"/>
      </font>
      <fill>
        <patternFill>
          <bgColor rgb="FF00206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E0FCFB"/>
      <color rgb="FFB2DA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0</xdr:row>
          <xdr:rowOff>19050</xdr:rowOff>
        </xdr:from>
        <xdr:to>
          <xdr:col>1</xdr:col>
          <xdr:colOff>1914525</xdr:colOff>
          <xdr:row>1</xdr:row>
          <xdr:rowOff>9525</xdr:rowOff>
        </xdr:to>
        <xdr:sp macro="" textlink="">
          <xdr:nvSpPr>
            <xdr:cNvPr id="1025" name="cmdKabukaGe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705971</xdr:colOff>
      <xdr:row>30</xdr:row>
      <xdr:rowOff>123265</xdr:rowOff>
    </xdr:from>
    <xdr:to>
      <xdr:col>7</xdr:col>
      <xdr:colOff>627530</xdr:colOff>
      <xdr:row>42</xdr:row>
      <xdr:rowOff>78441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xmlns="" id="{00000000-0008-0000-0500-000002000000}"/>
            </a:ext>
          </a:extLst>
        </xdr:cNvPr>
        <xdr:cNvSpPr txBox="1"/>
      </xdr:nvSpPr>
      <xdr:spPr>
        <a:xfrm>
          <a:off x="2207559" y="5065059"/>
          <a:ext cx="4852147" cy="237564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100"/>
            <a:t>譲渡益税</a:t>
          </a:r>
          <a:r>
            <a:rPr kumimoji="1" lang="en-US" altLang="ja-JP" sz="1100"/>
            <a:t>_</a:t>
          </a:r>
          <a:r>
            <a:rPr kumimoji="1" lang="ja-JP" altLang="en-US" sz="1100"/>
            <a:t>手動メンテ確認方法</a:t>
          </a:r>
          <a:endParaRPr kumimoji="1" lang="en-US" altLang="ja-JP" sz="1100"/>
        </a:p>
        <a:p>
          <a:r>
            <a:rPr kumimoji="1" lang="ja-JP" altLang="en-US" sz="1100"/>
            <a:t>■</a:t>
          </a:r>
          <a:r>
            <a:rPr kumimoji="1" lang="en-US" altLang="ja-JP" sz="1100"/>
            <a:t>SBI</a:t>
          </a:r>
          <a:r>
            <a:rPr kumimoji="1" lang="ja-JP" altLang="en-US" sz="1100"/>
            <a:t>証券</a:t>
          </a:r>
          <a:endParaRPr kumimoji="1" lang="en-US" altLang="ja-JP" sz="1100"/>
        </a:p>
        <a:p>
          <a:r>
            <a:rPr kumimoji="1" lang="ja-JP" altLang="en-US" sz="1100"/>
            <a:t>　「口座管理」</a:t>
          </a:r>
          <a:r>
            <a:rPr kumimoji="1" lang="en-US" altLang="ja-JP" sz="1100"/>
            <a:t>&gt;</a:t>
          </a:r>
          <a:r>
            <a:rPr kumimoji="1" lang="ja-JP" altLang="en-US" sz="1100"/>
            <a:t>「取引履歴」</a:t>
          </a:r>
          <a:r>
            <a:rPr kumimoji="1" lang="en-US" altLang="ja-JP" sz="1100"/>
            <a:t>&gt;</a:t>
          </a:r>
          <a:r>
            <a:rPr kumimoji="1" lang="ja-JP" altLang="en-US" sz="1100"/>
            <a:t>「譲渡益税明細」</a:t>
          </a:r>
          <a:endParaRPr kumimoji="1" lang="en-US" altLang="ja-JP" sz="1100"/>
        </a:p>
        <a:p>
          <a:r>
            <a:rPr kumimoji="1" lang="ja-JP" altLang="en-US" sz="1100"/>
            <a:t>■</a:t>
          </a:r>
          <a:r>
            <a:rPr kumimoji="1" lang="en-US" altLang="ja-JP" sz="1100"/>
            <a:t>SMBC</a:t>
          </a:r>
          <a:r>
            <a:rPr kumimoji="1" lang="ja-JP" altLang="en-US" sz="1100"/>
            <a:t>日興証券</a:t>
          </a:r>
          <a:endParaRPr kumimoji="1" lang="en-US" altLang="ja-JP" sz="1100"/>
        </a:p>
        <a:p>
          <a:r>
            <a:rPr kumimoji="1" lang="ja-JP" altLang="en-US" sz="1100"/>
            <a:t>　「残高の確認」</a:t>
          </a:r>
          <a:r>
            <a:rPr kumimoji="1" lang="en-US" altLang="ja-JP" sz="1100"/>
            <a:t>&gt;</a:t>
          </a:r>
          <a:r>
            <a:rPr kumimoji="1" lang="ja-JP" altLang="en-US" sz="1100"/>
            <a:t>「特定口座 譲渡履歴」　</a:t>
          </a:r>
          <a:endParaRPr kumimoji="1" lang="en-US" altLang="ja-JP" sz="1100"/>
        </a:p>
        <a:p>
          <a:r>
            <a:rPr kumimoji="1" lang="ja-JP" altLang="en-US" sz="1100"/>
            <a:t>■</a:t>
          </a:r>
          <a:r>
            <a:rPr kumimoji="1" lang="en-US" altLang="ja-JP" sz="1100"/>
            <a:t>MONEX</a:t>
          </a:r>
          <a:r>
            <a:rPr kumimoji="1" lang="ja-JP" altLang="en-US" sz="1100"/>
            <a:t>証券</a:t>
          </a:r>
          <a:endParaRPr kumimoji="1" lang="en-US" altLang="ja-JP" sz="1100"/>
        </a:p>
        <a:p>
          <a:r>
            <a:rPr kumimoji="1" lang="ja-JP" altLang="en-US" sz="1100"/>
            <a:t>　「売却損益明細」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trade.okasan-online.co.jp/web/?_bdld=2NEbSs.lMZLSTp" TargetMode="External"/><Relationship Id="rId3" Type="http://schemas.openxmlformats.org/officeDocument/2006/relationships/hyperlink" Target="https://mxp2.monex.co.jp/pc/ITS/login/LoginIDPassword.jsp" TargetMode="External"/><Relationship Id="rId7" Type="http://schemas.openxmlformats.org/officeDocument/2006/relationships/hyperlink" Target="http://ipoget.com/" TargetMode="External"/><Relationship Id="rId2" Type="http://schemas.openxmlformats.org/officeDocument/2006/relationships/hyperlink" Target="http://diamond.jp/category/z-ipo-schedule" TargetMode="External"/><Relationship Id="rId1" Type="http://schemas.openxmlformats.org/officeDocument/2006/relationships/hyperlink" Target="http://www.tokyoipo.com/ipo/schedule.php" TargetMode="External"/><Relationship Id="rId6" Type="http://schemas.openxmlformats.org/officeDocument/2006/relationships/hyperlink" Target="https://site1.sbisec.co.jp/ETGate/" TargetMode="External"/><Relationship Id="rId5" Type="http://schemas.openxmlformats.org/officeDocument/2006/relationships/hyperlink" Target="https://trade.smbcnikko.co.jp/Login/3077B0029834/login/kakunin/exec" TargetMode="External"/><Relationship Id="rId4" Type="http://schemas.openxmlformats.org/officeDocument/2006/relationships/hyperlink" Target="https://www.daiwa.co.jp/PCC/HomeTrade/Account/m8301.html?BUTTON.x=%83%8D%83O%83C%83%93%89%E6%96%CA%82%D6" TargetMode="External"/><Relationship Id="rId9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https://stocks.finance.yahoo.co.jp/stocks/detail/?code=6569" TargetMode="External"/><Relationship Id="rId13" Type="http://schemas.openxmlformats.org/officeDocument/2006/relationships/hyperlink" Target="https://stocks.finance.yahoo.co.jp/stocks/detail/?code=6571" TargetMode="External"/><Relationship Id="rId18" Type="http://schemas.openxmlformats.org/officeDocument/2006/relationships/hyperlink" Target="https://stocks.finance.yahoo.co.jp/stocks/detail/?code=9271" TargetMode="External"/><Relationship Id="rId26" Type="http://schemas.openxmlformats.org/officeDocument/2006/relationships/hyperlink" Target="https://stocks.finance.yahoo.co.jp/stocks/detail/?code=7323" TargetMode="External"/><Relationship Id="rId3" Type="http://schemas.openxmlformats.org/officeDocument/2006/relationships/hyperlink" Target="https://stocks.finance.yahoo.co.jp/stocks/detail/?code=4597" TargetMode="External"/><Relationship Id="rId21" Type="http://schemas.openxmlformats.org/officeDocument/2006/relationships/hyperlink" Target="https://stocks.finance.yahoo.co.jp/stocks/detail/?code=4381" TargetMode="External"/><Relationship Id="rId7" Type="http://schemas.openxmlformats.org/officeDocument/2006/relationships/hyperlink" Target="https://stocks.finance.yahoo.co.jp/stocks/detail/?code=6568" TargetMode="External"/><Relationship Id="rId12" Type="http://schemas.openxmlformats.org/officeDocument/2006/relationships/hyperlink" Target="https://stocks.finance.yahoo.co.jp/stocks/detail/?code=9270" TargetMode="External"/><Relationship Id="rId17" Type="http://schemas.openxmlformats.org/officeDocument/2006/relationships/hyperlink" Target="https://stocks.finance.yahoo.co.jp/stocks/detail/?code=3490" TargetMode="External"/><Relationship Id="rId25" Type="http://schemas.openxmlformats.org/officeDocument/2006/relationships/hyperlink" Target="https://stocks.finance.yahoo.co.jp/stocks/detail/?code=6577" TargetMode="External"/><Relationship Id="rId2" Type="http://schemas.openxmlformats.org/officeDocument/2006/relationships/hyperlink" Target="https://stocks.finance.yahoo.co.jp/stocks/detail/?code=8704" TargetMode="External"/><Relationship Id="rId16" Type="http://schemas.openxmlformats.org/officeDocument/2006/relationships/hyperlink" Target="https://stocks.finance.yahoo.co.jp/stocks/detail/?code=6573" TargetMode="External"/><Relationship Id="rId20" Type="http://schemas.openxmlformats.org/officeDocument/2006/relationships/hyperlink" Target="https://stocks.finance.yahoo.co.jp/stocks/detail/?code=9272" TargetMode="External"/><Relationship Id="rId29" Type="http://schemas.openxmlformats.org/officeDocument/2006/relationships/drawing" Target="../drawings/drawing1.xml"/><Relationship Id="rId1" Type="http://schemas.openxmlformats.org/officeDocument/2006/relationships/hyperlink" Target="https://stocks.finance.yahoo.co.jp/stocks/detail/?code=3825" TargetMode="External"/><Relationship Id="rId6" Type="http://schemas.openxmlformats.org/officeDocument/2006/relationships/hyperlink" Target="https://stocks.finance.yahoo.co.jp/stocks/detail/?code=6567" TargetMode="External"/><Relationship Id="rId11" Type="http://schemas.openxmlformats.org/officeDocument/2006/relationships/hyperlink" Target="https://stocks.finance.yahoo.co.jp/stocks/detail/?code=3447" TargetMode="External"/><Relationship Id="rId24" Type="http://schemas.openxmlformats.org/officeDocument/2006/relationships/hyperlink" Target="https://stocks.finance.yahoo.co.jp/stocks/detail/?code=4382" TargetMode="External"/><Relationship Id="rId32" Type="http://schemas.openxmlformats.org/officeDocument/2006/relationships/image" Target="../media/image1.emf"/><Relationship Id="rId5" Type="http://schemas.openxmlformats.org/officeDocument/2006/relationships/hyperlink" Target="https://stocks.finance.yahoo.co.jp/stocks/detail/?code=3446" TargetMode="External"/><Relationship Id="rId15" Type="http://schemas.openxmlformats.org/officeDocument/2006/relationships/hyperlink" Target="https://stocks.finance.yahoo.co.jp/stocks/detail/?code=6572" TargetMode="External"/><Relationship Id="rId23" Type="http://schemas.openxmlformats.org/officeDocument/2006/relationships/hyperlink" Target="https://stocks.finance.yahoo.co.jp/stocks/detail/?code=6574" TargetMode="External"/><Relationship Id="rId28" Type="http://schemas.openxmlformats.org/officeDocument/2006/relationships/hyperlink" Target="https://stocks.finance.yahoo.co.jp/stocks/detail/?code=4384" TargetMode="External"/><Relationship Id="rId10" Type="http://schemas.openxmlformats.org/officeDocument/2006/relationships/hyperlink" Target="https://stocks.finance.yahoo.co.jp/stocks/detail/?code=6570" TargetMode="External"/><Relationship Id="rId19" Type="http://schemas.openxmlformats.org/officeDocument/2006/relationships/hyperlink" Target="https://stocks.finance.yahoo.co.jp/stocks/detail/?code=7320" TargetMode="External"/><Relationship Id="rId31" Type="http://schemas.openxmlformats.org/officeDocument/2006/relationships/control" Target="../activeX/activeX1.xml"/><Relationship Id="rId4" Type="http://schemas.openxmlformats.org/officeDocument/2006/relationships/hyperlink" Target="https://stocks.finance.yahoo.co.jp/stocks/detail/?code=4380" TargetMode="External"/><Relationship Id="rId9" Type="http://schemas.openxmlformats.org/officeDocument/2006/relationships/hyperlink" Target="https://stocks.finance.yahoo.co.jp/stocks/detail/?code=3489" TargetMode="External"/><Relationship Id="rId14" Type="http://schemas.openxmlformats.org/officeDocument/2006/relationships/hyperlink" Target="https://stocks.finance.yahoo.co.jp/stocks/detail/?code=9450" TargetMode="External"/><Relationship Id="rId22" Type="http://schemas.openxmlformats.org/officeDocument/2006/relationships/hyperlink" Target="https://stocks.finance.yahoo.co.jp/stocks/detail/?code=6575" TargetMode="External"/><Relationship Id="rId27" Type="http://schemas.openxmlformats.org/officeDocument/2006/relationships/hyperlink" Target="https://stocks.finance.yahoo.co.jp/stocks/detail/?code=6578" TargetMode="External"/><Relationship Id="rId30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C000"/>
  </sheetPr>
  <dimension ref="A1:Y104"/>
  <sheetViews>
    <sheetView tabSelected="1" zoomScale="80" zoomScaleNormal="80" workbookViewId="0">
      <pane ySplit="2" topLeftCell="A6" activePane="bottomLeft" state="frozen"/>
      <selection activeCell="U183" sqref="U183"/>
      <selection pane="bottomLeft" activeCell="K33" sqref="K33"/>
    </sheetView>
  </sheetViews>
  <sheetFormatPr defaultColWidth="8" defaultRowHeight="15.75" x14ac:dyDescent="0.25"/>
  <cols>
    <col min="1" max="1" width="3.5546875" style="12" customWidth="1"/>
    <col min="2" max="2" width="22" style="12" customWidth="1"/>
    <col min="3" max="3" width="12.77734375" style="12" bestFit="1" customWidth="1"/>
    <col min="4" max="4" width="12.109375" style="12" customWidth="1"/>
    <col min="5" max="5" width="12.77734375" style="12" bestFit="1" customWidth="1"/>
    <col min="6" max="6" width="12.77734375" style="12" customWidth="1"/>
    <col min="7" max="7" width="8.21875" style="15" bestFit="1" customWidth="1"/>
    <col min="8" max="8" width="4.88671875" style="12" bestFit="1" customWidth="1"/>
    <col min="9" max="13" width="15.21875" style="12" customWidth="1"/>
    <col min="14" max="14" width="15.77734375" style="12" bestFit="1" customWidth="1"/>
    <col min="15" max="15" width="12.77734375" style="17" bestFit="1" customWidth="1"/>
    <col min="16" max="16" width="8.77734375" style="18" bestFit="1" customWidth="1"/>
    <col min="17" max="17" width="9.77734375" style="12" bestFit="1" customWidth="1"/>
    <col min="18" max="18" width="25.77734375" style="12" bestFit="1" customWidth="1"/>
    <col min="19" max="19" width="8" style="12" customWidth="1"/>
    <col min="20" max="20" width="13.33203125" style="12" customWidth="1"/>
    <col min="21" max="21" width="28" style="12" bestFit="1" customWidth="1"/>
    <col min="22" max="22" width="5.5546875" style="12" customWidth="1"/>
    <col min="23" max="24" width="8" style="12"/>
    <col min="25" max="25" width="8.21875" style="21" bestFit="1" customWidth="1"/>
    <col min="26" max="16384" width="8" style="12"/>
  </cols>
  <sheetData>
    <row r="1" spans="1:24" ht="19.5" thickBot="1" x14ac:dyDescent="0.3">
      <c r="A1" s="240" t="s">
        <v>14</v>
      </c>
      <c r="B1" s="240"/>
      <c r="D1" s="13" t="s">
        <v>15</v>
      </c>
      <c r="E1" s="14" t="s">
        <v>16</v>
      </c>
      <c r="H1" s="134"/>
      <c r="I1" s="134"/>
      <c r="J1" s="134"/>
      <c r="K1" s="134"/>
      <c r="L1" s="134"/>
      <c r="M1" s="134"/>
      <c r="N1" s="16" t="s">
        <v>129</v>
      </c>
      <c r="Q1" s="19"/>
      <c r="R1" s="20"/>
    </row>
    <row r="2" spans="1:24" ht="16.5" thickBot="1" x14ac:dyDescent="0.3">
      <c r="B2" s="93" t="s">
        <v>17</v>
      </c>
      <c r="C2" s="93" t="s">
        <v>18</v>
      </c>
      <c r="D2" s="93" t="s">
        <v>19</v>
      </c>
      <c r="E2" s="93" t="s">
        <v>20</v>
      </c>
      <c r="F2" s="93" t="s">
        <v>21</v>
      </c>
      <c r="G2" s="95" t="s">
        <v>22</v>
      </c>
      <c r="H2" s="100" t="s">
        <v>23</v>
      </c>
      <c r="I2" s="22" t="s">
        <v>24</v>
      </c>
      <c r="J2" s="22" t="s">
        <v>25</v>
      </c>
      <c r="K2" s="22" t="s">
        <v>26</v>
      </c>
      <c r="L2" s="22" t="s">
        <v>27</v>
      </c>
      <c r="M2" s="116" t="s">
        <v>127</v>
      </c>
      <c r="N2" s="93" t="s">
        <v>28</v>
      </c>
      <c r="O2" s="96" t="s">
        <v>29</v>
      </c>
      <c r="P2" s="94" t="s">
        <v>30</v>
      </c>
      <c r="Q2" s="93" t="s">
        <v>31</v>
      </c>
      <c r="R2" s="93" t="s">
        <v>32</v>
      </c>
      <c r="T2" s="23" t="s">
        <v>21</v>
      </c>
      <c r="U2" s="23" t="s">
        <v>28</v>
      </c>
      <c r="V2" s="23" t="s">
        <v>33</v>
      </c>
      <c r="W2" s="23" t="s">
        <v>23</v>
      </c>
      <c r="X2" s="23" t="s">
        <v>34</v>
      </c>
    </row>
    <row r="3" spans="1:24" ht="16.5" thickTop="1" x14ac:dyDescent="0.25">
      <c r="A3" s="12">
        <f>ROW()-2</f>
        <v>1</v>
      </c>
      <c r="B3" s="63" t="s">
        <v>168</v>
      </c>
      <c r="C3" s="155">
        <v>43137</v>
      </c>
      <c r="D3" s="155">
        <v>43144</v>
      </c>
      <c r="E3" s="155">
        <v>43145</v>
      </c>
      <c r="F3" s="63" t="s">
        <v>40</v>
      </c>
      <c r="G3" s="156">
        <v>1240</v>
      </c>
      <c r="H3" s="157" t="s">
        <v>60</v>
      </c>
      <c r="I3" s="63" t="s">
        <v>169</v>
      </c>
      <c r="J3" s="63" t="s">
        <v>169</v>
      </c>
      <c r="K3" s="63" t="s">
        <v>186</v>
      </c>
      <c r="L3" s="63" t="s">
        <v>169</v>
      </c>
      <c r="M3" s="63" t="s">
        <v>169</v>
      </c>
      <c r="N3" s="63" t="s">
        <v>62</v>
      </c>
      <c r="O3" s="155">
        <v>43154</v>
      </c>
      <c r="P3" s="158">
        <v>5380</v>
      </c>
      <c r="Q3" s="151" t="str">
        <f>IF(ISERROR(CONCATENATE(ROUND((IF(ISBLANK(P3),0,P3)-IF(ISBLANK(G3),0,G3))/IF(ISBLANK(G3),0,G3),4)*100,"%")),"",CONCATENATE(ROUND((IF(ISBLANK(P3),0,P3)-IF(ISBLANK(G3),0,G3))/IF(ISBLANK(G3),0,G3),4)*100,"%"))</f>
        <v>333.87%</v>
      </c>
      <c r="R3" s="63"/>
      <c r="T3" s="24" t="s">
        <v>37</v>
      </c>
      <c r="U3" s="25" t="s">
        <v>36</v>
      </c>
      <c r="V3" s="26">
        <f t="shared" ref="V3:V11" si="0">COUNTIF(N:N,U3)</f>
        <v>5</v>
      </c>
      <c r="W3" s="26" t="s">
        <v>38</v>
      </c>
      <c r="X3" s="26" t="s">
        <v>39</v>
      </c>
    </row>
    <row r="4" spans="1:24" x14ac:dyDescent="0.25">
      <c r="A4" s="12">
        <f t="shared" ref="A4:A66" si="1">ROW()-2</f>
        <v>2</v>
      </c>
      <c r="B4" s="49" t="s">
        <v>174</v>
      </c>
      <c r="C4" s="52">
        <v>43144</v>
      </c>
      <c r="D4" s="52">
        <v>43150</v>
      </c>
      <c r="E4" s="52">
        <v>43151</v>
      </c>
      <c r="F4" s="49" t="s">
        <v>40</v>
      </c>
      <c r="G4" s="51">
        <v>2250</v>
      </c>
      <c r="H4" s="49" t="s">
        <v>60</v>
      </c>
      <c r="I4" s="49" t="s">
        <v>169</v>
      </c>
      <c r="J4" s="49" t="s">
        <v>169</v>
      </c>
      <c r="K4" s="49" t="s">
        <v>175</v>
      </c>
      <c r="L4" s="49" t="s">
        <v>169</v>
      </c>
      <c r="M4" s="49" t="s">
        <v>186</v>
      </c>
      <c r="N4" s="159" t="s">
        <v>47</v>
      </c>
      <c r="O4" s="52">
        <v>43159</v>
      </c>
      <c r="P4" s="50">
        <v>9700</v>
      </c>
      <c r="Q4" s="151" t="str">
        <f t="shared" ref="Q4:Q66" si="2">IF(ISERROR(CONCATENATE(ROUND((IF(ISBLANK(P4),0,P4)-IF(ISBLANK(G4),0,G4))/IF(ISBLANK(G4),0,G4),4)*100,"%")),"",CONCATENATE(ROUND((IF(ISBLANK(P4),0,P4)-IF(ISBLANK(G4),0,G4))/IF(ISBLANK(G4),0,G4),4)*100,"%"))</f>
        <v>331.11%</v>
      </c>
      <c r="R4" s="49"/>
      <c r="T4" s="27" t="s">
        <v>42</v>
      </c>
      <c r="U4" s="28" t="s">
        <v>43</v>
      </c>
      <c r="V4" s="26">
        <f t="shared" si="0"/>
        <v>8</v>
      </c>
      <c r="W4" s="28" t="s">
        <v>44</v>
      </c>
      <c r="X4" s="28" t="s">
        <v>45</v>
      </c>
    </row>
    <row r="5" spans="1:24" x14ac:dyDescent="0.25">
      <c r="A5" s="12">
        <f t="shared" si="1"/>
        <v>3</v>
      </c>
      <c r="B5" s="49" t="s">
        <v>176</v>
      </c>
      <c r="C5" s="52">
        <v>43145</v>
      </c>
      <c r="D5" s="52">
        <v>43151</v>
      </c>
      <c r="E5" s="52">
        <v>43152</v>
      </c>
      <c r="F5" s="49" t="s">
        <v>40</v>
      </c>
      <c r="G5" s="51">
        <v>1780</v>
      </c>
      <c r="H5" s="49" t="s">
        <v>46</v>
      </c>
      <c r="I5" s="49" t="s">
        <v>175</v>
      </c>
      <c r="J5" s="49" t="s">
        <v>169</v>
      </c>
      <c r="K5" s="49" t="s">
        <v>186</v>
      </c>
      <c r="L5" s="49" t="s">
        <v>169</v>
      </c>
      <c r="M5" s="49" t="s">
        <v>186</v>
      </c>
      <c r="N5" s="49" t="s">
        <v>53</v>
      </c>
      <c r="O5" s="52">
        <v>43161</v>
      </c>
      <c r="P5" s="50">
        <v>4100</v>
      </c>
      <c r="Q5" s="151" t="str">
        <f t="shared" si="2"/>
        <v>130.34%</v>
      </c>
      <c r="R5" s="49"/>
      <c r="T5" s="27" t="s">
        <v>48</v>
      </c>
      <c r="U5" s="28" t="s">
        <v>49</v>
      </c>
      <c r="V5" s="26">
        <f t="shared" si="0"/>
        <v>4</v>
      </c>
      <c r="W5" s="28" t="s">
        <v>50</v>
      </c>
      <c r="X5" s="28" t="s">
        <v>51</v>
      </c>
    </row>
    <row r="6" spans="1:24" x14ac:dyDescent="0.25">
      <c r="A6" s="12">
        <f t="shared" si="1"/>
        <v>4</v>
      </c>
      <c r="B6" s="49" t="s">
        <v>177</v>
      </c>
      <c r="C6" s="52">
        <v>43159</v>
      </c>
      <c r="D6" s="52">
        <v>43165</v>
      </c>
      <c r="E6" s="52">
        <v>43166</v>
      </c>
      <c r="F6" s="49" t="s">
        <v>40</v>
      </c>
      <c r="G6" s="51">
        <v>2340</v>
      </c>
      <c r="H6" s="49" t="s">
        <v>41</v>
      </c>
      <c r="I6" s="49" t="s">
        <v>175</v>
      </c>
      <c r="J6" s="49" t="s">
        <v>169</v>
      </c>
      <c r="K6" s="49" t="s">
        <v>175</v>
      </c>
      <c r="L6" s="49" t="s">
        <v>169</v>
      </c>
      <c r="M6" s="49" t="s">
        <v>175</v>
      </c>
      <c r="N6" s="159" t="s">
        <v>47</v>
      </c>
      <c r="O6" s="52">
        <v>43174</v>
      </c>
      <c r="P6" s="50">
        <v>3665</v>
      </c>
      <c r="Q6" s="151" t="str">
        <f t="shared" si="2"/>
        <v>56.62%</v>
      </c>
      <c r="R6" s="49"/>
      <c r="T6" s="27" t="s">
        <v>35</v>
      </c>
      <c r="U6" s="28" t="s">
        <v>54</v>
      </c>
      <c r="V6" s="26">
        <f t="shared" si="0"/>
        <v>1</v>
      </c>
      <c r="W6" s="28" t="s">
        <v>55</v>
      </c>
      <c r="X6" s="29" t="s">
        <v>56</v>
      </c>
    </row>
    <row r="7" spans="1:24" x14ac:dyDescent="0.25">
      <c r="A7" s="12">
        <f t="shared" si="1"/>
        <v>5</v>
      </c>
      <c r="B7" s="49" t="s">
        <v>178</v>
      </c>
      <c r="C7" s="52">
        <v>43159</v>
      </c>
      <c r="D7" s="52">
        <v>43165</v>
      </c>
      <c r="E7" s="52">
        <v>43166</v>
      </c>
      <c r="F7" s="49" t="s">
        <v>37</v>
      </c>
      <c r="G7" s="51">
        <v>3250</v>
      </c>
      <c r="H7" s="49" t="s">
        <v>52</v>
      </c>
      <c r="I7" s="49" t="s">
        <v>169</v>
      </c>
      <c r="J7" s="49" t="s">
        <v>175</v>
      </c>
      <c r="K7" s="49" t="s">
        <v>175</v>
      </c>
      <c r="L7" s="49" t="s">
        <v>169</v>
      </c>
      <c r="M7" s="49" t="s">
        <v>186</v>
      </c>
      <c r="N7" s="49" t="s">
        <v>62</v>
      </c>
      <c r="O7" s="52">
        <v>43175</v>
      </c>
      <c r="P7" s="50">
        <v>4020</v>
      </c>
      <c r="Q7" s="151" t="str">
        <f t="shared" si="2"/>
        <v>23.69%</v>
      </c>
      <c r="R7" s="49"/>
      <c r="T7" s="28" t="s">
        <v>57</v>
      </c>
      <c r="U7" s="28" t="s">
        <v>58</v>
      </c>
      <c r="V7" s="26">
        <f t="shared" si="0"/>
        <v>2</v>
      </c>
      <c r="W7" s="28" t="s">
        <v>59</v>
      </c>
    </row>
    <row r="8" spans="1:24" x14ac:dyDescent="0.25">
      <c r="A8" s="12">
        <f t="shared" si="1"/>
        <v>6</v>
      </c>
      <c r="B8" s="49" t="s">
        <v>179</v>
      </c>
      <c r="C8" s="52">
        <v>43159</v>
      </c>
      <c r="D8" s="52">
        <v>43165</v>
      </c>
      <c r="E8" s="52">
        <v>43166</v>
      </c>
      <c r="F8" s="49" t="s">
        <v>40</v>
      </c>
      <c r="G8" s="51">
        <v>1400</v>
      </c>
      <c r="H8" s="49" t="s">
        <v>46</v>
      </c>
      <c r="I8" s="49" t="s">
        <v>169</v>
      </c>
      <c r="J8" s="49" t="s">
        <v>169</v>
      </c>
      <c r="K8" s="49" t="s">
        <v>175</v>
      </c>
      <c r="L8" s="49" t="s">
        <v>169</v>
      </c>
      <c r="M8" s="49" t="s">
        <v>186</v>
      </c>
      <c r="N8" s="49" t="s">
        <v>53</v>
      </c>
      <c r="O8" s="52">
        <v>43175</v>
      </c>
      <c r="P8" s="50">
        <v>3200</v>
      </c>
      <c r="Q8" s="151" t="str">
        <f t="shared" si="2"/>
        <v>128.57%</v>
      </c>
      <c r="R8" s="49"/>
      <c r="T8" s="28" t="s">
        <v>160</v>
      </c>
      <c r="U8" s="28" t="s">
        <v>62</v>
      </c>
      <c r="V8" s="26">
        <f t="shared" si="0"/>
        <v>7</v>
      </c>
      <c r="W8" s="29" t="s">
        <v>63</v>
      </c>
    </row>
    <row r="9" spans="1:24" x14ac:dyDescent="0.25">
      <c r="A9" s="12">
        <f t="shared" si="1"/>
        <v>7</v>
      </c>
      <c r="B9" s="49" t="s">
        <v>187</v>
      </c>
      <c r="C9" s="52">
        <v>43160</v>
      </c>
      <c r="D9" s="52">
        <v>43166</v>
      </c>
      <c r="E9" s="52">
        <v>43167</v>
      </c>
      <c r="F9" s="49" t="s">
        <v>42</v>
      </c>
      <c r="G9" s="51">
        <v>1590</v>
      </c>
      <c r="H9" s="49" t="s">
        <v>41</v>
      </c>
      <c r="I9" s="49" t="s">
        <v>189</v>
      </c>
      <c r="J9" s="49" t="s">
        <v>188</v>
      </c>
      <c r="K9" s="49" t="s">
        <v>189</v>
      </c>
      <c r="L9" s="49" t="s">
        <v>188</v>
      </c>
      <c r="M9" s="49" t="s">
        <v>189</v>
      </c>
      <c r="N9" s="49" t="s">
        <v>53</v>
      </c>
      <c r="O9" s="52">
        <v>43178</v>
      </c>
      <c r="P9" s="50">
        <v>2511</v>
      </c>
      <c r="Q9" s="151" t="str">
        <f t="shared" si="2"/>
        <v>57.92%</v>
      </c>
      <c r="R9" s="49"/>
      <c r="T9" s="28" t="s">
        <v>159</v>
      </c>
      <c r="U9" s="28" t="s">
        <v>53</v>
      </c>
      <c r="V9" s="28">
        <f t="shared" si="0"/>
        <v>12</v>
      </c>
    </row>
    <row r="10" spans="1:24" x14ac:dyDescent="0.25">
      <c r="A10" s="12">
        <f t="shared" si="1"/>
        <v>8</v>
      </c>
      <c r="B10" s="49" t="s">
        <v>190</v>
      </c>
      <c r="C10" s="52">
        <v>43161</v>
      </c>
      <c r="D10" s="52">
        <v>43167</v>
      </c>
      <c r="E10" s="52">
        <v>43168</v>
      </c>
      <c r="F10" s="49" t="s">
        <v>42</v>
      </c>
      <c r="G10" s="160">
        <v>1150</v>
      </c>
      <c r="H10" s="49" t="s">
        <v>52</v>
      </c>
      <c r="I10" s="49" t="s">
        <v>192</v>
      </c>
      <c r="J10" s="49" t="s">
        <v>191</v>
      </c>
      <c r="K10" s="49" t="s">
        <v>186</v>
      </c>
      <c r="L10" s="49" t="s">
        <v>191</v>
      </c>
      <c r="M10" s="49" t="s">
        <v>186</v>
      </c>
      <c r="N10" s="49" t="s">
        <v>53</v>
      </c>
      <c r="O10" s="52">
        <v>43179</v>
      </c>
      <c r="P10" s="50">
        <v>1106</v>
      </c>
      <c r="Q10" s="164" t="str">
        <f t="shared" si="2"/>
        <v>-3.83%</v>
      </c>
      <c r="R10" s="49" t="s">
        <v>249</v>
      </c>
      <c r="T10" s="29" t="s">
        <v>61</v>
      </c>
      <c r="U10" s="31" t="s">
        <v>131</v>
      </c>
      <c r="V10" s="31">
        <f t="shared" si="0"/>
        <v>0</v>
      </c>
    </row>
    <row r="11" spans="1:24" x14ac:dyDescent="0.25">
      <c r="A11" s="12">
        <f t="shared" si="1"/>
        <v>9</v>
      </c>
      <c r="B11" s="49" t="s">
        <v>193</v>
      </c>
      <c r="C11" s="52">
        <v>43165</v>
      </c>
      <c r="D11" s="52">
        <v>43171</v>
      </c>
      <c r="E11" s="52">
        <v>43172</v>
      </c>
      <c r="F11" s="49" t="s">
        <v>40</v>
      </c>
      <c r="G11" s="51">
        <v>3300</v>
      </c>
      <c r="H11" s="49" t="s">
        <v>52</v>
      </c>
      <c r="I11" s="49" t="s">
        <v>175</v>
      </c>
      <c r="J11" s="49" t="s">
        <v>194</v>
      </c>
      <c r="K11" s="49" t="s">
        <v>175</v>
      </c>
      <c r="L11" s="49" t="s">
        <v>194</v>
      </c>
      <c r="M11" s="49" t="s">
        <v>186</v>
      </c>
      <c r="N11" s="159" t="s">
        <v>47</v>
      </c>
      <c r="O11" s="52">
        <v>43181</v>
      </c>
      <c r="P11" s="50">
        <v>4100</v>
      </c>
      <c r="Q11" s="151" t="str">
        <f t="shared" si="2"/>
        <v>24.24%</v>
      </c>
      <c r="R11" s="49"/>
      <c r="U11" s="29" t="s">
        <v>64</v>
      </c>
      <c r="V11" s="29">
        <f t="shared" si="0"/>
        <v>1</v>
      </c>
    </row>
    <row r="12" spans="1:24" x14ac:dyDescent="0.25">
      <c r="A12" s="12">
        <f t="shared" si="1"/>
        <v>10</v>
      </c>
      <c r="B12" s="49" t="s">
        <v>195</v>
      </c>
      <c r="C12" s="52">
        <v>43166</v>
      </c>
      <c r="D12" s="52">
        <v>43172</v>
      </c>
      <c r="E12" s="52">
        <v>43173</v>
      </c>
      <c r="F12" s="49" t="s">
        <v>37</v>
      </c>
      <c r="G12" s="51">
        <v>2250</v>
      </c>
      <c r="H12" s="49" t="s">
        <v>52</v>
      </c>
      <c r="I12" s="49" t="s">
        <v>169</v>
      </c>
      <c r="J12" s="49" t="s">
        <v>169</v>
      </c>
      <c r="K12" s="49" t="s">
        <v>266</v>
      </c>
      <c r="L12" s="49" t="s">
        <v>169</v>
      </c>
      <c r="M12" s="49" t="s">
        <v>186</v>
      </c>
      <c r="N12" s="159" t="s">
        <v>36</v>
      </c>
      <c r="O12" s="52">
        <v>43182</v>
      </c>
      <c r="P12" s="50">
        <v>2115</v>
      </c>
      <c r="Q12" s="164" t="str">
        <f t="shared" si="2"/>
        <v>-6%</v>
      </c>
      <c r="R12" s="49" t="s">
        <v>249</v>
      </c>
    </row>
    <row r="13" spans="1:24" x14ac:dyDescent="0.25">
      <c r="A13" s="12">
        <f t="shared" si="1"/>
        <v>11</v>
      </c>
      <c r="B13" s="49" t="s">
        <v>196</v>
      </c>
      <c r="C13" s="52">
        <v>43166</v>
      </c>
      <c r="D13" s="52">
        <v>43172</v>
      </c>
      <c r="E13" s="52">
        <v>43173</v>
      </c>
      <c r="F13" s="49" t="s">
        <v>40</v>
      </c>
      <c r="G13" s="51">
        <v>1050</v>
      </c>
      <c r="H13" s="49" t="s">
        <v>46</v>
      </c>
      <c r="I13" s="49" t="s">
        <v>197</v>
      </c>
      <c r="J13" s="49" t="s">
        <v>169</v>
      </c>
      <c r="K13" s="49" t="s">
        <v>197</v>
      </c>
      <c r="L13" s="49" t="s">
        <v>169</v>
      </c>
      <c r="M13" s="49" t="s">
        <v>186</v>
      </c>
      <c r="N13" s="159" t="s">
        <v>47</v>
      </c>
      <c r="O13" s="52">
        <v>43182</v>
      </c>
      <c r="P13" s="50">
        <v>2388</v>
      </c>
      <c r="Q13" s="151" t="str">
        <f t="shared" si="2"/>
        <v>127.43%</v>
      </c>
      <c r="R13" s="49"/>
    </row>
    <row r="14" spans="1:24" x14ac:dyDescent="0.25">
      <c r="A14" s="12">
        <f t="shared" si="1"/>
        <v>12</v>
      </c>
      <c r="B14" s="49" t="s">
        <v>198</v>
      </c>
      <c r="C14" s="52">
        <v>43167</v>
      </c>
      <c r="D14" s="52">
        <v>43173</v>
      </c>
      <c r="E14" s="52">
        <v>43174</v>
      </c>
      <c r="F14" s="49" t="s">
        <v>40</v>
      </c>
      <c r="G14" s="51">
        <v>3570</v>
      </c>
      <c r="H14" s="49" t="s">
        <v>46</v>
      </c>
      <c r="I14" s="49" t="s">
        <v>199</v>
      </c>
      <c r="J14" s="49" t="s">
        <v>199</v>
      </c>
      <c r="K14" s="49" t="s">
        <v>186</v>
      </c>
      <c r="L14" s="49" t="s">
        <v>199</v>
      </c>
      <c r="M14" s="49" t="s">
        <v>186</v>
      </c>
      <c r="N14" s="159" t="s">
        <v>49</v>
      </c>
      <c r="O14" s="52">
        <v>43186</v>
      </c>
      <c r="P14" s="50">
        <v>14280</v>
      </c>
      <c r="Q14" s="151" t="str">
        <f t="shared" si="2"/>
        <v>300%</v>
      </c>
      <c r="R14" s="49"/>
    </row>
    <row r="15" spans="1:24" x14ac:dyDescent="0.25">
      <c r="A15" s="12">
        <f t="shared" si="1"/>
        <v>13</v>
      </c>
      <c r="B15" s="49" t="s">
        <v>200</v>
      </c>
      <c r="C15" s="52">
        <v>43168</v>
      </c>
      <c r="D15" s="52">
        <v>43174</v>
      </c>
      <c r="E15" s="52">
        <v>43175</v>
      </c>
      <c r="F15" s="49" t="s">
        <v>40</v>
      </c>
      <c r="G15" s="51">
        <v>3000</v>
      </c>
      <c r="H15" s="49" t="s">
        <v>60</v>
      </c>
      <c r="I15" s="49" t="s">
        <v>201</v>
      </c>
      <c r="J15" s="49" t="s">
        <v>169</v>
      </c>
      <c r="K15" s="49" t="s">
        <v>201</v>
      </c>
      <c r="L15" s="49" t="s">
        <v>169</v>
      </c>
      <c r="M15" s="49" t="s">
        <v>186</v>
      </c>
      <c r="N15" s="49" t="s">
        <v>62</v>
      </c>
      <c r="O15" s="52">
        <v>43187</v>
      </c>
      <c r="P15" s="50">
        <v>15470</v>
      </c>
      <c r="Q15" s="151" t="str">
        <f t="shared" si="2"/>
        <v>415.67%</v>
      </c>
      <c r="R15" s="49"/>
      <c r="T15" s="12" t="s">
        <v>65</v>
      </c>
    </row>
    <row r="16" spans="1:24" x14ac:dyDescent="0.25">
      <c r="A16" s="12">
        <f t="shared" si="1"/>
        <v>14</v>
      </c>
      <c r="B16" s="49" t="s">
        <v>202</v>
      </c>
      <c r="C16" s="52">
        <v>43171</v>
      </c>
      <c r="D16" s="52">
        <v>43175</v>
      </c>
      <c r="E16" s="52">
        <v>43178</v>
      </c>
      <c r="F16" s="49" t="s">
        <v>35</v>
      </c>
      <c r="G16" s="51">
        <v>2160</v>
      </c>
      <c r="H16" s="49" t="s">
        <v>46</v>
      </c>
      <c r="I16" s="49" t="s">
        <v>206</v>
      </c>
      <c r="J16" s="49" t="s">
        <v>206</v>
      </c>
      <c r="K16" s="49" t="s">
        <v>206</v>
      </c>
      <c r="L16" s="49" t="s">
        <v>205</v>
      </c>
      <c r="M16" s="49" t="s">
        <v>186</v>
      </c>
      <c r="N16" s="49" t="s">
        <v>62</v>
      </c>
      <c r="O16" s="52">
        <v>43188</v>
      </c>
      <c r="P16" s="50">
        <v>4705</v>
      </c>
      <c r="Q16" s="151" t="str">
        <f t="shared" si="2"/>
        <v>117.82%</v>
      </c>
      <c r="R16" s="49"/>
      <c r="T16" s="12" t="s">
        <v>66</v>
      </c>
    </row>
    <row r="17" spans="1:20" x14ac:dyDescent="0.25">
      <c r="A17" s="12">
        <f t="shared" si="1"/>
        <v>15</v>
      </c>
      <c r="B17" s="49" t="s">
        <v>203</v>
      </c>
      <c r="C17" s="52">
        <v>43172</v>
      </c>
      <c r="D17" s="52">
        <v>43178</v>
      </c>
      <c r="E17" s="52">
        <v>43179</v>
      </c>
      <c r="F17" s="49" t="s">
        <v>40</v>
      </c>
      <c r="G17" s="51">
        <v>1700</v>
      </c>
      <c r="H17" s="49" t="s">
        <v>60</v>
      </c>
      <c r="I17" s="49" t="s">
        <v>205</v>
      </c>
      <c r="J17" s="49" t="s">
        <v>205</v>
      </c>
      <c r="K17" s="49" t="s">
        <v>206</v>
      </c>
      <c r="L17" s="49" t="s">
        <v>205</v>
      </c>
      <c r="M17" s="49" t="s">
        <v>206</v>
      </c>
      <c r="N17" s="159" t="s">
        <v>47</v>
      </c>
      <c r="O17" s="52">
        <v>43188</v>
      </c>
      <c r="P17" s="50">
        <v>4555</v>
      </c>
      <c r="Q17" s="151" t="str">
        <f t="shared" si="2"/>
        <v>167.94%</v>
      </c>
      <c r="R17" s="49"/>
      <c r="T17" s="30" t="s">
        <v>67</v>
      </c>
    </row>
    <row r="18" spans="1:20" x14ac:dyDescent="0.25">
      <c r="A18" s="12">
        <f t="shared" si="1"/>
        <v>16</v>
      </c>
      <c r="B18" s="49" t="s">
        <v>204</v>
      </c>
      <c r="C18" s="52">
        <v>43172</v>
      </c>
      <c r="D18" s="52">
        <v>43178</v>
      </c>
      <c r="E18" s="52">
        <v>43179</v>
      </c>
      <c r="F18" s="49" t="s">
        <v>40</v>
      </c>
      <c r="G18" s="51">
        <v>1760</v>
      </c>
      <c r="H18" s="49" t="s">
        <v>60</v>
      </c>
      <c r="I18" s="49" t="s">
        <v>205</v>
      </c>
      <c r="J18" s="49" t="s">
        <v>205</v>
      </c>
      <c r="K18" s="49" t="s">
        <v>206</v>
      </c>
      <c r="L18" s="49" t="s">
        <v>205</v>
      </c>
      <c r="M18" s="49" t="s">
        <v>186</v>
      </c>
      <c r="N18" s="49" t="s">
        <v>62</v>
      </c>
      <c r="O18" s="52">
        <v>43189</v>
      </c>
      <c r="P18" s="50">
        <v>5100</v>
      </c>
      <c r="Q18" s="151" t="str">
        <f t="shared" si="2"/>
        <v>189.77%</v>
      </c>
      <c r="R18" s="49"/>
    </row>
    <row r="19" spans="1:20" x14ac:dyDescent="0.25">
      <c r="A19" s="12">
        <f t="shared" si="1"/>
        <v>17</v>
      </c>
      <c r="B19" s="49" t="s">
        <v>210</v>
      </c>
      <c r="C19" s="52">
        <v>43173</v>
      </c>
      <c r="D19" s="52">
        <v>43179</v>
      </c>
      <c r="E19" s="52">
        <v>43181</v>
      </c>
      <c r="F19" s="49" t="s">
        <v>40</v>
      </c>
      <c r="G19" s="51">
        <v>1350</v>
      </c>
      <c r="H19" s="49" t="s">
        <v>60</v>
      </c>
      <c r="I19" s="49" t="s">
        <v>169</v>
      </c>
      <c r="J19" s="49" t="s">
        <v>169</v>
      </c>
      <c r="K19" s="49" t="s">
        <v>175</v>
      </c>
      <c r="L19" s="49" t="s">
        <v>169</v>
      </c>
      <c r="M19" s="49" t="s">
        <v>175</v>
      </c>
      <c r="N19" s="49" t="s">
        <v>53</v>
      </c>
      <c r="O19" s="52">
        <v>43193</v>
      </c>
      <c r="P19" s="50">
        <v>3210</v>
      </c>
      <c r="Q19" s="151" t="str">
        <f t="shared" si="2"/>
        <v>137.78%</v>
      </c>
      <c r="R19" s="49"/>
      <c r="T19" s="14" t="s">
        <v>68</v>
      </c>
    </row>
    <row r="20" spans="1:20" x14ac:dyDescent="0.25">
      <c r="A20" s="12">
        <f t="shared" si="1"/>
        <v>18</v>
      </c>
      <c r="B20" s="49" t="s">
        <v>224</v>
      </c>
      <c r="C20" s="52">
        <v>43174</v>
      </c>
      <c r="D20" s="52">
        <v>43181</v>
      </c>
      <c r="E20" s="52">
        <v>43182</v>
      </c>
      <c r="F20" s="49" t="s">
        <v>40</v>
      </c>
      <c r="G20" s="51">
        <v>2200</v>
      </c>
      <c r="H20" s="49" t="s">
        <v>60</v>
      </c>
      <c r="I20" s="49" t="s">
        <v>169</v>
      </c>
      <c r="J20" s="49" t="s">
        <v>169</v>
      </c>
      <c r="K20" s="49" t="s">
        <v>175</v>
      </c>
      <c r="L20" s="49" t="s">
        <v>169</v>
      </c>
      <c r="M20" s="49" t="s">
        <v>175</v>
      </c>
      <c r="N20" s="49" t="s">
        <v>53</v>
      </c>
      <c r="O20" s="52">
        <v>43194</v>
      </c>
      <c r="P20" s="50">
        <v>10000</v>
      </c>
      <c r="Q20" s="151" t="str">
        <f t="shared" si="2"/>
        <v>354.55%</v>
      </c>
      <c r="R20" s="49"/>
      <c r="T20" s="114" t="s">
        <v>153</v>
      </c>
    </row>
    <row r="21" spans="1:20" x14ac:dyDescent="0.25">
      <c r="A21" s="12">
        <f t="shared" si="1"/>
        <v>19</v>
      </c>
      <c r="B21" s="49" t="s">
        <v>229</v>
      </c>
      <c r="C21" s="52">
        <v>43185</v>
      </c>
      <c r="D21" s="52">
        <v>43189</v>
      </c>
      <c r="E21" s="52">
        <v>43192</v>
      </c>
      <c r="F21" s="49" t="s">
        <v>40</v>
      </c>
      <c r="G21" s="51">
        <v>1170</v>
      </c>
      <c r="H21" s="49" t="s">
        <v>60</v>
      </c>
      <c r="I21" s="49" t="s">
        <v>247</v>
      </c>
      <c r="J21" s="49" t="s">
        <v>248</v>
      </c>
      <c r="K21" s="49" t="s">
        <v>186</v>
      </c>
      <c r="L21" s="49" t="s">
        <v>248</v>
      </c>
      <c r="M21" s="49" t="s">
        <v>186</v>
      </c>
      <c r="N21" s="159" t="s">
        <v>36</v>
      </c>
      <c r="O21" s="52">
        <v>43200</v>
      </c>
      <c r="P21" s="50">
        <v>3600</v>
      </c>
      <c r="Q21" s="151" t="str">
        <f t="shared" si="2"/>
        <v>207.69%</v>
      </c>
      <c r="R21" s="49"/>
    </row>
    <row r="22" spans="1:20" x14ac:dyDescent="0.25">
      <c r="A22" s="12">
        <f t="shared" si="1"/>
        <v>20</v>
      </c>
      <c r="B22" s="49" t="s">
        <v>230</v>
      </c>
      <c r="C22" s="52">
        <v>43182</v>
      </c>
      <c r="D22" s="52">
        <v>43188</v>
      </c>
      <c r="E22" s="52">
        <v>43189</v>
      </c>
      <c r="F22" s="49" t="s">
        <v>40</v>
      </c>
      <c r="G22" s="51">
        <v>930</v>
      </c>
      <c r="H22" s="49" t="s">
        <v>46</v>
      </c>
      <c r="I22" s="49" t="s">
        <v>231</v>
      </c>
      <c r="J22" s="49" t="s">
        <v>231</v>
      </c>
      <c r="K22" s="49" t="s">
        <v>186</v>
      </c>
      <c r="L22" s="49" t="s">
        <v>231</v>
      </c>
      <c r="M22" s="49" t="s">
        <v>232</v>
      </c>
      <c r="N22" s="49" t="s">
        <v>53</v>
      </c>
      <c r="O22" s="52">
        <v>43201</v>
      </c>
      <c r="P22" s="50">
        <v>2189</v>
      </c>
      <c r="Q22" s="151" t="str">
        <f t="shared" si="2"/>
        <v>135.38%</v>
      </c>
      <c r="R22" s="49"/>
      <c r="T22" s="12" t="s">
        <v>69</v>
      </c>
    </row>
    <row r="23" spans="1:20" x14ac:dyDescent="0.25">
      <c r="A23" s="12">
        <f t="shared" si="1"/>
        <v>21</v>
      </c>
      <c r="B23" s="151" t="s">
        <v>246</v>
      </c>
      <c r="C23" s="161">
        <v>43195</v>
      </c>
      <c r="D23" s="161">
        <v>43201</v>
      </c>
      <c r="E23" s="52">
        <v>43202</v>
      </c>
      <c r="F23" s="49" t="s">
        <v>40</v>
      </c>
      <c r="G23" s="162">
        <v>4500</v>
      </c>
      <c r="H23" s="151" t="s">
        <v>60</v>
      </c>
      <c r="I23" s="49" t="s">
        <v>169</v>
      </c>
      <c r="J23" s="49" t="s">
        <v>169</v>
      </c>
      <c r="K23" s="49" t="s">
        <v>192</v>
      </c>
      <c r="L23" s="49" t="s">
        <v>169</v>
      </c>
      <c r="M23" s="49" t="s">
        <v>232</v>
      </c>
      <c r="N23" s="164" t="s">
        <v>47</v>
      </c>
      <c r="O23" s="161">
        <v>43210</v>
      </c>
      <c r="P23" s="163">
        <v>49000</v>
      </c>
      <c r="Q23" s="151" t="str">
        <f t="shared" si="2"/>
        <v>988.89%</v>
      </c>
      <c r="R23" s="151"/>
      <c r="T23" s="114" t="s">
        <v>125</v>
      </c>
    </row>
    <row r="24" spans="1:20" x14ac:dyDescent="0.25">
      <c r="A24" s="12">
        <f t="shared" si="1"/>
        <v>22</v>
      </c>
      <c r="B24" s="151" t="s">
        <v>250</v>
      </c>
      <c r="C24" s="52">
        <v>43200</v>
      </c>
      <c r="D24" s="52">
        <v>43206</v>
      </c>
      <c r="E24" s="161">
        <v>43207</v>
      </c>
      <c r="F24" s="49" t="s">
        <v>40</v>
      </c>
      <c r="G24" s="162">
        <v>4330</v>
      </c>
      <c r="H24" s="151" t="s">
        <v>60</v>
      </c>
      <c r="I24" s="49" t="s">
        <v>169</v>
      </c>
      <c r="J24" s="49" t="s">
        <v>169</v>
      </c>
      <c r="K24" s="49" t="s">
        <v>169</v>
      </c>
      <c r="L24" s="49" t="s">
        <v>169</v>
      </c>
      <c r="M24" s="49" t="s">
        <v>232</v>
      </c>
      <c r="N24" s="164" t="s">
        <v>47</v>
      </c>
      <c r="O24" s="161">
        <v>43215</v>
      </c>
      <c r="P24" s="163">
        <v>14830</v>
      </c>
      <c r="Q24" s="151" t="str">
        <f t="shared" si="2"/>
        <v>242.49%</v>
      </c>
      <c r="R24" s="49"/>
    </row>
    <row r="25" spans="1:20" x14ac:dyDescent="0.25">
      <c r="A25" s="12">
        <f t="shared" si="1"/>
        <v>23</v>
      </c>
      <c r="B25" s="49" t="s">
        <v>251</v>
      </c>
      <c r="C25" s="52">
        <v>43200</v>
      </c>
      <c r="D25" s="52">
        <v>43206</v>
      </c>
      <c r="E25" s="161">
        <v>43207</v>
      </c>
      <c r="F25" s="49" t="s">
        <v>40</v>
      </c>
      <c r="G25" s="51">
        <v>2850</v>
      </c>
      <c r="H25" s="49" t="s">
        <v>46</v>
      </c>
      <c r="I25" s="49" t="s">
        <v>169</v>
      </c>
      <c r="J25" s="49" t="s">
        <v>169</v>
      </c>
      <c r="K25" s="49" t="s">
        <v>267</v>
      </c>
      <c r="L25" s="49" t="s">
        <v>169</v>
      </c>
      <c r="M25" s="49" t="s">
        <v>186</v>
      </c>
      <c r="N25" s="159" t="s">
        <v>36</v>
      </c>
      <c r="O25" s="161">
        <v>43215</v>
      </c>
      <c r="P25" s="50">
        <v>4500</v>
      </c>
      <c r="Q25" s="151" t="str">
        <f t="shared" si="2"/>
        <v>57.89%</v>
      </c>
      <c r="R25" s="49"/>
    </row>
    <row r="26" spans="1:20" x14ac:dyDescent="0.25">
      <c r="A26" s="12">
        <f t="shared" si="1"/>
        <v>24</v>
      </c>
      <c r="B26" s="49" t="s">
        <v>252</v>
      </c>
      <c r="C26" s="52">
        <v>43201</v>
      </c>
      <c r="D26" s="52">
        <v>43207</v>
      </c>
      <c r="E26" s="161">
        <v>43208</v>
      </c>
      <c r="F26" s="49" t="s">
        <v>35</v>
      </c>
      <c r="G26" s="51">
        <v>1810</v>
      </c>
      <c r="H26" s="49" t="s">
        <v>46</v>
      </c>
      <c r="I26" s="49" t="s">
        <v>254</v>
      </c>
      <c r="J26" s="49" t="s">
        <v>254</v>
      </c>
      <c r="K26" s="49" t="s">
        <v>254</v>
      </c>
      <c r="L26" s="49" t="s">
        <v>253</v>
      </c>
      <c r="M26" s="49" t="s">
        <v>186</v>
      </c>
      <c r="N26" s="159" t="s">
        <v>49</v>
      </c>
      <c r="O26" s="161">
        <v>43217</v>
      </c>
      <c r="P26" s="50">
        <v>3780</v>
      </c>
      <c r="Q26" s="151" t="str">
        <f t="shared" si="2"/>
        <v>108.84%</v>
      </c>
      <c r="R26" s="49"/>
    </row>
    <row r="27" spans="1:20" x14ac:dyDescent="0.25">
      <c r="A27" s="12">
        <f t="shared" si="1"/>
        <v>25</v>
      </c>
      <c r="B27" s="151" t="s">
        <v>272</v>
      </c>
      <c r="C27" s="52">
        <v>43236</v>
      </c>
      <c r="D27" s="52">
        <v>43242</v>
      </c>
      <c r="E27" s="161">
        <v>43243</v>
      </c>
      <c r="F27" s="49" t="s">
        <v>40</v>
      </c>
      <c r="G27" s="162">
        <v>1500</v>
      </c>
      <c r="H27" s="151" t="s">
        <v>52</v>
      </c>
      <c r="I27" s="49" t="s">
        <v>169</v>
      </c>
      <c r="J27" s="49" t="s">
        <v>169</v>
      </c>
      <c r="K27" s="49" t="s">
        <v>267</v>
      </c>
      <c r="L27" s="49" t="s">
        <v>169</v>
      </c>
      <c r="M27" s="49" t="s">
        <v>273</v>
      </c>
      <c r="N27" s="164" t="s">
        <v>36</v>
      </c>
      <c r="O27" s="161">
        <v>43251</v>
      </c>
      <c r="P27" s="163">
        <v>1645</v>
      </c>
      <c r="Q27" s="151" t="str">
        <f t="shared" si="2"/>
        <v>9.67%</v>
      </c>
      <c r="R27" s="151"/>
    </row>
    <row r="28" spans="1:20" x14ac:dyDescent="0.25">
      <c r="A28" s="12">
        <f t="shared" si="1"/>
        <v>26</v>
      </c>
      <c r="B28" s="49" t="s">
        <v>274</v>
      </c>
      <c r="C28" s="52">
        <v>43255</v>
      </c>
      <c r="D28" s="52">
        <v>43259</v>
      </c>
      <c r="E28" s="161">
        <v>43262</v>
      </c>
      <c r="F28" s="49" t="s">
        <v>40</v>
      </c>
      <c r="G28" s="51">
        <v>3000</v>
      </c>
      <c r="H28" s="49" t="s">
        <v>46</v>
      </c>
      <c r="I28" s="49" t="s">
        <v>169</v>
      </c>
      <c r="J28" s="49" t="s">
        <v>169</v>
      </c>
      <c r="K28" s="49" t="s">
        <v>186</v>
      </c>
      <c r="L28" s="49" t="s">
        <v>169</v>
      </c>
      <c r="M28" s="49" t="s">
        <v>275</v>
      </c>
      <c r="N28" s="159" t="s">
        <v>36</v>
      </c>
      <c r="O28" s="161">
        <v>43270</v>
      </c>
      <c r="P28" s="50"/>
      <c r="Q28" s="151" t="str">
        <f t="shared" si="2"/>
        <v>-100%</v>
      </c>
      <c r="R28" s="49"/>
    </row>
    <row r="29" spans="1:20" x14ac:dyDescent="0.25">
      <c r="A29" s="12">
        <f t="shared" si="1"/>
        <v>27</v>
      </c>
      <c r="B29" s="49" t="s">
        <v>277</v>
      </c>
      <c r="C29" s="52">
        <v>43256</v>
      </c>
      <c r="D29" s="52">
        <v>43262</v>
      </c>
      <c r="E29" s="52">
        <v>43263</v>
      </c>
      <c r="F29" s="49" t="s">
        <v>40</v>
      </c>
      <c r="G29" s="51">
        <v>1860</v>
      </c>
      <c r="H29" s="49" t="s">
        <v>60</v>
      </c>
      <c r="I29" s="49" t="s">
        <v>283</v>
      </c>
      <c r="J29" s="49" t="s">
        <v>169</v>
      </c>
      <c r="K29" s="49" t="s">
        <v>283</v>
      </c>
      <c r="L29" s="49" t="s">
        <v>169</v>
      </c>
      <c r="M29" s="49" t="s">
        <v>186</v>
      </c>
      <c r="N29" s="159" t="s">
        <v>47</v>
      </c>
      <c r="O29" s="161">
        <v>43271</v>
      </c>
      <c r="P29" s="50"/>
      <c r="Q29" s="151" t="str">
        <f t="shared" si="2"/>
        <v>-100%</v>
      </c>
      <c r="R29" s="49"/>
    </row>
    <row r="30" spans="1:20" x14ac:dyDescent="0.25">
      <c r="A30" s="12">
        <f t="shared" si="1"/>
        <v>28</v>
      </c>
      <c r="B30" s="151" t="s">
        <v>280</v>
      </c>
      <c r="C30" s="52">
        <v>43255</v>
      </c>
      <c r="D30" s="52">
        <v>43259</v>
      </c>
      <c r="E30" s="161">
        <v>43262</v>
      </c>
      <c r="F30" s="49" t="s">
        <v>35</v>
      </c>
      <c r="G30" s="162">
        <v>2000</v>
      </c>
      <c r="H30" s="49" t="s">
        <v>60</v>
      </c>
      <c r="I30" s="49" t="s">
        <v>283</v>
      </c>
      <c r="J30" s="49" t="s">
        <v>169</v>
      </c>
      <c r="K30" s="49" t="s">
        <v>283</v>
      </c>
      <c r="L30" s="49" t="s">
        <v>169</v>
      </c>
      <c r="M30" s="49" t="s">
        <v>186</v>
      </c>
      <c r="N30" s="151" t="s">
        <v>64</v>
      </c>
      <c r="O30" s="161">
        <v>43272</v>
      </c>
      <c r="P30" s="163"/>
      <c r="Q30" s="151" t="str">
        <f t="shared" si="2"/>
        <v>-100%</v>
      </c>
      <c r="R30" s="151"/>
    </row>
    <row r="31" spans="1:20" x14ac:dyDescent="0.25">
      <c r="A31" s="12">
        <f t="shared" si="1"/>
        <v>29</v>
      </c>
      <c r="B31" s="49" t="s">
        <v>278</v>
      </c>
      <c r="C31" s="52">
        <v>43256</v>
      </c>
      <c r="D31" s="52">
        <v>43262</v>
      </c>
      <c r="E31" s="52">
        <v>43263</v>
      </c>
      <c r="F31" s="49" t="s">
        <v>42</v>
      </c>
      <c r="G31" s="51">
        <v>2620</v>
      </c>
      <c r="H31" s="49" t="s">
        <v>41</v>
      </c>
      <c r="I31" s="49" t="s">
        <v>283</v>
      </c>
      <c r="J31" s="49" t="s">
        <v>283</v>
      </c>
      <c r="K31" s="49" t="s">
        <v>283</v>
      </c>
      <c r="L31" s="49" t="s">
        <v>169</v>
      </c>
      <c r="M31" s="49" t="s">
        <v>283</v>
      </c>
      <c r="N31" s="49" t="s">
        <v>279</v>
      </c>
      <c r="O31" s="161">
        <v>43272</v>
      </c>
      <c r="P31" s="50"/>
      <c r="Q31" s="151" t="str">
        <f t="shared" si="2"/>
        <v>-100%</v>
      </c>
      <c r="R31" s="49"/>
    </row>
    <row r="32" spans="1:20" x14ac:dyDescent="0.25">
      <c r="A32" s="12">
        <f t="shared" si="1"/>
        <v>30</v>
      </c>
      <c r="B32" s="151" t="s">
        <v>281</v>
      </c>
      <c r="C32" s="52">
        <v>43256</v>
      </c>
      <c r="D32" s="52">
        <v>43262</v>
      </c>
      <c r="E32" s="52">
        <v>43263</v>
      </c>
      <c r="F32" s="49" t="s">
        <v>40</v>
      </c>
      <c r="G32" s="162">
        <v>1600</v>
      </c>
      <c r="H32" s="49" t="s">
        <v>60</v>
      </c>
      <c r="I32" s="49" t="s">
        <v>169</v>
      </c>
      <c r="J32" s="151" t="s">
        <v>283</v>
      </c>
      <c r="K32" s="151" t="s">
        <v>283</v>
      </c>
      <c r="L32" s="49" t="s">
        <v>169</v>
      </c>
      <c r="M32" s="49" t="s">
        <v>186</v>
      </c>
      <c r="N32" s="151" t="s">
        <v>53</v>
      </c>
      <c r="O32" s="161">
        <v>43272</v>
      </c>
      <c r="P32" s="163"/>
      <c r="Q32" s="151" t="str">
        <f t="shared" si="2"/>
        <v>-100%</v>
      </c>
      <c r="R32" s="151"/>
    </row>
    <row r="33" spans="1:18" x14ac:dyDescent="0.25">
      <c r="A33" s="12">
        <f t="shared" si="1"/>
        <v>31</v>
      </c>
      <c r="B33" s="49" t="s">
        <v>282</v>
      </c>
      <c r="C33" s="52">
        <v>43257</v>
      </c>
      <c r="D33" s="52">
        <v>43263</v>
      </c>
      <c r="E33" s="52">
        <v>43264</v>
      </c>
      <c r="F33" s="49" t="s">
        <v>40</v>
      </c>
      <c r="G33" s="51">
        <v>2820</v>
      </c>
      <c r="H33" s="49" t="s">
        <v>46</v>
      </c>
      <c r="I33" s="49" t="s">
        <v>169</v>
      </c>
      <c r="J33" s="49" t="s">
        <v>169</v>
      </c>
      <c r="K33" s="151" t="s">
        <v>283</v>
      </c>
      <c r="L33" s="49" t="s">
        <v>169</v>
      </c>
      <c r="M33" s="151" t="s">
        <v>283</v>
      </c>
      <c r="N33" s="159" t="s">
        <v>49</v>
      </c>
      <c r="O33" s="52">
        <v>43273</v>
      </c>
      <c r="P33" s="50"/>
      <c r="Q33" s="151" t="str">
        <f t="shared" si="2"/>
        <v>-100%</v>
      </c>
      <c r="R33" s="49"/>
    </row>
    <row r="34" spans="1:18" x14ac:dyDescent="0.25">
      <c r="A34" s="12">
        <f t="shared" si="1"/>
        <v>32</v>
      </c>
      <c r="B34" s="49" t="s">
        <v>284</v>
      </c>
      <c r="C34" s="52">
        <v>43258</v>
      </c>
      <c r="D34" s="52">
        <v>43264</v>
      </c>
      <c r="E34" s="52">
        <v>43265</v>
      </c>
      <c r="F34" s="49"/>
      <c r="G34" s="51">
        <v>344</v>
      </c>
      <c r="H34" s="49" t="s">
        <v>52</v>
      </c>
      <c r="I34" s="151" t="s">
        <v>285</v>
      </c>
      <c r="J34" s="49" t="s">
        <v>169</v>
      </c>
      <c r="K34" s="151" t="s">
        <v>285</v>
      </c>
      <c r="L34" s="49" t="s">
        <v>169</v>
      </c>
      <c r="M34" s="49" t="s">
        <v>299</v>
      </c>
      <c r="N34" s="49" t="s">
        <v>62</v>
      </c>
      <c r="O34" s="52">
        <v>43277</v>
      </c>
      <c r="P34" s="50"/>
      <c r="Q34" s="151" t="str">
        <f t="shared" si="2"/>
        <v>-100%</v>
      </c>
      <c r="R34" s="49"/>
    </row>
    <row r="35" spans="1:18" x14ac:dyDescent="0.25">
      <c r="A35" s="12">
        <f t="shared" si="1"/>
        <v>33</v>
      </c>
      <c r="B35" s="49" t="s">
        <v>286</v>
      </c>
      <c r="C35" s="52">
        <v>43262</v>
      </c>
      <c r="D35" s="52">
        <v>43266</v>
      </c>
      <c r="E35" s="52">
        <v>43269</v>
      </c>
      <c r="F35" s="49" t="s">
        <v>40</v>
      </c>
      <c r="G35" s="51">
        <v>1000</v>
      </c>
      <c r="H35" s="49" t="s">
        <v>60</v>
      </c>
      <c r="I35" s="151" t="s">
        <v>288</v>
      </c>
      <c r="J35" s="49" t="s">
        <v>169</v>
      </c>
      <c r="K35" s="151" t="s">
        <v>288</v>
      </c>
      <c r="L35" s="49" t="s">
        <v>169</v>
      </c>
      <c r="M35" s="151" t="s">
        <v>288</v>
      </c>
      <c r="N35" s="159" t="s">
        <v>49</v>
      </c>
      <c r="O35" s="52">
        <v>43278</v>
      </c>
      <c r="P35" s="50"/>
      <c r="Q35" s="151" t="str">
        <f t="shared" si="2"/>
        <v>-100%</v>
      </c>
      <c r="R35" s="49"/>
    </row>
    <row r="36" spans="1:18" x14ac:dyDescent="0.25">
      <c r="A36" s="12">
        <f t="shared" si="1"/>
        <v>34</v>
      </c>
      <c r="B36" s="151" t="s">
        <v>287</v>
      </c>
      <c r="C36" s="52">
        <v>43262</v>
      </c>
      <c r="D36" s="52">
        <v>43266</v>
      </c>
      <c r="E36" s="52">
        <v>43269</v>
      </c>
      <c r="F36" s="49" t="s">
        <v>40</v>
      </c>
      <c r="G36" s="162">
        <v>1780</v>
      </c>
      <c r="H36" s="49" t="s">
        <v>60</v>
      </c>
      <c r="I36" s="151" t="s">
        <v>288</v>
      </c>
      <c r="J36" s="49" t="s">
        <v>169</v>
      </c>
      <c r="K36" s="151" t="s">
        <v>288</v>
      </c>
      <c r="L36" s="49" t="s">
        <v>169</v>
      </c>
      <c r="M36" s="151" t="s">
        <v>288</v>
      </c>
      <c r="N36" s="151" t="s">
        <v>279</v>
      </c>
      <c r="O36" s="161">
        <v>43278</v>
      </c>
      <c r="P36" s="163"/>
      <c r="Q36" s="151" t="str">
        <f t="shared" si="2"/>
        <v>-100%</v>
      </c>
      <c r="R36" s="151"/>
    </row>
    <row r="37" spans="1:18" x14ac:dyDescent="0.25">
      <c r="A37" s="12">
        <f t="shared" si="1"/>
        <v>35</v>
      </c>
      <c r="B37" s="49" t="s">
        <v>289</v>
      </c>
      <c r="C37" s="52">
        <v>43262</v>
      </c>
      <c r="D37" s="52">
        <v>43266</v>
      </c>
      <c r="E37" s="52">
        <v>43269</v>
      </c>
      <c r="F37" s="49" t="s">
        <v>40</v>
      </c>
      <c r="G37" s="51">
        <v>3900</v>
      </c>
      <c r="H37" s="49" t="s">
        <v>46</v>
      </c>
      <c r="I37" s="49" t="s">
        <v>169</v>
      </c>
      <c r="J37" s="49" t="s">
        <v>169</v>
      </c>
      <c r="K37" s="151" t="s">
        <v>288</v>
      </c>
      <c r="L37" s="49" t="s">
        <v>169</v>
      </c>
      <c r="M37" s="49" t="s">
        <v>299</v>
      </c>
      <c r="N37" s="49" t="s">
        <v>62</v>
      </c>
      <c r="O37" s="161">
        <v>43278</v>
      </c>
      <c r="P37" s="50"/>
      <c r="Q37" s="151" t="str">
        <f t="shared" si="2"/>
        <v>-100%</v>
      </c>
      <c r="R37" s="49"/>
    </row>
    <row r="38" spans="1:18" x14ac:dyDescent="0.25">
      <c r="A38" s="12">
        <f t="shared" si="1"/>
        <v>36</v>
      </c>
      <c r="B38" s="151" t="s">
        <v>291</v>
      </c>
      <c r="C38" s="161">
        <v>43263</v>
      </c>
      <c r="D38" s="161">
        <v>43269</v>
      </c>
      <c r="E38" s="161">
        <v>43270</v>
      </c>
      <c r="F38" s="49" t="s">
        <v>40</v>
      </c>
      <c r="G38" s="162">
        <v>3980</v>
      </c>
      <c r="H38" s="49" t="s">
        <v>60</v>
      </c>
      <c r="I38" s="49" t="s">
        <v>169</v>
      </c>
      <c r="J38" s="49" t="s">
        <v>295</v>
      </c>
      <c r="K38" s="49" t="s">
        <v>295</v>
      </c>
      <c r="L38" s="49" t="s">
        <v>169</v>
      </c>
      <c r="M38" s="151" t="s">
        <v>295</v>
      </c>
      <c r="N38" s="151" t="s">
        <v>54</v>
      </c>
      <c r="O38" s="161">
        <v>43278</v>
      </c>
      <c r="P38" s="163"/>
      <c r="Q38" s="151" t="str">
        <f t="shared" si="2"/>
        <v>-100%</v>
      </c>
      <c r="R38" s="151"/>
    </row>
    <row r="39" spans="1:18" x14ac:dyDescent="0.25">
      <c r="A39" s="12">
        <f t="shared" si="1"/>
        <v>37</v>
      </c>
      <c r="B39" s="151" t="s">
        <v>290</v>
      </c>
      <c r="C39" s="161">
        <v>43263</v>
      </c>
      <c r="D39" s="161">
        <v>43269</v>
      </c>
      <c r="E39" s="161">
        <v>43270</v>
      </c>
      <c r="F39" s="49"/>
      <c r="G39" s="162">
        <v>2400</v>
      </c>
      <c r="H39" s="49" t="s">
        <v>52</v>
      </c>
      <c r="I39" s="151" t="s">
        <v>175</v>
      </c>
      <c r="J39" s="49" t="s">
        <v>169</v>
      </c>
      <c r="K39" s="49" t="s">
        <v>299</v>
      </c>
      <c r="L39" s="49" t="s">
        <v>169</v>
      </c>
      <c r="M39" s="151" t="s">
        <v>175</v>
      </c>
      <c r="N39" s="151" t="s">
        <v>53</v>
      </c>
      <c r="O39" s="161">
        <v>43280</v>
      </c>
      <c r="P39" s="163"/>
      <c r="Q39" s="151" t="str">
        <f t="shared" ref="Q39" si="3">IF(ISERROR(CONCATENATE(ROUND((IF(ISBLANK(P39),0,P39)-IF(ISBLANK(G39),0,G39))/IF(ISBLANK(G39),0,G39),4)*100,"%")),"",CONCATENATE(ROUND((IF(ISBLANK(P39),0,P39)-IF(ISBLANK(G39),0,G39))/IF(ISBLANK(G39),0,G39),4)*100,"%"))</f>
        <v>-100%</v>
      </c>
      <c r="R39" s="49"/>
    </row>
    <row r="40" spans="1:18" x14ac:dyDescent="0.25">
      <c r="A40" s="12">
        <f t="shared" si="1"/>
        <v>38</v>
      </c>
      <c r="B40" s="49" t="s">
        <v>298</v>
      </c>
      <c r="C40" s="52">
        <v>43269</v>
      </c>
      <c r="D40" s="52">
        <v>43273</v>
      </c>
      <c r="E40" s="52">
        <v>43276</v>
      </c>
      <c r="F40" s="49" t="s">
        <v>40</v>
      </c>
      <c r="G40" s="51"/>
      <c r="H40" s="49" t="s">
        <v>60</v>
      </c>
      <c r="I40" s="49" t="s">
        <v>275</v>
      </c>
      <c r="J40" s="49" t="s">
        <v>276</v>
      </c>
      <c r="K40" s="49" t="s">
        <v>275</v>
      </c>
      <c r="L40" s="49" t="s">
        <v>276</v>
      </c>
      <c r="M40" s="49" t="s">
        <v>276</v>
      </c>
      <c r="N40" s="49" t="s">
        <v>53</v>
      </c>
      <c r="O40" s="52">
        <v>43285</v>
      </c>
      <c r="P40" s="50"/>
      <c r="Q40" s="151" t="str">
        <f t="shared" si="2"/>
        <v/>
      </c>
      <c r="R40" s="49"/>
    </row>
    <row r="41" spans="1:18" x14ac:dyDescent="0.25">
      <c r="A41" s="12">
        <f t="shared" si="1"/>
        <v>39</v>
      </c>
      <c r="B41" s="151" t="s">
        <v>300</v>
      </c>
      <c r="C41" s="52">
        <v>43270</v>
      </c>
      <c r="D41" s="52">
        <v>43276</v>
      </c>
      <c r="E41" s="52">
        <v>43277</v>
      </c>
      <c r="F41" s="49" t="s">
        <v>40</v>
      </c>
      <c r="G41" s="162"/>
      <c r="H41" s="49" t="s">
        <v>60</v>
      </c>
      <c r="I41" s="49" t="s">
        <v>175</v>
      </c>
      <c r="J41" s="151" t="s">
        <v>276</v>
      </c>
      <c r="K41" s="49" t="s">
        <v>175</v>
      </c>
      <c r="L41" s="151" t="s">
        <v>276</v>
      </c>
      <c r="M41" s="49" t="s">
        <v>276</v>
      </c>
      <c r="N41" s="151" t="s">
        <v>53</v>
      </c>
      <c r="O41" s="52">
        <v>43286</v>
      </c>
      <c r="P41" s="163"/>
      <c r="Q41" s="151" t="s">
        <v>297</v>
      </c>
      <c r="R41" s="151"/>
    </row>
    <row r="42" spans="1:18" x14ac:dyDescent="0.25">
      <c r="A42" s="12">
        <f t="shared" si="1"/>
        <v>40</v>
      </c>
      <c r="B42" s="49" t="s">
        <v>296</v>
      </c>
      <c r="C42" s="52">
        <v>43273</v>
      </c>
      <c r="D42" s="52">
        <v>43279</v>
      </c>
      <c r="E42" s="52">
        <v>43280</v>
      </c>
      <c r="F42" s="49" t="s">
        <v>40</v>
      </c>
      <c r="G42" s="51"/>
      <c r="H42" s="49" t="s">
        <v>41</v>
      </c>
      <c r="I42" s="49" t="s">
        <v>169</v>
      </c>
      <c r="J42" s="49" t="s">
        <v>276</v>
      </c>
      <c r="K42" s="49" t="s">
        <v>276</v>
      </c>
      <c r="L42" s="49" t="s">
        <v>276</v>
      </c>
      <c r="M42" s="49" t="s">
        <v>276</v>
      </c>
      <c r="N42" s="49" t="s">
        <v>53</v>
      </c>
      <c r="O42" s="52">
        <v>43291</v>
      </c>
      <c r="P42" s="50"/>
      <c r="Q42" s="151" t="s">
        <v>297</v>
      </c>
      <c r="R42" s="49"/>
    </row>
    <row r="43" spans="1:18" x14ac:dyDescent="0.25">
      <c r="A43" s="12">
        <f t="shared" si="1"/>
        <v>41</v>
      </c>
      <c r="B43" s="151"/>
      <c r="C43" s="161"/>
      <c r="D43" s="161"/>
      <c r="E43" s="161"/>
      <c r="F43" s="49"/>
      <c r="G43" s="162"/>
      <c r="H43" s="49"/>
      <c r="I43" s="49"/>
      <c r="J43" s="49"/>
      <c r="K43" s="49"/>
      <c r="L43" s="49"/>
      <c r="M43" s="49"/>
      <c r="N43" s="151"/>
      <c r="O43" s="161"/>
      <c r="P43" s="163"/>
      <c r="Q43" s="151" t="str">
        <f t="shared" si="2"/>
        <v/>
      </c>
      <c r="R43" s="151"/>
    </row>
    <row r="44" spans="1:18" x14ac:dyDescent="0.25">
      <c r="A44" s="12">
        <f t="shared" si="1"/>
        <v>42</v>
      </c>
      <c r="B44" s="49"/>
      <c r="C44" s="52"/>
      <c r="D44" s="52"/>
      <c r="E44" s="52"/>
      <c r="F44" s="49"/>
      <c r="G44" s="51"/>
      <c r="H44" s="49"/>
      <c r="I44" s="49"/>
      <c r="J44" s="49"/>
      <c r="K44" s="49"/>
      <c r="L44" s="49"/>
      <c r="M44" s="49"/>
      <c r="N44" s="49"/>
      <c r="O44" s="52"/>
      <c r="P44" s="50"/>
      <c r="Q44" s="151" t="str">
        <f t="shared" si="2"/>
        <v/>
      </c>
      <c r="R44" s="49"/>
    </row>
    <row r="45" spans="1:18" x14ac:dyDescent="0.25">
      <c r="A45" s="12">
        <f t="shared" si="1"/>
        <v>43</v>
      </c>
      <c r="B45" s="151"/>
      <c r="C45" s="161"/>
      <c r="D45" s="161"/>
      <c r="E45" s="161"/>
      <c r="F45" s="49"/>
      <c r="G45" s="162"/>
      <c r="H45" s="49"/>
      <c r="I45" s="151"/>
      <c r="J45" s="49"/>
      <c r="K45" s="49"/>
      <c r="L45" s="49"/>
      <c r="M45" s="49"/>
      <c r="N45" s="151"/>
      <c r="O45" s="161"/>
      <c r="P45" s="163"/>
      <c r="Q45" s="151" t="str">
        <f t="shared" si="2"/>
        <v/>
      </c>
      <c r="R45" s="151"/>
    </row>
    <row r="46" spans="1:18" x14ac:dyDescent="0.25">
      <c r="A46" s="12">
        <f t="shared" si="1"/>
        <v>44</v>
      </c>
      <c r="B46" s="49"/>
      <c r="C46" s="52"/>
      <c r="D46" s="161"/>
      <c r="E46" s="161"/>
      <c r="F46" s="49"/>
      <c r="G46" s="51"/>
      <c r="H46" s="49"/>
      <c r="I46" s="49"/>
      <c r="J46" s="49"/>
      <c r="K46" s="49"/>
      <c r="L46" s="49"/>
      <c r="M46" s="49"/>
      <c r="N46" s="159"/>
      <c r="O46" s="161"/>
      <c r="P46" s="50"/>
      <c r="Q46" s="151" t="str">
        <f t="shared" si="2"/>
        <v/>
      </c>
      <c r="R46" s="49"/>
    </row>
    <row r="47" spans="1:18" x14ac:dyDescent="0.25">
      <c r="A47" s="12">
        <f t="shared" si="1"/>
        <v>45</v>
      </c>
      <c r="B47" s="151"/>
      <c r="C47" s="52"/>
      <c r="D47" s="161"/>
      <c r="E47" s="161"/>
      <c r="F47" s="49"/>
      <c r="G47" s="162"/>
      <c r="H47" s="49"/>
      <c r="I47" s="49"/>
      <c r="J47" s="49"/>
      <c r="K47" s="49"/>
      <c r="L47" s="49"/>
      <c r="M47" s="49"/>
      <c r="N47" s="151"/>
      <c r="O47" s="161"/>
      <c r="P47" s="163"/>
      <c r="Q47" s="151" t="str">
        <f t="shared" si="2"/>
        <v/>
      </c>
      <c r="R47" s="151"/>
    </row>
    <row r="48" spans="1:18" x14ac:dyDescent="0.25">
      <c r="A48" s="12">
        <f t="shared" si="1"/>
        <v>46</v>
      </c>
      <c r="B48" s="151"/>
      <c r="C48" s="161"/>
      <c r="D48" s="161"/>
      <c r="E48" s="161"/>
      <c r="F48" s="49"/>
      <c r="G48" s="162"/>
      <c r="H48" s="49"/>
      <c r="I48" s="49"/>
      <c r="J48" s="49"/>
      <c r="K48" s="49"/>
      <c r="L48" s="49"/>
      <c r="M48" s="49"/>
      <c r="N48" s="164"/>
      <c r="O48" s="161"/>
      <c r="P48" s="163"/>
      <c r="Q48" s="151" t="str">
        <f t="shared" si="2"/>
        <v/>
      </c>
      <c r="R48" s="151"/>
    </row>
    <row r="49" spans="1:18" x14ac:dyDescent="0.25">
      <c r="A49" s="12">
        <f t="shared" si="1"/>
        <v>47</v>
      </c>
      <c r="B49" s="151"/>
      <c r="C49" s="161"/>
      <c r="D49" s="161"/>
      <c r="E49" s="161"/>
      <c r="F49" s="49"/>
      <c r="G49" s="162"/>
      <c r="H49" s="49"/>
      <c r="I49" s="151"/>
      <c r="J49" s="151"/>
      <c r="K49" s="49"/>
      <c r="L49" s="151"/>
      <c r="M49" s="49"/>
      <c r="N49" s="164"/>
      <c r="O49" s="161"/>
      <c r="P49" s="163"/>
      <c r="Q49" s="151" t="str">
        <f t="shared" si="2"/>
        <v/>
      </c>
      <c r="R49" s="151"/>
    </row>
    <row r="50" spans="1:18" x14ac:dyDescent="0.25">
      <c r="A50" s="12">
        <f t="shared" si="1"/>
        <v>48</v>
      </c>
      <c r="B50" s="151"/>
      <c r="C50" s="161"/>
      <c r="D50" s="161"/>
      <c r="E50" s="161"/>
      <c r="F50" s="49"/>
      <c r="G50" s="162"/>
      <c r="H50" s="49"/>
      <c r="I50" s="151"/>
      <c r="J50" s="151"/>
      <c r="K50" s="151"/>
      <c r="L50" s="151"/>
      <c r="M50" s="49"/>
      <c r="N50" s="151"/>
      <c r="O50" s="161"/>
      <c r="P50" s="163"/>
      <c r="Q50" s="151" t="str">
        <f t="shared" si="2"/>
        <v/>
      </c>
      <c r="R50" s="151"/>
    </row>
    <row r="51" spans="1:18" x14ac:dyDescent="0.25">
      <c r="A51" s="12">
        <f t="shared" si="1"/>
        <v>49</v>
      </c>
      <c r="B51" s="151"/>
      <c r="C51" s="161"/>
      <c r="D51" s="161"/>
      <c r="E51" s="161"/>
      <c r="F51" s="49"/>
      <c r="G51" s="165"/>
      <c r="H51" s="49"/>
      <c r="I51" s="151"/>
      <c r="J51" s="151"/>
      <c r="K51" s="151"/>
      <c r="L51" s="151"/>
      <c r="M51" s="151"/>
      <c r="N51" s="151"/>
      <c r="O51" s="161"/>
      <c r="P51" s="163"/>
      <c r="Q51" s="151" t="str">
        <f t="shared" si="2"/>
        <v/>
      </c>
      <c r="R51" s="49"/>
    </row>
    <row r="52" spans="1:18" x14ac:dyDescent="0.25">
      <c r="A52" s="12">
        <f t="shared" si="1"/>
        <v>50</v>
      </c>
      <c r="B52" s="151"/>
      <c r="C52" s="161"/>
      <c r="D52" s="161"/>
      <c r="E52" s="161"/>
      <c r="F52" s="49"/>
      <c r="G52" s="162"/>
      <c r="H52" s="49"/>
      <c r="I52" s="151"/>
      <c r="J52" s="151"/>
      <c r="K52" s="151"/>
      <c r="L52" s="151"/>
      <c r="M52" s="151"/>
      <c r="N52" s="164"/>
      <c r="O52" s="161"/>
      <c r="P52" s="163"/>
      <c r="Q52" s="151" t="str">
        <f t="shared" si="2"/>
        <v/>
      </c>
      <c r="R52" s="166"/>
    </row>
    <row r="53" spans="1:18" x14ac:dyDescent="0.25">
      <c r="A53" s="12">
        <f t="shared" si="1"/>
        <v>51</v>
      </c>
      <c r="B53" s="151"/>
      <c r="C53" s="161"/>
      <c r="D53" s="161"/>
      <c r="E53" s="161"/>
      <c r="F53" s="49"/>
      <c r="G53" s="162"/>
      <c r="H53" s="49"/>
      <c r="I53" s="49"/>
      <c r="J53" s="49"/>
      <c r="K53" s="49"/>
      <c r="L53" s="49"/>
      <c r="M53" s="151"/>
      <c r="N53" s="151"/>
      <c r="O53" s="161"/>
      <c r="P53" s="163"/>
      <c r="Q53" s="151" t="str">
        <f t="shared" si="2"/>
        <v/>
      </c>
      <c r="R53" s="151"/>
    </row>
    <row r="54" spans="1:18" x14ac:dyDescent="0.25">
      <c r="A54" s="12">
        <f t="shared" si="1"/>
        <v>52</v>
      </c>
      <c r="B54" s="151"/>
      <c r="C54" s="161"/>
      <c r="D54" s="161"/>
      <c r="E54" s="161"/>
      <c r="F54" s="49"/>
      <c r="G54" s="162"/>
      <c r="H54" s="49"/>
      <c r="I54" s="151"/>
      <c r="J54" s="151"/>
      <c r="K54" s="49"/>
      <c r="L54" s="151"/>
      <c r="M54" s="151"/>
      <c r="N54" s="164"/>
      <c r="O54" s="161"/>
      <c r="P54" s="163"/>
      <c r="Q54" s="151" t="str">
        <f t="shared" si="2"/>
        <v/>
      </c>
      <c r="R54" s="151"/>
    </row>
    <row r="55" spans="1:18" x14ac:dyDescent="0.25">
      <c r="A55" s="12">
        <f t="shared" si="1"/>
        <v>53</v>
      </c>
      <c r="B55" s="151"/>
      <c r="C55" s="161"/>
      <c r="D55" s="161"/>
      <c r="E55" s="161"/>
      <c r="F55" s="49"/>
      <c r="G55" s="162"/>
      <c r="H55" s="49"/>
      <c r="I55" s="151"/>
      <c r="J55" s="151"/>
      <c r="K55" s="49"/>
      <c r="L55" s="151"/>
      <c r="M55" s="151"/>
      <c r="N55" s="151"/>
      <c r="O55" s="161"/>
      <c r="P55" s="163"/>
      <c r="Q55" s="151" t="str">
        <f t="shared" si="2"/>
        <v/>
      </c>
      <c r="R55" s="151"/>
    </row>
    <row r="56" spans="1:18" x14ac:dyDescent="0.25">
      <c r="A56" s="12">
        <f t="shared" si="1"/>
        <v>54</v>
      </c>
      <c r="B56" s="151"/>
      <c r="C56" s="161"/>
      <c r="D56" s="161"/>
      <c r="E56" s="161"/>
      <c r="F56" s="49"/>
      <c r="G56" s="162"/>
      <c r="H56" s="49"/>
      <c r="I56" s="151"/>
      <c r="J56" s="151"/>
      <c r="K56" s="49"/>
      <c r="L56" s="151"/>
      <c r="M56" s="151"/>
      <c r="N56" s="151"/>
      <c r="O56" s="161"/>
      <c r="P56" s="163"/>
      <c r="Q56" s="151" t="str">
        <f t="shared" si="2"/>
        <v/>
      </c>
      <c r="R56" s="151"/>
    </row>
    <row r="57" spans="1:18" x14ac:dyDescent="0.25">
      <c r="A57" s="12">
        <f t="shared" si="1"/>
        <v>55</v>
      </c>
      <c r="B57" s="151"/>
      <c r="C57" s="161"/>
      <c r="D57" s="161"/>
      <c r="E57" s="161"/>
      <c r="F57" s="49"/>
      <c r="G57" s="162"/>
      <c r="H57" s="49"/>
      <c r="I57" s="151"/>
      <c r="J57" s="151"/>
      <c r="K57" s="151"/>
      <c r="L57" s="151"/>
      <c r="M57" s="49"/>
      <c r="N57" s="151"/>
      <c r="O57" s="161"/>
      <c r="P57" s="163"/>
      <c r="Q57" s="151" t="str">
        <f t="shared" si="2"/>
        <v/>
      </c>
      <c r="R57" s="151"/>
    </row>
    <row r="58" spans="1:18" x14ac:dyDescent="0.25">
      <c r="A58" s="12">
        <f t="shared" si="1"/>
        <v>56</v>
      </c>
      <c r="B58" s="151"/>
      <c r="C58" s="161"/>
      <c r="D58" s="161"/>
      <c r="E58" s="161"/>
      <c r="F58" s="49"/>
      <c r="G58" s="162"/>
      <c r="H58" s="49"/>
      <c r="I58" s="151"/>
      <c r="J58" s="151"/>
      <c r="K58" s="49"/>
      <c r="L58" s="151"/>
      <c r="M58" s="49"/>
      <c r="N58" s="151"/>
      <c r="O58" s="161"/>
      <c r="P58" s="163"/>
      <c r="Q58" s="151" t="str">
        <f t="shared" si="2"/>
        <v/>
      </c>
      <c r="R58" s="151"/>
    </row>
    <row r="59" spans="1:18" x14ac:dyDescent="0.25">
      <c r="A59" s="12">
        <f t="shared" si="1"/>
        <v>57</v>
      </c>
      <c r="B59" s="151"/>
      <c r="C59" s="161"/>
      <c r="D59" s="161"/>
      <c r="E59" s="161"/>
      <c r="F59" s="49"/>
      <c r="G59" s="162"/>
      <c r="H59" s="49"/>
      <c r="I59" s="151"/>
      <c r="J59" s="151"/>
      <c r="K59" s="151"/>
      <c r="L59" s="151"/>
      <c r="M59" s="49"/>
      <c r="N59" s="151"/>
      <c r="O59" s="161"/>
      <c r="P59" s="163"/>
      <c r="Q59" s="151" t="str">
        <f t="shared" si="2"/>
        <v/>
      </c>
      <c r="R59" s="151"/>
    </row>
    <row r="60" spans="1:18" x14ac:dyDescent="0.25">
      <c r="A60" s="12">
        <f t="shared" si="1"/>
        <v>58</v>
      </c>
      <c r="B60" s="151"/>
      <c r="C60" s="151"/>
      <c r="D60" s="151"/>
      <c r="E60" s="151"/>
      <c r="F60" s="49"/>
      <c r="G60" s="162"/>
      <c r="H60" s="49"/>
      <c r="I60" s="151"/>
      <c r="J60" s="151"/>
      <c r="K60" s="151"/>
      <c r="L60" s="151"/>
      <c r="M60" s="151"/>
      <c r="N60" s="164"/>
      <c r="O60" s="161"/>
      <c r="P60" s="163"/>
      <c r="Q60" s="151" t="str">
        <f t="shared" si="2"/>
        <v/>
      </c>
      <c r="R60" s="151"/>
    </row>
    <row r="61" spans="1:18" x14ac:dyDescent="0.25">
      <c r="A61" s="12">
        <f t="shared" si="1"/>
        <v>59</v>
      </c>
      <c r="B61" s="151"/>
      <c r="C61" s="161"/>
      <c r="D61" s="161"/>
      <c r="E61" s="161"/>
      <c r="F61" s="49"/>
      <c r="G61" s="162"/>
      <c r="H61" s="49"/>
      <c r="I61" s="151"/>
      <c r="J61" s="151"/>
      <c r="K61" s="151"/>
      <c r="L61" s="151"/>
      <c r="M61" s="151"/>
      <c r="N61" s="151"/>
      <c r="O61" s="161"/>
      <c r="P61" s="163"/>
      <c r="Q61" s="151" t="str">
        <f t="shared" si="2"/>
        <v/>
      </c>
      <c r="R61" s="151"/>
    </row>
    <row r="62" spans="1:18" x14ac:dyDescent="0.25">
      <c r="A62" s="12">
        <f t="shared" si="1"/>
        <v>60</v>
      </c>
      <c r="B62" s="151"/>
      <c r="C62" s="161"/>
      <c r="D62" s="161"/>
      <c r="E62" s="161"/>
      <c r="F62" s="49"/>
      <c r="G62" s="162"/>
      <c r="H62" s="49"/>
      <c r="I62" s="151"/>
      <c r="J62" s="151"/>
      <c r="K62" s="151"/>
      <c r="L62" s="151"/>
      <c r="M62" s="151"/>
      <c r="N62" s="151"/>
      <c r="O62" s="161"/>
      <c r="P62" s="163"/>
      <c r="Q62" s="151" t="str">
        <f t="shared" si="2"/>
        <v/>
      </c>
      <c r="R62" s="151"/>
    </row>
    <row r="63" spans="1:18" x14ac:dyDescent="0.25">
      <c r="A63" s="12">
        <f t="shared" si="1"/>
        <v>61</v>
      </c>
      <c r="B63" s="151"/>
      <c r="C63" s="161"/>
      <c r="D63" s="161"/>
      <c r="E63" s="161"/>
      <c r="F63" s="49"/>
      <c r="G63" s="162"/>
      <c r="H63" s="49"/>
      <c r="I63" s="151"/>
      <c r="J63" s="151"/>
      <c r="K63" s="151"/>
      <c r="L63" s="151"/>
      <c r="M63" s="151"/>
      <c r="N63" s="151"/>
      <c r="O63" s="161"/>
      <c r="P63" s="163"/>
      <c r="Q63" s="151" t="str">
        <f t="shared" si="2"/>
        <v/>
      </c>
      <c r="R63" s="151"/>
    </row>
    <row r="64" spans="1:18" x14ac:dyDescent="0.25">
      <c r="A64" s="12">
        <f t="shared" si="1"/>
        <v>62</v>
      </c>
      <c r="B64" s="151"/>
      <c r="C64" s="161"/>
      <c r="D64" s="161"/>
      <c r="E64" s="161"/>
      <c r="F64" s="49"/>
      <c r="G64" s="162"/>
      <c r="H64" s="49"/>
      <c r="I64" s="151"/>
      <c r="J64" s="151"/>
      <c r="K64" s="151"/>
      <c r="L64" s="151"/>
      <c r="M64" s="151"/>
      <c r="N64" s="164"/>
      <c r="O64" s="161"/>
      <c r="P64" s="163"/>
      <c r="Q64" s="151" t="str">
        <f t="shared" si="2"/>
        <v/>
      </c>
      <c r="R64" s="151"/>
    </row>
    <row r="65" spans="1:18" x14ac:dyDescent="0.25">
      <c r="A65" s="12">
        <f t="shared" si="1"/>
        <v>63</v>
      </c>
      <c r="B65" s="151"/>
      <c r="C65" s="161"/>
      <c r="D65" s="161"/>
      <c r="E65" s="161"/>
      <c r="F65" s="49"/>
      <c r="G65" s="162"/>
      <c r="H65" s="49"/>
      <c r="I65" s="151"/>
      <c r="J65" s="151"/>
      <c r="K65" s="151"/>
      <c r="L65" s="151"/>
      <c r="M65" s="151"/>
      <c r="N65" s="164"/>
      <c r="O65" s="161"/>
      <c r="P65" s="163"/>
      <c r="Q65" s="151" t="str">
        <f t="shared" si="2"/>
        <v/>
      </c>
      <c r="R65" s="151"/>
    </row>
    <row r="66" spans="1:18" x14ac:dyDescent="0.25">
      <c r="A66" s="12">
        <f t="shared" si="1"/>
        <v>64</v>
      </c>
      <c r="B66" s="151"/>
      <c r="C66" s="161"/>
      <c r="D66" s="161"/>
      <c r="E66" s="161"/>
      <c r="F66" s="49"/>
      <c r="G66" s="162"/>
      <c r="H66" s="49"/>
      <c r="I66" s="151"/>
      <c r="J66" s="151"/>
      <c r="K66" s="151"/>
      <c r="L66" s="151"/>
      <c r="M66" s="151"/>
      <c r="N66" s="151"/>
      <c r="O66" s="161"/>
      <c r="P66" s="163"/>
      <c r="Q66" s="151" t="str">
        <f t="shared" si="2"/>
        <v/>
      </c>
      <c r="R66" s="151"/>
    </row>
    <row r="67" spans="1:18" x14ac:dyDescent="0.25">
      <c r="A67" s="12">
        <f t="shared" ref="A67:A104" si="4">ROW()-2</f>
        <v>65</v>
      </c>
      <c r="B67" s="151"/>
      <c r="C67" s="161"/>
      <c r="D67" s="161"/>
      <c r="E67" s="161"/>
      <c r="F67" s="49"/>
      <c r="G67" s="162"/>
      <c r="H67" s="49"/>
      <c r="I67" s="151"/>
      <c r="J67" s="151"/>
      <c r="K67" s="151"/>
      <c r="L67" s="151"/>
      <c r="M67" s="151"/>
      <c r="N67" s="151"/>
      <c r="O67" s="161"/>
      <c r="P67" s="163"/>
      <c r="Q67" s="151" t="str">
        <f t="shared" ref="Q67:Q104" si="5">IF(ISERROR(CONCATENATE(ROUND((IF(ISBLANK(P67),0,P67)-IF(ISBLANK(G67),0,G67))/IF(ISBLANK(G67),0,G67),4)*100,"%")),"",CONCATENATE(ROUND((IF(ISBLANK(P67),0,P67)-IF(ISBLANK(G67),0,G67))/IF(ISBLANK(G67),0,G67),4)*100,"%"))</f>
        <v/>
      </c>
      <c r="R67" s="151"/>
    </row>
    <row r="68" spans="1:18" x14ac:dyDescent="0.25">
      <c r="A68" s="12">
        <f t="shared" si="4"/>
        <v>66</v>
      </c>
      <c r="B68" s="151"/>
      <c r="C68" s="161"/>
      <c r="D68" s="161"/>
      <c r="E68" s="161"/>
      <c r="F68" s="49"/>
      <c r="G68" s="162"/>
      <c r="H68" s="49"/>
      <c r="I68" s="151"/>
      <c r="J68" s="151"/>
      <c r="K68" s="151"/>
      <c r="L68" s="151"/>
      <c r="M68" s="151"/>
      <c r="N68" s="164"/>
      <c r="O68" s="161"/>
      <c r="P68" s="163"/>
      <c r="Q68" s="151" t="str">
        <f t="shared" si="5"/>
        <v/>
      </c>
      <c r="R68" s="151"/>
    </row>
    <row r="69" spans="1:18" x14ac:dyDescent="0.25">
      <c r="A69" s="12">
        <f t="shared" si="4"/>
        <v>67</v>
      </c>
      <c r="B69" s="151"/>
      <c r="C69" s="161"/>
      <c r="D69" s="161"/>
      <c r="E69" s="161"/>
      <c r="F69" s="49"/>
      <c r="G69" s="162"/>
      <c r="H69" s="49"/>
      <c r="I69" s="151"/>
      <c r="J69" s="151"/>
      <c r="K69" s="151"/>
      <c r="L69" s="151"/>
      <c r="M69" s="151"/>
      <c r="N69" s="164"/>
      <c r="O69" s="161"/>
      <c r="P69" s="163"/>
      <c r="Q69" s="151" t="str">
        <f t="shared" si="5"/>
        <v/>
      </c>
      <c r="R69" s="151"/>
    </row>
    <row r="70" spans="1:18" x14ac:dyDescent="0.25">
      <c r="A70" s="12">
        <f t="shared" si="4"/>
        <v>68</v>
      </c>
      <c r="B70" s="151"/>
      <c r="C70" s="161"/>
      <c r="D70" s="161"/>
      <c r="E70" s="161"/>
      <c r="F70" s="49"/>
      <c r="G70" s="162"/>
      <c r="H70" s="49"/>
      <c r="I70" s="151"/>
      <c r="J70" s="151"/>
      <c r="K70" s="164"/>
      <c r="L70" s="151"/>
      <c r="M70" s="151"/>
      <c r="N70" s="164"/>
      <c r="O70" s="161"/>
      <c r="P70" s="163"/>
      <c r="Q70" s="151" t="str">
        <f t="shared" si="5"/>
        <v/>
      </c>
      <c r="R70" s="151"/>
    </row>
    <row r="71" spans="1:18" x14ac:dyDescent="0.25">
      <c r="A71" s="12">
        <f t="shared" si="4"/>
        <v>69</v>
      </c>
      <c r="B71" s="151"/>
      <c r="C71" s="161"/>
      <c r="D71" s="161"/>
      <c r="E71" s="161"/>
      <c r="F71" s="49"/>
      <c r="G71" s="162"/>
      <c r="H71" s="49"/>
      <c r="I71" s="151"/>
      <c r="J71" s="151"/>
      <c r="K71" s="151"/>
      <c r="L71" s="151"/>
      <c r="M71" s="151"/>
      <c r="N71" s="164"/>
      <c r="O71" s="161"/>
      <c r="P71" s="163"/>
      <c r="Q71" s="151" t="str">
        <f t="shared" si="5"/>
        <v/>
      </c>
      <c r="R71" s="151"/>
    </row>
    <row r="72" spans="1:18" x14ac:dyDescent="0.25">
      <c r="A72" s="12">
        <f t="shared" si="4"/>
        <v>70</v>
      </c>
      <c r="B72" s="151"/>
      <c r="C72" s="161"/>
      <c r="D72" s="161"/>
      <c r="E72" s="161"/>
      <c r="F72" s="49"/>
      <c r="G72" s="162"/>
      <c r="H72" s="49"/>
      <c r="I72" s="151"/>
      <c r="J72" s="151"/>
      <c r="K72" s="151"/>
      <c r="L72" s="151"/>
      <c r="M72" s="151"/>
      <c r="N72" s="151"/>
      <c r="O72" s="161"/>
      <c r="P72" s="163"/>
      <c r="Q72" s="151" t="str">
        <f t="shared" si="5"/>
        <v/>
      </c>
      <c r="R72" s="151"/>
    </row>
    <row r="73" spans="1:18" x14ac:dyDescent="0.25">
      <c r="A73" s="12">
        <f t="shared" si="4"/>
        <v>71</v>
      </c>
      <c r="B73" s="151"/>
      <c r="C73" s="161"/>
      <c r="D73" s="161"/>
      <c r="E73" s="161"/>
      <c r="F73" s="49"/>
      <c r="G73" s="162"/>
      <c r="H73" s="49"/>
      <c r="I73" s="151"/>
      <c r="J73" s="151"/>
      <c r="K73" s="151"/>
      <c r="L73" s="151"/>
      <c r="M73" s="151"/>
      <c r="N73" s="151"/>
      <c r="O73" s="161"/>
      <c r="P73" s="163"/>
      <c r="Q73" s="151" t="str">
        <f t="shared" si="5"/>
        <v/>
      </c>
      <c r="R73" s="151"/>
    </row>
    <row r="74" spans="1:18" x14ac:dyDescent="0.25">
      <c r="A74" s="12">
        <f t="shared" si="4"/>
        <v>72</v>
      </c>
      <c r="B74" s="151"/>
      <c r="C74" s="161"/>
      <c r="D74" s="161"/>
      <c r="E74" s="161"/>
      <c r="F74" s="49"/>
      <c r="G74" s="165"/>
      <c r="H74" s="49"/>
      <c r="I74" s="151"/>
      <c r="J74" s="151"/>
      <c r="K74" s="151"/>
      <c r="L74" s="151"/>
      <c r="M74" s="151"/>
      <c r="N74" s="151"/>
      <c r="O74" s="161"/>
      <c r="P74" s="163"/>
      <c r="Q74" s="151" t="str">
        <f t="shared" si="5"/>
        <v/>
      </c>
      <c r="R74" s="151"/>
    </row>
    <row r="75" spans="1:18" x14ac:dyDescent="0.25">
      <c r="A75" s="12">
        <f t="shared" si="4"/>
        <v>73</v>
      </c>
      <c r="B75" s="151"/>
      <c r="C75" s="161"/>
      <c r="D75" s="161"/>
      <c r="E75" s="161"/>
      <c r="F75" s="49"/>
      <c r="G75" s="162"/>
      <c r="H75" s="49"/>
      <c r="I75" s="151"/>
      <c r="J75" s="151"/>
      <c r="K75" s="151"/>
      <c r="L75" s="151"/>
      <c r="M75" s="151"/>
      <c r="N75" s="164"/>
      <c r="O75" s="161"/>
      <c r="P75" s="163"/>
      <c r="Q75" s="151" t="str">
        <f t="shared" si="5"/>
        <v/>
      </c>
      <c r="R75" s="151"/>
    </row>
    <row r="76" spans="1:18" x14ac:dyDescent="0.25">
      <c r="A76" s="12">
        <f t="shared" si="4"/>
        <v>74</v>
      </c>
      <c r="B76" s="151"/>
      <c r="C76" s="161"/>
      <c r="D76" s="161"/>
      <c r="E76" s="161"/>
      <c r="F76" s="49"/>
      <c r="G76" s="162"/>
      <c r="H76" s="49"/>
      <c r="I76" s="151"/>
      <c r="J76" s="151"/>
      <c r="K76" s="151"/>
      <c r="L76" s="151"/>
      <c r="M76" s="151"/>
      <c r="N76" s="164"/>
      <c r="O76" s="161"/>
      <c r="P76" s="163"/>
      <c r="Q76" s="151" t="str">
        <f t="shared" si="5"/>
        <v/>
      </c>
      <c r="R76" s="151"/>
    </row>
    <row r="77" spans="1:18" x14ac:dyDescent="0.25">
      <c r="A77" s="12">
        <f t="shared" si="4"/>
        <v>75</v>
      </c>
      <c r="B77" s="151"/>
      <c r="C77" s="161"/>
      <c r="D77" s="161"/>
      <c r="E77" s="161"/>
      <c r="F77" s="49"/>
      <c r="G77" s="162"/>
      <c r="H77" s="49"/>
      <c r="I77" s="151"/>
      <c r="J77" s="151"/>
      <c r="K77" s="151"/>
      <c r="L77" s="151"/>
      <c r="M77" s="151"/>
      <c r="N77" s="151"/>
      <c r="O77" s="161"/>
      <c r="P77" s="163"/>
      <c r="Q77" s="151" t="str">
        <f t="shared" si="5"/>
        <v/>
      </c>
      <c r="R77" s="151"/>
    </row>
    <row r="78" spans="1:18" x14ac:dyDescent="0.25">
      <c r="A78" s="12">
        <f t="shared" si="4"/>
        <v>76</v>
      </c>
      <c r="B78" s="151"/>
      <c r="C78" s="161"/>
      <c r="D78" s="161"/>
      <c r="E78" s="161"/>
      <c r="F78" s="49"/>
      <c r="G78" s="162"/>
      <c r="H78" s="49"/>
      <c r="I78" s="151"/>
      <c r="J78" s="151"/>
      <c r="K78" s="151"/>
      <c r="L78" s="151"/>
      <c r="M78" s="151"/>
      <c r="N78" s="151"/>
      <c r="O78" s="161"/>
      <c r="P78" s="163"/>
      <c r="Q78" s="151" t="str">
        <f t="shared" si="5"/>
        <v/>
      </c>
      <c r="R78" s="151"/>
    </row>
    <row r="79" spans="1:18" x14ac:dyDescent="0.25">
      <c r="A79" s="12">
        <f t="shared" si="4"/>
        <v>77</v>
      </c>
      <c r="B79" s="151"/>
      <c r="C79" s="161"/>
      <c r="D79" s="161"/>
      <c r="E79" s="161"/>
      <c r="F79" s="49"/>
      <c r="G79" s="162"/>
      <c r="H79" s="49"/>
      <c r="I79" s="151"/>
      <c r="J79" s="151"/>
      <c r="K79" s="151"/>
      <c r="L79" s="151"/>
      <c r="M79" s="151"/>
      <c r="N79" s="151"/>
      <c r="O79" s="161"/>
      <c r="P79" s="163"/>
      <c r="Q79" s="151" t="str">
        <f t="shared" si="5"/>
        <v/>
      </c>
      <c r="R79" s="151"/>
    </row>
    <row r="80" spans="1:18" x14ac:dyDescent="0.25">
      <c r="A80" s="12">
        <f t="shared" si="4"/>
        <v>78</v>
      </c>
      <c r="B80" s="151"/>
      <c r="C80" s="161"/>
      <c r="D80" s="161"/>
      <c r="E80" s="161"/>
      <c r="F80" s="49"/>
      <c r="G80" s="162"/>
      <c r="H80" s="49"/>
      <c r="I80" s="151"/>
      <c r="J80" s="151"/>
      <c r="K80" s="151"/>
      <c r="L80" s="151"/>
      <c r="M80" s="151"/>
      <c r="N80" s="151"/>
      <c r="O80" s="161"/>
      <c r="P80" s="163"/>
      <c r="Q80" s="151" t="str">
        <f t="shared" si="5"/>
        <v/>
      </c>
      <c r="R80" s="151"/>
    </row>
    <row r="81" spans="1:18" x14ac:dyDescent="0.25">
      <c r="A81" s="12">
        <f t="shared" si="4"/>
        <v>79</v>
      </c>
      <c r="B81" s="151"/>
      <c r="C81" s="161"/>
      <c r="D81" s="161"/>
      <c r="E81" s="161"/>
      <c r="F81" s="49"/>
      <c r="G81" s="162"/>
      <c r="H81" s="49"/>
      <c r="I81" s="151"/>
      <c r="J81" s="151"/>
      <c r="K81" s="151"/>
      <c r="L81" s="151"/>
      <c r="M81" s="151"/>
      <c r="N81" s="164"/>
      <c r="O81" s="161"/>
      <c r="P81" s="163"/>
      <c r="Q81" s="151" t="str">
        <f t="shared" si="5"/>
        <v/>
      </c>
      <c r="R81" s="151"/>
    </row>
    <row r="82" spans="1:18" x14ac:dyDescent="0.25">
      <c r="A82" s="12">
        <f t="shared" si="4"/>
        <v>80</v>
      </c>
      <c r="B82" s="151"/>
      <c r="C82" s="161"/>
      <c r="D82" s="161"/>
      <c r="E82" s="161"/>
      <c r="F82" s="49"/>
      <c r="G82" s="162"/>
      <c r="H82" s="49"/>
      <c r="I82" s="151"/>
      <c r="J82" s="151"/>
      <c r="K82" s="151"/>
      <c r="L82" s="151"/>
      <c r="M82" s="151"/>
      <c r="N82" s="164"/>
      <c r="O82" s="161"/>
      <c r="P82" s="163"/>
      <c r="Q82" s="151" t="str">
        <f t="shared" si="5"/>
        <v/>
      </c>
      <c r="R82" s="151"/>
    </row>
    <row r="83" spans="1:18" x14ac:dyDescent="0.25">
      <c r="A83" s="12">
        <f t="shared" si="4"/>
        <v>81</v>
      </c>
      <c r="B83" s="151"/>
      <c r="C83" s="161"/>
      <c r="D83" s="161"/>
      <c r="E83" s="161"/>
      <c r="F83" s="49"/>
      <c r="G83" s="162"/>
      <c r="H83" s="49"/>
      <c r="I83" s="151"/>
      <c r="J83" s="151"/>
      <c r="K83" s="151"/>
      <c r="L83" s="151"/>
      <c r="M83" s="151"/>
      <c r="N83" s="164"/>
      <c r="O83" s="161"/>
      <c r="P83" s="163"/>
      <c r="Q83" s="151" t="str">
        <f t="shared" si="5"/>
        <v/>
      </c>
      <c r="R83" s="151"/>
    </row>
    <row r="84" spans="1:18" x14ac:dyDescent="0.25">
      <c r="A84" s="12">
        <f t="shared" si="4"/>
        <v>82</v>
      </c>
      <c r="B84" s="151"/>
      <c r="C84" s="161"/>
      <c r="D84" s="161"/>
      <c r="E84" s="161"/>
      <c r="F84" s="49"/>
      <c r="G84" s="162"/>
      <c r="H84" s="49"/>
      <c r="I84" s="151"/>
      <c r="J84" s="151"/>
      <c r="K84" s="151"/>
      <c r="L84" s="151"/>
      <c r="M84" s="151"/>
      <c r="N84" s="151"/>
      <c r="O84" s="161"/>
      <c r="P84" s="163"/>
      <c r="Q84" s="151" t="str">
        <f t="shared" si="5"/>
        <v/>
      </c>
      <c r="R84" s="151"/>
    </row>
    <row r="85" spans="1:18" x14ac:dyDescent="0.25">
      <c r="A85" s="12">
        <f t="shared" si="4"/>
        <v>83</v>
      </c>
      <c r="B85" s="151"/>
      <c r="C85" s="161"/>
      <c r="D85" s="161"/>
      <c r="E85" s="161"/>
      <c r="F85" s="49"/>
      <c r="G85" s="162"/>
      <c r="H85" s="49"/>
      <c r="I85" s="151"/>
      <c r="J85" s="151"/>
      <c r="K85" s="151"/>
      <c r="L85" s="151"/>
      <c r="M85" s="151"/>
      <c r="N85" s="151"/>
      <c r="O85" s="161"/>
      <c r="P85" s="163"/>
      <c r="Q85" s="151" t="str">
        <f t="shared" si="5"/>
        <v/>
      </c>
      <c r="R85" s="151"/>
    </row>
    <row r="86" spans="1:18" x14ac:dyDescent="0.25">
      <c r="A86" s="12">
        <f t="shared" si="4"/>
        <v>84</v>
      </c>
      <c r="B86" s="151"/>
      <c r="C86" s="161"/>
      <c r="D86" s="161"/>
      <c r="E86" s="161"/>
      <c r="F86" s="49"/>
      <c r="G86" s="162"/>
      <c r="H86" s="49"/>
      <c r="I86" s="151"/>
      <c r="J86" s="151"/>
      <c r="K86" s="151"/>
      <c r="L86" s="151"/>
      <c r="M86" s="151"/>
      <c r="N86" s="151"/>
      <c r="O86" s="161"/>
      <c r="P86" s="163"/>
      <c r="Q86" s="151" t="str">
        <f t="shared" si="5"/>
        <v/>
      </c>
      <c r="R86" s="151"/>
    </row>
    <row r="87" spans="1:18" x14ac:dyDescent="0.25">
      <c r="A87" s="12">
        <f t="shared" si="4"/>
        <v>85</v>
      </c>
      <c r="B87" s="151"/>
      <c r="C87" s="161"/>
      <c r="D87" s="161"/>
      <c r="E87" s="161"/>
      <c r="F87" s="49"/>
      <c r="G87" s="162"/>
      <c r="H87" s="49"/>
      <c r="I87" s="151"/>
      <c r="J87" s="151"/>
      <c r="K87" s="151"/>
      <c r="L87" s="151"/>
      <c r="M87" s="151"/>
      <c r="N87" s="151"/>
      <c r="O87" s="161"/>
      <c r="P87" s="163"/>
      <c r="Q87" s="151" t="str">
        <f t="shared" si="5"/>
        <v/>
      </c>
      <c r="R87" s="151"/>
    </row>
    <row r="88" spans="1:18" x14ac:dyDescent="0.25">
      <c r="A88" s="12">
        <f t="shared" si="4"/>
        <v>86</v>
      </c>
      <c r="B88" s="151"/>
      <c r="C88" s="161"/>
      <c r="D88" s="161"/>
      <c r="E88" s="161"/>
      <c r="F88" s="49"/>
      <c r="G88" s="162"/>
      <c r="H88" s="49"/>
      <c r="I88" s="151"/>
      <c r="J88" s="151"/>
      <c r="K88" s="151"/>
      <c r="L88" s="151"/>
      <c r="M88" s="151"/>
      <c r="N88" s="164"/>
      <c r="O88" s="161"/>
      <c r="P88" s="163"/>
      <c r="Q88" s="151" t="str">
        <f t="shared" si="5"/>
        <v/>
      </c>
      <c r="R88" s="151"/>
    </row>
    <row r="89" spans="1:18" x14ac:dyDescent="0.25">
      <c r="A89" s="12">
        <f t="shared" si="4"/>
        <v>87</v>
      </c>
      <c r="B89" s="151"/>
      <c r="C89" s="161"/>
      <c r="D89" s="161"/>
      <c r="E89" s="161"/>
      <c r="F89" s="49"/>
      <c r="G89" s="162"/>
      <c r="H89" s="49"/>
      <c r="I89" s="151"/>
      <c r="J89" s="151"/>
      <c r="K89" s="151"/>
      <c r="L89" s="151"/>
      <c r="M89" s="151"/>
      <c r="N89" s="151"/>
      <c r="O89" s="161"/>
      <c r="P89" s="163"/>
      <c r="Q89" s="151" t="str">
        <f t="shared" si="5"/>
        <v/>
      </c>
      <c r="R89" s="151"/>
    </row>
    <row r="90" spans="1:18" x14ac:dyDescent="0.25">
      <c r="A90" s="12">
        <f t="shared" si="4"/>
        <v>88</v>
      </c>
      <c r="B90" s="31"/>
      <c r="C90" s="32"/>
      <c r="D90" s="32"/>
      <c r="E90" s="32"/>
      <c r="F90" s="28"/>
      <c r="G90" s="33"/>
      <c r="H90" s="28"/>
      <c r="I90" s="31"/>
      <c r="J90" s="31"/>
      <c r="K90" s="31"/>
      <c r="L90" s="31"/>
      <c r="M90" s="31"/>
      <c r="N90" s="31"/>
      <c r="O90" s="32"/>
      <c r="P90" s="34"/>
      <c r="Q90" s="151" t="str">
        <f t="shared" si="5"/>
        <v/>
      </c>
      <c r="R90" s="31"/>
    </row>
    <row r="91" spans="1:18" x14ac:dyDescent="0.25">
      <c r="A91" s="12">
        <f t="shared" si="4"/>
        <v>89</v>
      </c>
      <c r="B91" s="31"/>
      <c r="C91" s="31"/>
      <c r="D91" s="31"/>
      <c r="E91" s="31"/>
      <c r="F91" s="28"/>
      <c r="G91" s="33"/>
      <c r="H91" s="28"/>
      <c r="I91" s="31"/>
      <c r="J91" s="31"/>
      <c r="K91" s="31"/>
      <c r="L91" s="31"/>
      <c r="M91" s="31"/>
      <c r="N91" s="31"/>
      <c r="O91" s="32"/>
      <c r="P91" s="34"/>
      <c r="Q91" s="151" t="str">
        <f t="shared" si="5"/>
        <v/>
      </c>
      <c r="R91" s="31"/>
    </row>
    <row r="92" spans="1:18" x14ac:dyDescent="0.25">
      <c r="A92" s="12">
        <f t="shared" si="4"/>
        <v>90</v>
      </c>
      <c r="B92" s="31"/>
      <c r="C92" s="31"/>
      <c r="D92" s="31"/>
      <c r="E92" s="31"/>
      <c r="F92" s="28"/>
      <c r="G92" s="33"/>
      <c r="H92" s="28"/>
      <c r="I92" s="31"/>
      <c r="J92" s="31"/>
      <c r="K92" s="31"/>
      <c r="L92" s="31"/>
      <c r="M92" s="31"/>
      <c r="N92" s="31"/>
      <c r="O92" s="32"/>
      <c r="P92" s="34"/>
      <c r="Q92" s="151" t="str">
        <f t="shared" si="5"/>
        <v/>
      </c>
      <c r="R92" s="31"/>
    </row>
    <row r="93" spans="1:18" x14ac:dyDescent="0.25">
      <c r="A93" s="12">
        <f t="shared" si="4"/>
        <v>91</v>
      </c>
      <c r="B93" s="31"/>
      <c r="C93" s="31"/>
      <c r="D93" s="31"/>
      <c r="E93" s="31"/>
      <c r="F93" s="28"/>
      <c r="G93" s="33"/>
      <c r="H93" s="28"/>
      <c r="I93" s="31"/>
      <c r="J93" s="31"/>
      <c r="K93" s="31"/>
      <c r="L93" s="31"/>
      <c r="M93" s="31"/>
      <c r="N93" s="31"/>
      <c r="O93" s="32"/>
      <c r="P93" s="34"/>
      <c r="Q93" s="151" t="str">
        <f t="shared" si="5"/>
        <v/>
      </c>
      <c r="R93" s="31"/>
    </row>
    <row r="94" spans="1:18" x14ac:dyDescent="0.25">
      <c r="A94" s="12">
        <f t="shared" si="4"/>
        <v>92</v>
      </c>
      <c r="B94" s="31"/>
      <c r="C94" s="31"/>
      <c r="D94" s="31"/>
      <c r="E94" s="31"/>
      <c r="F94" s="28"/>
      <c r="G94" s="33"/>
      <c r="H94" s="28"/>
      <c r="I94" s="31"/>
      <c r="J94" s="31"/>
      <c r="K94" s="31"/>
      <c r="L94" s="31"/>
      <c r="M94" s="31"/>
      <c r="N94" s="31"/>
      <c r="O94" s="32"/>
      <c r="P94" s="34"/>
      <c r="Q94" s="151" t="str">
        <f t="shared" si="5"/>
        <v/>
      </c>
      <c r="R94" s="31"/>
    </row>
    <row r="95" spans="1:18" x14ac:dyDescent="0.25">
      <c r="A95" s="12">
        <f t="shared" si="4"/>
        <v>93</v>
      </c>
      <c r="B95" s="31"/>
      <c r="C95" s="31"/>
      <c r="D95" s="31"/>
      <c r="E95" s="31"/>
      <c r="F95" s="28"/>
      <c r="G95" s="33"/>
      <c r="H95" s="28"/>
      <c r="I95" s="31"/>
      <c r="J95" s="31"/>
      <c r="K95" s="31"/>
      <c r="L95" s="31"/>
      <c r="M95" s="31"/>
      <c r="N95" s="31"/>
      <c r="O95" s="32"/>
      <c r="P95" s="34"/>
      <c r="Q95" s="151" t="str">
        <f t="shared" si="5"/>
        <v/>
      </c>
      <c r="R95" s="31"/>
    </row>
    <row r="96" spans="1:18" x14ac:dyDescent="0.25">
      <c r="A96" s="12">
        <f t="shared" si="4"/>
        <v>94</v>
      </c>
      <c r="B96" s="31"/>
      <c r="C96" s="31"/>
      <c r="D96" s="31"/>
      <c r="E96" s="31"/>
      <c r="F96" s="28"/>
      <c r="G96" s="33"/>
      <c r="H96" s="28"/>
      <c r="I96" s="31"/>
      <c r="J96" s="31"/>
      <c r="K96" s="31"/>
      <c r="L96" s="31"/>
      <c r="M96" s="31"/>
      <c r="N96" s="31"/>
      <c r="O96" s="32"/>
      <c r="P96" s="34"/>
      <c r="Q96" s="151" t="str">
        <f t="shared" si="5"/>
        <v/>
      </c>
      <c r="R96" s="31"/>
    </row>
    <row r="97" spans="1:18" x14ac:dyDescent="0.25">
      <c r="A97" s="12">
        <f t="shared" si="4"/>
        <v>95</v>
      </c>
      <c r="B97" s="31"/>
      <c r="C97" s="31"/>
      <c r="D97" s="31"/>
      <c r="E97" s="31"/>
      <c r="F97" s="28"/>
      <c r="G97" s="33"/>
      <c r="H97" s="28"/>
      <c r="I97" s="31"/>
      <c r="J97" s="31"/>
      <c r="K97" s="31"/>
      <c r="L97" s="31"/>
      <c r="M97" s="31"/>
      <c r="N97" s="31"/>
      <c r="O97" s="32"/>
      <c r="P97" s="34"/>
      <c r="Q97" s="151" t="str">
        <f t="shared" si="5"/>
        <v/>
      </c>
      <c r="R97" s="31"/>
    </row>
    <row r="98" spans="1:18" x14ac:dyDescent="0.25">
      <c r="A98" s="12">
        <f t="shared" si="4"/>
        <v>96</v>
      </c>
      <c r="B98" s="31"/>
      <c r="C98" s="31"/>
      <c r="D98" s="31"/>
      <c r="E98" s="31"/>
      <c r="F98" s="28"/>
      <c r="G98" s="33"/>
      <c r="H98" s="28"/>
      <c r="I98" s="31"/>
      <c r="J98" s="31"/>
      <c r="K98" s="31"/>
      <c r="L98" s="31"/>
      <c r="M98" s="31"/>
      <c r="N98" s="31"/>
      <c r="O98" s="32"/>
      <c r="P98" s="34"/>
      <c r="Q98" s="151" t="str">
        <f t="shared" si="5"/>
        <v/>
      </c>
      <c r="R98" s="31"/>
    </row>
    <row r="99" spans="1:18" x14ac:dyDescent="0.25">
      <c r="A99" s="12">
        <f t="shared" si="4"/>
        <v>97</v>
      </c>
      <c r="B99" s="31"/>
      <c r="C99" s="31"/>
      <c r="D99" s="31"/>
      <c r="E99" s="31"/>
      <c r="F99" s="28"/>
      <c r="G99" s="33"/>
      <c r="H99" s="28"/>
      <c r="I99" s="31"/>
      <c r="J99" s="31"/>
      <c r="K99" s="31"/>
      <c r="L99" s="31"/>
      <c r="M99" s="31"/>
      <c r="N99" s="31"/>
      <c r="O99" s="32"/>
      <c r="P99" s="34"/>
      <c r="Q99" s="151" t="str">
        <f t="shared" si="5"/>
        <v/>
      </c>
      <c r="R99" s="31"/>
    </row>
    <row r="100" spans="1:18" x14ac:dyDescent="0.25">
      <c r="A100" s="12">
        <f t="shared" si="4"/>
        <v>98</v>
      </c>
      <c r="B100" s="31"/>
      <c r="C100" s="31"/>
      <c r="D100" s="31"/>
      <c r="E100" s="31"/>
      <c r="F100" s="28"/>
      <c r="G100" s="33"/>
      <c r="H100" s="28"/>
      <c r="I100" s="31"/>
      <c r="J100" s="31"/>
      <c r="K100" s="31"/>
      <c r="L100" s="31"/>
      <c r="M100" s="31"/>
      <c r="N100" s="31"/>
      <c r="O100" s="32"/>
      <c r="P100" s="34"/>
      <c r="Q100" s="151" t="str">
        <f t="shared" si="5"/>
        <v/>
      </c>
      <c r="R100" s="31"/>
    </row>
    <row r="101" spans="1:18" x14ac:dyDescent="0.25">
      <c r="A101" s="12">
        <f t="shared" si="4"/>
        <v>99</v>
      </c>
      <c r="B101" s="31"/>
      <c r="C101" s="31"/>
      <c r="D101" s="31"/>
      <c r="E101" s="31"/>
      <c r="F101" s="28"/>
      <c r="G101" s="33"/>
      <c r="H101" s="28"/>
      <c r="I101" s="31"/>
      <c r="J101" s="31"/>
      <c r="K101" s="31"/>
      <c r="L101" s="31"/>
      <c r="M101" s="31"/>
      <c r="N101" s="31"/>
      <c r="O101" s="32"/>
      <c r="P101" s="34"/>
      <c r="Q101" s="151" t="str">
        <f t="shared" si="5"/>
        <v/>
      </c>
      <c r="R101" s="31"/>
    </row>
    <row r="102" spans="1:18" x14ac:dyDescent="0.25">
      <c r="A102" s="12">
        <f t="shared" si="4"/>
        <v>100</v>
      </c>
      <c r="B102" s="31"/>
      <c r="C102" s="31"/>
      <c r="D102" s="31"/>
      <c r="E102" s="31"/>
      <c r="F102" s="28"/>
      <c r="G102" s="33"/>
      <c r="H102" s="28"/>
      <c r="I102" s="31"/>
      <c r="J102" s="31"/>
      <c r="K102" s="31"/>
      <c r="L102" s="31"/>
      <c r="M102" s="31"/>
      <c r="N102" s="31"/>
      <c r="O102" s="32"/>
      <c r="P102" s="34"/>
      <c r="Q102" s="151" t="str">
        <f t="shared" si="5"/>
        <v/>
      </c>
      <c r="R102" s="31"/>
    </row>
    <row r="103" spans="1:18" x14ac:dyDescent="0.25">
      <c r="A103" s="12">
        <f t="shared" si="4"/>
        <v>101</v>
      </c>
      <c r="B103" s="31"/>
      <c r="C103" s="31"/>
      <c r="D103" s="31"/>
      <c r="E103" s="31"/>
      <c r="F103" s="28"/>
      <c r="G103" s="33"/>
      <c r="H103" s="28"/>
      <c r="I103" s="31"/>
      <c r="J103" s="31"/>
      <c r="K103" s="31"/>
      <c r="L103" s="31"/>
      <c r="M103" s="31"/>
      <c r="N103" s="31"/>
      <c r="O103" s="32"/>
      <c r="P103" s="34"/>
      <c r="Q103" s="151" t="str">
        <f t="shared" si="5"/>
        <v/>
      </c>
      <c r="R103" s="31"/>
    </row>
    <row r="104" spans="1:18" x14ac:dyDescent="0.25">
      <c r="A104" s="12">
        <f t="shared" si="4"/>
        <v>102</v>
      </c>
      <c r="B104" s="31"/>
      <c r="C104" s="31"/>
      <c r="D104" s="31"/>
      <c r="E104" s="31"/>
      <c r="F104" s="28"/>
      <c r="G104" s="33"/>
      <c r="H104" s="28"/>
      <c r="I104" s="31"/>
      <c r="J104" s="31"/>
      <c r="K104" s="31"/>
      <c r="L104" s="31"/>
      <c r="M104" s="31"/>
      <c r="N104" s="31"/>
      <c r="O104" s="32"/>
      <c r="P104" s="34"/>
      <c r="Q104" s="151" t="str">
        <f t="shared" si="5"/>
        <v/>
      </c>
      <c r="R104" s="31"/>
    </row>
  </sheetData>
  <mergeCells count="1">
    <mergeCell ref="A1:B1"/>
  </mergeCells>
  <phoneticPr fontId="2"/>
  <conditionalFormatting sqref="H2:H38 H40:H1048576">
    <cfRule type="cellIs" dxfId="53" priority="18" operator="lessThan">
      <formula>"D"</formula>
    </cfRule>
    <cfRule type="cellIs" dxfId="52" priority="19" operator="equal">
      <formula>"D"</formula>
    </cfRule>
  </conditionalFormatting>
  <conditionalFormatting sqref="A1:G1 I1:XFD1 A75:D75 A76:B77 F75:P75 G76:P77 A105:XFD1048576 A78:P104 A39 Q40:XFD104 R39:XFD39 A40:I40 A41:P74 M40:P40 A2:XFD38">
    <cfRule type="expression" dxfId="51" priority="17">
      <formula>CELL("ROW")=ROW()</formula>
    </cfRule>
  </conditionalFormatting>
  <conditionalFormatting sqref="E75">
    <cfRule type="expression" dxfId="50" priority="16">
      <formula>CELL("ROW")=ROW()</formula>
    </cfRule>
  </conditionalFormatting>
  <conditionalFormatting sqref="C76:D76 F76">
    <cfRule type="expression" dxfId="49" priority="15">
      <formula>CELL("ROW")=ROW()</formula>
    </cfRule>
  </conditionalFormatting>
  <conditionalFormatting sqref="E76">
    <cfRule type="expression" dxfId="48" priority="14">
      <formula>CELL("ROW")=ROW()</formula>
    </cfRule>
  </conditionalFormatting>
  <conditionalFormatting sqref="C77:D77 F77">
    <cfRule type="expression" dxfId="47" priority="13">
      <formula>CELL("ROW")=ROW()</formula>
    </cfRule>
  </conditionalFormatting>
  <conditionalFormatting sqref="E77">
    <cfRule type="expression" dxfId="46" priority="12">
      <formula>CELL("ROW")=ROW()</formula>
    </cfRule>
  </conditionalFormatting>
  <conditionalFormatting sqref="H39">
    <cfRule type="cellIs" dxfId="45" priority="10" operator="lessThan">
      <formula>"D"</formula>
    </cfRule>
    <cfRule type="cellIs" dxfId="44" priority="11" operator="equal">
      <formula>"D"</formula>
    </cfRule>
  </conditionalFormatting>
  <conditionalFormatting sqref="B39:D39 F39:I39 K39 M39:Q39">
    <cfRule type="expression" dxfId="43" priority="9">
      <formula>CELL("ROW")=ROW()</formula>
    </cfRule>
  </conditionalFormatting>
  <conditionalFormatting sqref="E39">
    <cfRule type="expression" dxfId="42" priority="7">
      <formula>CELL("ROW")=ROW()</formula>
    </cfRule>
  </conditionalFormatting>
  <conditionalFormatting sqref="J40">
    <cfRule type="expression" dxfId="41" priority="6">
      <formula>CELL("ROW")=ROW()</formula>
    </cfRule>
  </conditionalFormatting>
  <conditionalFormatting sqref="L40">
    <cfRule type="expression" dxfId="40" priority="4">
      <formula>CELL("ROW")=ROW()</formula>
    </cfRule>
  </conditionalFormatting>
  <conditionalFormatting sqref="K40">
    <cfRule type="expression" dxfId="39" priority="3">
      <formula>CELL("ROW")=ROW()</formula>
    </cfRule>
  </conditionalFormatting>
  <conditionalFormatting sqref="J39">
    <cfRule type="expression" dxfId="38" priority="2">
      <formula>CELL("ROW")=ROW()</formula>
    </cfRule>
  </conditionalFormatting>
  <conditionalFormatting sqref="L39">
    <cfRule type="expression" dxfId="37" priority="1">
      <formula>CELL("ROW")=ROW()</formula>
    </cfRule>
  </conditionalFormatting>
  <dataValidations count="3">
    <dataValidation type="list" allowBlank="1" showInputMessage="1" showErrorMessage="1" sqref="H3:H104">
      <formula1>$W$3:$W$8</formula1>
    </dataValidation>
    <dataValidation type="list" allowBlank="1" showInputMessage="1" showErrorMessage="1" sqref="N2:N1048576">
      <formula1>$U$3:$U$11</formula1>
    </dataValidation>
    <dataValidation type="list" allowBlank="1" showInputMessage="1" showErrorMessage="1" sqref="F3:F104">
      <formula1>$T$3:$T$10</formula1>
    </dataValidation>
  </dataValidations>
  <hyperlinks>
    <hyperlink ref="T17" r:id="rId1"/>
    <hyperlink ref="T20" r:id="rId2"/>
    <hyperlink ref="I2" r:id="rId3"/>
    <hyperlink ref="K2" r:id="rId4"/>
    <hyperlink ref="J2" r:id="rId5"/>
    <hyperlink ref="L2" r:id="rId6"/>
    <hyperlink ref="T23" r:id="rId7"/>
    <hyperlink ref="M2" r:id="rId8"/>
  </hyperlinks>
  <pageMargins left="0.7" right="0.7" top="0.75" bottom="0.75" header="0.3" footer="0.3"/>
  <pageSetup paperSize="9" orientation="portrait" horizontalDpi="300" verticalDpi="300" r:id="rId9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C000"/>
  </sheetPr>
  <dimension ref="A1:U51"/>
  <sheetViews>
    <sheetView zoomScale="70" zoomScaleNormal="70" workbookViewId="0">
      <pane xSplit="2" ySplit="2" topLeftCell="C3" activePane="bottomRight" state="frozen"/>
      <selection activeCell="U183" sqref="U183"/>
      <selection pane="topRight" activeCell="U183" sqref="U183"/>
      <selection pane="bottomLeft" activeCell="U183" sqref="U183"/>
      <selection pane="bottomRight" activeCell="A41" sqref="A41"/>
    </sheetView>
  </sheetViews>
  <sheetFormatPr defaultColWidth="8" defaultRowHeight="15.75" x14ac:dyDescent="0.25"/>
  <cols>
    <col min="1" max="1" width="5" style="203" customWidth="1"/>
    <col min="2" max="2" width="24.109375" style="12" bestFit="1" customWidth="1"/>
    <col min="3" max="3" width="8.33203125" style="18" bestFit="1" customWidth="1"/>
    <col min="4" max="4" width="10.5546875" style="17" customWidth="1"/>
    <col min="5" max="5" width="9.5546875" style="18" customWidth="1"/>
    <col min="6" max="6" width="12.21875" style="57" bestFit="1" customWidth="1"/>
    <col min="7" max="7" width="8.33203125" style="35" bestFit="1" customWidth="1"/>
    <col min="8" max="8" width="8.33203125" style="35" customWidth="1"/>
    <col min="9" max="9" width="9.88671875" style="12" customWidth="1"/>
    <col min="10" max="10" width="8.33203125" style="12" bestFit="1" customWidth="1"/>
    <col min="11" max="11" width="11.109375" style="12" bestFit="1" customWidth="1"/>
    <col min="12" max="13" width="6.6640625" style="12" bestFit="1" customWidth="1"/>
    <col min="14" max="14" width="12.109375" style="58" bestFit="1" customWidth="1"/>
    <col min="15" max="15" width="13.21875" style="12" bestFit="1" customWidth="1"/>
    <col min="16" max="17" width="10.21875" style="15" bestFit="1" customWidth="1"/>
    <col min="18" max="18" width="8.6640625" style="15" customWidth="1"/>
    <col min="19" max="19" width="10.21875" style="15" bestFit="1" customWidth="1"/>
    <col min="20" max="20" width="10" style="37" bestFit="1" customWidth="1"/>
    <col min="21" max="21" width="11.6640625" style="37" bestFit="1" customWidth="1"/>
    <col min="22" max="23" width="8" style="37"/>
    <col min="24" max="24" width="11.88671875" style="37" bestFit="1" customWidth="1"/>
    <col min="25" max="25" width="7.6640625" style="37" bestFit="1" customWidth="1"/>
    <col min="26" max="26" width="8.33203125" style="37" bestFit="1" customWidth="1"/>
    <col min="27" max="16384" width="8" style="37"/>
  </cols>
  <sheetData>
    <row r="1" spans="1:21" ht="17.25" customHeight="1" x14ac:dyDescent="0.25">
      <c r="A1" s="241" t="s">
        <v>70</v>
      </c>
      <c r="B1" s="241"/>
      <c r="D1" s="37"/>
      <c r="E1" s="37"/>
      <c r="F1" s="153" t="s">
        <v>71</v>
      </c>
      <c r="H1" s="37"/>
      <c r="I1" s="37"/>
      <c r="J1" s="37"/>
      <c r="K1" s="37"/>
      <c r="M1" s="37"/>
      <c r="N1" s="37"/>
      <c r="O1" s="37"/>
      <c r="P1" s="37"/>
      <c r="Q1" s="119" t="s">
        <v>72</v>
      </c>
      <c r="R1" s="36"/>
    </row>
    <row r="2" spans="1:21" ht="16.5" thickBot="1" x14ac:dyDescent="0.3">
      <c r="A2" s="199" t="s">
        <v>23</v>
      </c>
      <c r="B2" s="93" t="s">
        <v>17</v>
      </c>
      <c r="C2" s="94" t="s">
        <v>22</v>
      </c>
      <c r="D2" s="96" t="s">
        <v>29</v>
      </c>
      <c r="E2" s="94" t="s">
        <v>30</v>
      </c>
      <c r="F2" s="97" t="s">
        <v>74</v>
      </c>
      <c r="G2" s="98" t="s">
        <v>75</v>
      </c>
      <c r="H2" s="98" t="s">
        <v>34</v>
      </c>
      <c r="I2" s="93" t="s">
        <v>76</v>
      </c>
      <c r="J2" s="93" t="s">
        <v>77</v>
      </c>
      <c r="K2" s="93" t="s">
        <v>78</v>
      </c>
      <c r="L2" s="93" t="s">
        <v>79</v>
      </c>
      <c r="M2" s="93" t="s">
        <v>80</v>
      </c>
      <c r="N2" s="99" t="s">
        <v>81</v>
      </c>
      <c r="O2" s="38" t="s">
        <v>82</v>
      </c>
      <c r="P2" s="15" t="s">
        <v>83</v>
      </c>
      <c r="Q2" s="15" t="s">
        <v>84</v>
      </c>
      <c r="R2" s="15" t="s">
        <v>85</v>
      </c>
      <c r="S2" s="15" t="s">
        <v>86</v>
      </c>
      <c r="U2" s="154" t="s">
        <v>173</v>
      </c>
    </row>
    <row r="3" spans="1:21" ht="16.5" thickTop="1" x14ac:dyDescent="0.25">
      <c r="A3" s="200"/>
      <c r="B3" s="167" t="s">
        <v>171</v>
      </c>
      <c r="C3" s="168"/>
      <c r="D3" s="169"/>
      <c r="E3" s="168"/>
      <c r="F3" s="170"/>
      <c r="G3" s="171"/>
      <c r="H3" s="108" t="s">
        <v>87</v>
      </c>
      <c r="I3" s="109">
        <f>(1585*8+1085*2)/10</f>
        <v>1485</v>
      </c>
      <c r="J3" s="109">
        <v>1000</v>
      </c>
      <c r="K3" s="109"/>
      <c r="L3" s="117"/>
      <c r="M3" s="117"/>
      <c r="N3" s="118"/>
      <c r="O3" s="106">
        <v>43101</v>
      </c>
      <c r="P3" s="42">
        <f>582+272</f>
        <v>854</v>
      </c>
      <c r="Q3" s="42">
        <f>46+21</f>
        <v>67</v>
      </c>
      <c r="R3" s="42"/>
      <c r="S3" s="42"/>
      <c r="T3" s="19"/>
      <c r="U3" s="197">
        <v>42983</v>
      </c>
    </row>
    <row r="4" spans="1:21" x14ac:dyDescent="0.25">
      <c r="A4" s="200"/>
      <c r="B4" s="167"/>
      <c r="C4" s="168"/>
      <c r="D4" s="169"/>
      <c r="E4" s="168"/>
      <c r="F4" s="170"/>
      <c r="G4" s="171"/>
      <c r="H4" s="120" t="s">
        <v>45</v>
      </c>
      <c r="I4" s="109">
        <v>1212</v>
      </c>
      <c r="J4" s="109">
        <v>400</v>
      </c>
      <c r="K4" s="109"/>
      <c r="L4" s="117"/>
      <c r="M4" s="117"/>
      <c r="N4" s="118"/>
      <c r="O4" s="106">
        <v>43101</v>
      </c>
      <c r="P4" s="42">
        <v>400</v>
      </c>
      <c r="Q4" s="42">
        <v>32</v>
      </c>
      <c r="R4" s="42"/>
      <c r="S4" s="42"/>
      <c r="T4" s="19"/>
      <c r="U4" s="197">
        <v>42929</v>
      </c>
    </row>
    <row r="5" spans="1:21" x14ac:dyDescent="0.25">
      <c r="A5" s="200"/>
      <c r="B5" s="167" t="s">
        <v>170</v>
      </c>
      <c r="C5" s="168"/>
      <c r="D5" s="169"/>
      <c r="E5" s="168"/>
      <c r="F5" s="170"/>
      <c r="G5" s="171"/>
      <c r="H5" s="108" t="s">
        <v>87</v>
      </c>
      <c r="I5" s="109">
        <v>350</v>
      </c>
      <c r="J5" s="109">
        <v>1500</v>
      </c>
      <c r="K5" s="109"/>
      <c r="L5" s="117"/>
      <c r="M5" s="117"/>
      <c r="N5" s="118"/>
      <c r="O5" s="106">
        <v>43101</v>
      </c>
      <c r="P5" s="15">
        <v>487</v>
      </c>
      <c r="Q5" s="15">
        <v>38</v>
      </c>
      <c r="R5" s="104"/>
      <c r="S5" s="104"/>
      <c r="T5" s="19"/>
      <c r="U5" s="197">
        <v>42926</v>
      </c>
    </row>
    <row r="6" spans="1:21" x14ac:dyDescent="0.25">
      <c r="A6" s="201"/>
      <c r="B6" s="172" t="s">
        <v>172</v>
      </c>
      <c r="C6" s="173"/>
      <c r="D6" s="174"/>
      <c r="E6" s="173"/>
      <c r="F6" s="175"/>
      <c r="G6" s="176"/>
      <c r="H6" s="41" t="s">
        <v>88</v>
      </c>
      <c r="I6" s="39">
        <v>603</v>
      </c>
      <c r="J6" s="39">
        <v>500</v>
      </c>
      <c r="K6" s="39"/>
      <c r="L6" s="39"/>
      <c r="M6" s="39"/>
      <c r="N6" s="40"/>
      <c r="O6" s="106">
        <v>43101</v>
      </c>
      <c r="P6" s="15">
        <v>350</v>
      </c>
      <c r="Q6" s="15">
        <v>28</v>
      </c>
      <c r="T6" s="55"/>
      <c r="U6" s="17">
        <v>42880</v>
      </c>
    </row>
    <row r="7" spans="1:21" x14ac:dyDescent="0.25">
      <c r="A7" s="202" t="str">
        <f>IPO監視一覧!H3</f>
        <v>A</v>
      </c>
      <c r="B7" s="43" t="str">
        <f>IPO監視一覧!B3</f>
        <v>Ｍマート</v>
      </c>
      <c r="C7" s="44">
        <f>IPO監視一覧!G3</f>
        <v>1240</v>
      </c>
      <c r="D7" s="45">
        <f>IPO監視一覧!O3</f>
        <v>43154</v>
      </c>
      <c r="E7" s="44">
        <f>IPO監視一覧!P3</f>
        <v>5380</v>
      </c>
      <c r="F7" s="46">
        <f t="shared" ref="F7:F12" si="0">(E7-C7)*100*0.79685</f>
        <v>329895.89999999997</v>
      </c>
      <c r="G7" s="47">
        <f ca="1">NETWORKDAYS(D7,TODAY())</f>
        <v>78</v>
      </c>
      <c r="H7" s="53"/>
      <c r="I7" s="26"/>
      <c r="J7" s="26"/>
      <c r="K7" s="26"/>
      <c r="L7" s="26"/>
      <c r="M7" s="26"/>
      <c r="N7" s="48">
        <f t="shared" ref="N7" si="1">(K7-I7)*J7-M7-L7</f>
        <v>0</v>
      </c>
    </row>
    <row r="8" spans="1:21" x14ac:dyDescent="0.25">
      <c r="A8" s="202" t="str">
        <f>IPO監視一覧!H4</f>
        <v>A</v>
      </c>
      <c r="B8" s="43" t="str">
        <f>IPO監視一覧!B4</f>
        <v>ジェイテックコーポレーション</v>
      </c>
      <c r="C8" s="44">
        <f>IPO監視一覧!G4</f>
        <v>2250</v>
      </c>
      <c r="D8" s="45">
        <f>IPO監視一覧!O4</f>
        <v>43159</v>
      </c>
      <c r="E8" s="44">
        <f>IPO監視一覧!P4</f>
        <v>9700</v>
      </c>
      <c r="F8" s="46">
        <f t="shared" si="0"/>
        <v>593653.25</v>
      </c>
      <c r="G8" s="47">
        <f t="shared" ref="G8:G11" ca="1" si="2">NETWORKDAYS(D8,TODAY())</f>
        <v>75</v>
      </c>
      <c r="H8" s="53"/>
      <c r="I8" s="26"/>
      <c r="J8" s="26"/>
      <c r="K8" s="26"/>
      <c r="L8" s="26"/>
      <c r="M8" s="26"/>
      <c r="N8" s="48">
        <f t="shared" ref="N8:N12" si="3">(K8-I8)*J8-M8-L8</f>
        <v>0</v>
      </c>
    </row>
    <row r="9" spans="1:21" x14ac:dyDescent="0.25">
      <c r="A9" s="202" t="str">
        <f>IPO監視一覧!H5</f>
        <v>B</v>
      </c>
      <c r="B9" s="43" t="str">
        <f>IPO監視一覧!B5</f>
        <v>ＳＥＲＩＯＨＤ</v>
      </c>
      <c r="C9" s="44">
        <f>IPO監視一覧!G5</f>
        <v>1780</v>
      </c>
      <c r="D9" s="45">
        <f>IPO監視一覧!O5</f>
        <v>43161</v>
      </c>
      <c r="E9" s="44">
        <f>IPO監視一覧!P5</f>
        <v>4100</v>
      </c>
      <c r="F9" s="46">
        <f t="shared" si="0"/>
        <v>184869.19999999998</v>
      </c>
      <c r="G9" s="47">
        <f t="shared" ca="1" si="2"/>
        <v>73</v>
      </c>
      <c r="H9" s="53"/>
      <c r="I9" s="26"/>
      <c r="J9" s="26"/>
      <c r="K9" s="26"/>
      <c r="L9" s="26"/>
      <c r="M9" s="26"/>
      <c r="N9" s="48">
        <f t="shared" si="3"/>
        <v>0</v>
      </c>
    </row>
    <row r="10" spans="1:21" x14ac:dyDescent="0.25">
      <c r="A10" s="202" t="str">
        <f>IPO監視一覧!H6</f>
        <v>C</v>
      </c>
      <c r="B10" s="43" t="str">
        <f>IPO監視一覧!B6</f>
        <v>神戸天然物化学</v>
      </c>
      <c r="C10" s="44">
        <f>IPO監視一覧!G6</f>
        <v>2340</v>
      </c>
      <c r="D10" s="45">
        <f>IPO監視一覧!O6</f>
        <v>43174</v>
      </c>
      <c r="E10" s="44">
        <f>IPO監視一覧!P6</f>
        <v>3665</v>
      </c>
      <c r="F10" s="46">
        <f t="shared" si="0"/>
        <v>105582.625</v>
      </c>
      <c r="G10" s="47">
        <f t="shared" ca="1" si="2"/>
        <v>64</v>
      </c>
      <c r="H10" s="53"/>
      <c r="I10" s="26"/>
      <c r="J10" s="26"/>
      <c r="K10" s="26"/>
      <c r="L10" s="26"/>
      <c r="M10" s="26"/>
      <c r="N10" s="48">
        <f t="shared" si="3"/>
        <v>0</v>
      </c>
    </row>
    <row r="11" spans="1:21" x14ac:dyDescent="0.25">
      <c r="A11" s="202" t="str">
        <f>IPO監視一覧!H7</f>
        <v>D</v>
      </c>
      <c r="B11" s="43" t="str">
        <f>IPO監視一覧!B7</f>
        <v>日総工産</v>
      </c>
      <c r="C11" s="44">
        <f>IPO監視一覧!G7</f>
        <v>3250</v>
      </c>
      <c r="D11" s="45">
        <f>IPO監視一覧!O7</f>
        <v>43175</v>
      </c>
      <c r="E11" s="44">
        <f>IPO監視一覧!P7</f>
        <v>4020</v>
      </c>
      <c r="F11" s="46">
        <f t="shared" si="0"/>
        <v>61357.45</v>
      </c>
      <c r="G11" s="47">
        <f t="shared" ca="1" si="2"/>
        <v>63</v>
      </c>
      <c r="H11" s="53"/>
      <c r="I11" s="26"/>
      <c r="J11" s="26"/>
      <c r="K11" s="26"/>
      <c r="L11" s="26"/>
      <c r="M11" s="26"/>
      <c r="N11" s="48">
        <f t="shared" si="3"/>
        <v>0</v>
      </c>
    </row>
    <row r="12" spans="1:21" x14ac:dyDescent="0.25">
      <c r="A12" s="202" t="str">
        <f>IPO監視一覧!H8</f>
        <v>B</v>
      </c>
      <c r="B12" s="43" t="str">
        <f>IPO監視一覧!B8</f>
        <v>フェイスネットワーク</v>
      </c>
      <c r="C12" s="44">
        <f>IPO監視一覧!G8</f>
        <v>1400</v>
      </c>
      <c r="D12" s="45">
        <f>IPO監視一覧!O8</f>
        <v>43175</v>
      </c>
      <c r="E12" s="44">
        <f>IPO監視一覧!P8</f>
        <v>3200</v>
      </c>
      <c r="F12" s="46">
        <f t="shared" si="0"/>
        <v>143433</v>
      </c>
      <c r="G12" s="47">
        <f ca="1">NETWORKDAYS(D12,TODAY())</f>
        <v>63</v>
      </c>
      <c r="H12" s="53"/>
      <c r="I12" s="26"/>
      <c r="J12" s="26"/>
      <c r="K12" s="26"/>
      <c r="L12" s="26"/>
      <c r="M12" s="26"/>
      <c r="N12" s="48">
        <f t="shared" si="3"/>
        <v>0</v>
      </c>
    </row>
    <row r="13" spans="1:21" x14ac:dyDescent="0.25">
      <c r="A13" s="202" t="str">
        <f>IPO監視一覧!H9</f>
        <v>C</v>
      </c>
      <c r="B13" s="49" t="str">
        <f>IPO監視一覧!B9</f>
        <v>共和コーポレーション</v>
      </c>
      <c r="C13" s="50">
        <f>IPO監視一覧!G9</f>
        <v>1590</v>
      </c>
      <c r="D13" s="52">
        <f>IPO監視一覧!O9</f>
        <v>43178</v>
      </c>
      <c r="E13" s="50">
        <f>IPO監視一覧!P9</f>
        <v>2511</v>
      </c>
      <c r="F13" s="193">
        <f>IF((E13-C13)&gt;0,(E13-C13)*100*0.79685,(E13-C13)*100)</f>
        <v>73389.884999999995</v>
      </c>
      <c r="G13" s="53">
        <f t="shared" ref="G13" ca="1" si="4">NETWORKDAYS(D13,TODAY())</f>
        <v>62</v>
      </c>
      <c r="H13" s="53"/>
      <c r="I13" s="194"/>
      <c r="J13" s="194"/>
      <c r="K13" s="194"/>
      <c r="L13" s="194"/>
      <c r="M13" s="194"/>
      <c r="N13" s="195">
        <f>(K13-I13)*J13-M13-L13</f>
        <v>0</v>
      </c>
      <c r="O13" s="37"/>
      <c r="P13" s="37"/>
      <c r="Q13" s="37"/>
      <c r="R13" s="37"/>
      <c r="S13" s="37"/>
    </row>
    <row r="14" spans="1:21" s="196" customFormat="1" x14ac:dyDescent="0.25">
      <c r="A14" s="202" t="str">
        <f>IPO監視一覧!H10</f>
        <v>D</v>
      </c>
      <c r="B14" s="49" t="str">
        <f>IPO監視一覧!B10</f>
        <v>信和</v>
      </c>
      <c r="C14" s="50">
        <f>IPO監視一覧!G10</f>
        <v>1150</v>
      </c>
      <c r="D14" s="52">
        <f>IPO監視一覧!O10</f>
        <v>43179</v>
      </c>
      <c r="E14" s="50">
        <f>IPO監視一覧!P10</f>
        <v>1106</v>
      </c>
      <c r="F14" s="193">
        <f>IF((E14-C14)&gt;0,(E14-C14)*100*0.79685,(E14-C14)*100)</f>
        <v>-4400</v>
      </c>
      <c r="G14" s="53">
        <f t="shared" ref="G14" ca="1" si="5">NETWORKDAYS(D14,TODAY())</f>
        <v>61</v>
      </c>
      <c r="H14" s="53"/>
      <c r="I14" s="194"/>
      <c r="J14" s="194"/>
      <c r="K14" s="194"/>
      <c r="L14" s="194"/>
      <c r="M14" s="194"/>
      <c r="N14" s="195">
        <f>(K14-I14)*J14-M14-L14</f>
        <v>0</v>
      </c>
    </row>
    <row r="15" spans="1:21" s="196" customFormat="1" x14ac:dyDescent="0.25">
      <c r="A15" s="202" t="str">
        <f>IPO監視一覧!H11</f>
        <v>D</v>
      </c>
      <c r="B15" s="49" t="str">
        <f>IPO監視一覧!B11</f>
        <v>ＳＯＵ</v>
      </c>
      <c r="C15" s="50">
        <f>IPO監視一覧!G11</f>
        <v>3300</v>
      </c>
      <c r="D15" s="52">
        <f>IPO監視一覧!O11</f>
        <v>43181</v>
      </c>
      <c r="E15" s="50">
        <f>IPO監視一覧!P11</f>
        <v>4100</v>
      </c>
      <c r="F15" s="193">
        <f t="shared" ref="F15:F41" si="6">IF((E15-C15)&gt;0,(E15-C15)*100*0.79685,(E15-C15)*100)</f>
        <v>63747.999999999993</v>
      </c>
      <c r="G15" s="53">
        <f t="shared" ref="G15:G41" ca="1" si="7">NETWORKDAYS(D15,TODAY())</f>
        <v>59</v>
      </c>
      <c r="H15" s="53"/>
      <c r="I15" s="194"/>
      <c r="J15" s="194"/>
      <c r="K15" s="194"/>
      <c r="L15" s="194"/>
      <c r="M15" s="194"/>
      <c r="N15" s="195">
        <f t="shared" ref="N15:N41" si="8">(K15-I15)*J15-M15-L15</f>
        <v>0</v>
      </c>
    </row>
    <row r="16" spans="1:21" s="196" customFormat="1" x14ac:dyDescent="0.25">
      <c r="A16" s="202" t="str">
        <f>IPO監視一覧!H12</f>
        <v>D</v>
      </c>
      <c r="B16" s="49" t="str">
        <f>IPO監視一覧!B12</f>
        <v>キュービーネットHD</v>
      </c>
      <c r="C16" s="50">
        <f>IPO監視一覧!G12</f>
        <v>2250</v>
      </c>
      <c r="D16" s="52">
        <f>IPO監視一覧!O12</f>
        <v>43182</v>
      </c>
      <c r="E16" s="50">
        <f>IPO監視一覧!P12</f>
        <v>2115</v>
      </c>
      <c r="F16" s="193">
        <f t="shared" si="6"/>
        <v>-13500</v>
      </c>
      <c r="G16" s="53">
        <f t="shared" ca="1" si="7"/>
        <v>58</v>
      </c>
      <c r="H16" s="53"/>
      <c r="I16" s="194"/>
      <c r="J16" s="194"/>
      <c r="K16" s="194"/>
      <c r="L16" s="194"/>
      <c r="M16" s="194"/>
      <c r="N16" s="195">
        <f t="shared" si="8"/>
        <v>0</v>
      </c>
    </row>
    <row r="17" spans="1:14" s="196" customFormat="1" x14ac:dyDescent="0.25">
      <c r="A17" s="202" t="str">
        <f>IPO監視一覧!H13</f>
        <v>B</v>
      </c>
      <c r="B17" s="49" t="str">
        <f>IPO監視一覧!B13</f>
        <v>ファイバーゲート</v>
      </c>
      <c r="C17" s="50">
        <f>IPO監視一覧!G13</f>
        <v>1050</v>
      </c>
      <c r="D17" s="52">
        <f>IPO監視一覧!O13</f>
        <v>43182</v>
      </c>
      <c r="E17" s="50">
        <f>IPO監視一覧!P13</f>
        <v>2388</v>
      </c>
      <c r="F17" s="193">
        <f t="shared" si="6"/>
        <v>106618.53</v>
      </c>
      <c r="G17" s="53">
        <f t="shared" ca="1" si="7"/>
        <v>58</v>
      </c>
      <c r="H17" s="53"/>
      <c r="I17" s="194"/>
      <c r="J17" s="194"/>
      <c r="K17" s="194"/>
      <c r="L17" s="194"/>
      <c r="M17" s="194"/>
      <c r="N17" s="195">
        <f t="shared" si="8"/>
        <v>0</v>
      </c>
    </row>
    <row r="18" spans="1:14" s="196" customFormat="1" x14ac:dyDescent="0.25">
      <c r="A18" s="202" t="str">
        <f>IPO監視一覧!H14</f>
        <v>B</v>
      </c>
      <c r="B18" s="49" t="str">
        <f>IPO監視一覧!B14</f>
        <v>ＲＰＡHD</v>
      </c>
      <c r="C18" s="50">
        <f>IPO監視一覧!G14</f>
        <v>3570</v>
      </c>
      <c r="D18" s="52">
        <f>IPO監視一覧!O14</f>
        <v>43186</v>
      </c>
      <c r="E18" s="50">
        <f>IPO監視一覧!P14</f>
        <v>14280</v>
      </c>
      <c r="F18" s="193">
        <f t="shared" si="6"/>
        <v>853426.35</v>
      </c>
      <c r="G18" s="53">
        <f t="shared" ca="1" si="7"/>
        <v>56</v>
      </c>
      <c r="H18" s="53"/>
      <c r="I18" s="194"/>
      <c r="J18" s="194"/>
      <c r="K18" s="194"/>
      <c r="L18" s="194"/>
      <c r="M18" s="194"/>
      <c r="N18" s="195">
        <f t="shared" si="8"/>
        <v>0</v>
      </c>
    </row>
    <row r="19" spans="1:14" s="196" customFormat="1" x14ac:dyDescent="0.25">
      <c r="A19" s="202" t="str">
        <f>IPO監視一覧!H15</f>
        <v>A</v>
      </c>
      <c r="B19" s="49" t="str">
        <f>IPO監視一覧!B15</f>
        <v>アジャイルメディア・ネットワーク</v>
      </c>
      <c r="C19" s="50">
        <f>IPO監視一覧!G15</f>
        <v>3000</v>
      </c>
      <c r="D19" s="52">
        <f>IPO監視一覧!O15</f>
        <v>43187</v>
      </c>
      <c r="E19" s="50">
        <f>IPO監視一覧!P15</f>
        <v>15470</v>
      </c>
      <c r="F19" s="193">
        <f t="shared" si="6"/>
        <v>993671.95</v>
      </c>
      <c r="G19" s="53">
        <f t="shared" ca="1" si="7"/>
        <v>55</v>
      </c>
      <c r="H19" s="53"/>
      <c r="I19" s="194"/>
      <c r="J19" s="194"/>
      <c r="K19" s="194"/>
      <c r="L19" s="194"/>
      <c r="M19" s="194"/>
      <c r="N19" s="195">
        <f t="shared" si="8"/>
        <v>0</v>
      </c>
    </row>
    <row r="20" spans="1:14" s="196" customFormat="1" x14ac:dyDescent="0.25">
      <c r="A20" s="202" t="str">
        <f>IPO監視一覧!H16</f>
        <v>B</v>
      </c>
      <c r="B20" s="49" t="str">
        <f>IPO監視一覧!B16</f>
        <v>アズ企画設計</v>
      </c>
      <c r="C20" s="50">
        <f>IPO監視一覧!G16</f>
        <v>2160</v>
      </c>
      <c r="D20" s="52">
        <f>IPO監視一覧!O16</f>
        <v>43188</v>
      </c>
      <c r="E20" s="50">
        <f>IPO監視一覧!P16</f>
        <v>4705</v>
      </c>
      <c r="F20" s="193">
        <f t="shared" si="6"/>
        <v>202798.32499999998</v>
      </c>
      <c r="G20" s="53">
        <f t="shared" ca="1" si="7"/>
        <v>54</v>
      </c>
      <c r="H20" s="53"/>
      <c r="I20" s="194"/>
      <c r="J20" s="194"/>
      <c r="K20" s="194"/>
      <c r="L20" s="194"/>
      <c r="M20" s="194"/>
      <c r="N20" s="195">
        <f t="shared" si="8"/>
        <v>0</v>
      </c>
    </row>
    <row r="21" spans="1:14" s="196" customFormat="1" x14ac:dyDescent="0.25">
      <c r="A21" s="202" t="str">
        <f>IPO監視一覧!H17</f>
        <v>A</v>
      </c>
      <c r="B21" s="49" t="str">
        <f>IPO監視一覧!B17</f>
        <v>和心</v>
      </c>
      <c r="C21" s="50">
        <f>IPO監視一覧!G17</f>
        <v>1700</v>
      </c>
      <c r="D21" s="52">
        <f>IPO監視一覧!O17</f>
        <v>43188</v>
      </c>
      <c r="E21" s="50">
        <f>IPO監視一覧!P17</f>
        <v>4555</v>
      </c>
      <c r="F21" s="193">
        <f t="shared" si="6"/>
        <v>227500.67499999999</v>
      </c>
      <c r="G21" s="53">
        <f t="shared" ca="1" si="7"/>
        <v>54</v>
      </c>
      <c r="H21" s="53"/>
      <c r="I21" s="194"/>
      <c r="J21" s="194"/>
      <c r="K21" s="194"/>
      <c r="L21" s="194"/>
      <c r="M21" s="194"/>
      <c r="N21" s="195">
        <f t="shared" si="8"/>
        <v>0</v>
      </c>
    </row>
    <row r="22" spans="1:14" s="196" customFormat="1" x14ac:dyDescent="0.25">
      <c r="A22" s="202" t="str">
        <f>IPO監視一覧!H18</f>
        <v>A</v>
      </c>
      <c r="B22" s="49" t="str">
        <f>IPO監視一覧!B18</f>
        <v>日本リビング保証</v>
      </c>
      <c r="C22" s="50">
        <f>IPO監視一覧!G18</f>
        <v>1760</v>
      </c>
      <c r="D22" s="52">
        <f>IPO監視一覧!O18</f>
        <v>43189</v>
      </c>
      <c r="E22" s="50">
        <f>IPO監視一覧!P18</f>
        <v>5100</v>
      </c>
      <c r="F22" s="193">
        <f t="shared" si="6"/>
        <v>266147.89999999997</v>
      </c>
      <c r="G22" s="53">
        <f t="shared" ca="1" si="7"/>
        <v>53</v>
      </c>
      <c r="H22" s="53"/>
      <c r="I22" s="194"/>
      <c r="J22" s="194"/>
      <c r="K22" s="194"/>
      <c r="L22" s="194"/>
      <c r="M22" s="194"/>
      <c r="N22" s="195">
        <f t="shared" si="8"/>
        <v>0</v>
      </c>
    </row>
    <row r="23" spans="1:14" s="196" customFormat="1" x14ac:dyDescent="0.25">
      <c r="A23" s="202" t="str">
        <f>IPO監視一覧!H19</f>
        <v>A</v>
      </c>
      <c r="B23" s="49" t="str">
        <f>IPO監視一覧!B19</f>
        <v>ブティックス</v>
      </c>
      <c r="C23" s="50">
        <f>IPO監視一覧!G19</f>
        <v>1350</v>
      </c>
      <c r="D23" s="52">
        <f>IPO監視一覧!O19</f>
        <v>43193</v>
      </c>
      <c r="E23" s="50">
        <f>IPO監視一覧!P19</f>
        <v>3210</v>
      </c>
      <c r="F23" s="193">
        <f t="shared" si="6"/>
        <v>148214.09999999998</v>
      </c>
      <c r="G23" s="53">
        <f t="shared" ca="1" si="7"/>
        <v>51</v>
      </c>
      <c r="H23" s="53"/>
      <c r="I23" s="194"/>
      <c r="J23" s="194"/>
      <c r="K23" s="194"/>
      <c r="L23" s="194"/>
      <c r="M23" s="194"/>
      <c r="N23" s="195">
        <f t="shared" si="8"/>
        <v>0</v>
      </c>
    </row>
    <row r="24" spans="1:14" s="196" customFormat="1" x14ac:dyDescent="0.25">
      <c r="A24" s="202" t="str">
        <f>IPO監視一覧!H20</f>
        <v>A</v>
      </c>
      <c r="B24" s="49" t="str">
        <f>IPO監視一覧!B20</f>
        <v>ビープラッツ</v>
      </c>
      <c r="C24" s="50">
        <f>IPO監視一覧!G20</f>
        <v>2200</v>
      </c>
      <c r="D24" s="52">
        <f>IPO監視一覧!O20</f>
        <v>43194</v>
      </c>
      <c r="E24" s="50">
        <f>IPO監視一覧!P20</f>
        <v>10000</v>
      </c>
      <c r="F24" s="193">
        <f t="shared" si="6"/>
        <v>621543</v>
      </c>
      <c r="G24" s="53">
        <f t="shared" ca="1" si="7"/>
        <v>50</v>
      </c>
      <c r="H24" s="53"/>
      <c r="I24" s="194"/>
      <c r="J24" s="194"/>
      <c r="K24" s="194"/>
      <c r="L24" s="194"/>
      <c r="M24" s="194"/>
      <c r="N24" s="195">
        <f t="shared" si="8"/>
        <v>0</v>
      </c>
    </row>
    <row r="25" spans="1:14" s="196" customFormat="1" x14ac:dyDescent="0.25">
      <c r="A25" s="202" t="str">
        <f>IPO監視一覧!H21</f>
        <v>A</v>
      </c>
      <c r="B25" s="49" t="str">
        <f>IPO監視一覧!B21</f>
        <v>ヒューマン・アソシエイツ・HD</v>
      </c>
      <c r="C25" s="50">
        <f>IPO監視一覧!G21</f>
        <v>1170</v>
      </c>
      <c r="D25" s="52">
        <f>IPO監視一覧!O21</f>
        <v>43200</v>
      </c>
      <c r="E25" s="50">
        <f>IPO監視一覧!P21</f>
        <v>3600</v>
      </c>
      <c r="F25" s="193">
        <f t="shared" si="6"/>
        <v>193634.55</v>
      </c>
      <c r="G25" s="53">
        <f t="shared" ca="1" si="7"/>
        <v>46</v>
      </c>
      <c r="H25" s="53"/>
      <c r="I25" s="194"/>
      <c r="J25" s="194"/>
      <c r="K25" s="194"/>
      <c r="L25" s="194"/>
      <c r="M25" s="194"/>
      <c r="N25" s="195">
        <f t="shared" si="8"/>
        <v>0</v>
      </c>
    </row>
    <row r="26" spans="1:14" s="196" customFormat="1" x14ac:dyDescent="0.25">
      <c r="A26" s="202" t="str">
        <f>IPO監視一覧!H22</f>
        <v>B</v>
      </c>
      <c r="B26" s="49" t="str">
        <f>IPO監視一覧!B22</f>
        <v>コンヴァノ</v>
      </c>
      <c r="C26" s="50">
        <f>IPO監視一覧!G22</f>
        <v>930</v>
      </c>
      <c r="D26" s="52">
        <f>IPO監視一覧!O22</f>
        <v>43201</v>
      </c>
      <c r="E26" s="50">
        <f>IPO監視一覧!P22</f>
        <v>2189</v>
      </c>
      <c r="F26" s="193">
        <f t="shared" si="6"/>
        <v>100323.41499999999</v>
      </c>
      <c r="G26" s="53">
        <f t="shared" ca="1" si="7"/>
        <v>45</v>
      </c>
      <c r="H26" s="53"/>
      <c r="I26" s="194"/>
      <c r="J26" s="194"/>
      <c r="K26" s="194"/>
      <c r="L26" s="194"/>
      <c r="M26" s="194"/>
      <c r="N26" s="195">
        <f t="shared" si="8"/>
        <v>0</v>
      </c>
    </row>
    <row r="27" spans="1:14" s="196" customFormat="1" x14ac:dyDescent="0.25">
      <c r="A27" s="202" t="str">
        <f>IPO監視一覧!H23</f>
        <v>A</v>
      </c>
      <c r="B27" s="49" t="str">
        <f>IPO監視一覧!B23</f>
        <v>ＨＥＲＯＺ</v>
      </c>
      <c r="C27" s="50">
        <f>IPO監視一覧!G23</f>
        <v>4500</v>
      </c>
      <c r="D27" s="52">
        <f>IPO監視一覧!O23</f>
        <v>43210</v>
      </c>
      <c r="E27" s="50">
        <f>IPO監視一覧!P23</f>
        <v>49000</v>
      </c>
      <c r="F27" s="193">
        <f t="shared" si="6"/>
        <v>3545982.4999999995</v>
      </c>
      <c r="G27" s="53">
        <f t="shared" ca="1" si="7"/>
        <v>38</v>
      </c>
      <c r="H27" s="53"/>
      <c r="I27" s="194"/>
      <c r="J27" s="194"/>
      <c r="K27" s="194"/>
      <c r="L27" s="194"/>
      <c r="M27" s="194"/>
      <c r="N27" s="195">
        <f t="shared" si="8"/>
        <v>0</v>
      </c>
    </row>
    <row r="28" spans="1:14" s="196" customFormat="1" x14ac:dyDescent="0.25">
      <c r="A28" s="202" t="str">
        <f>IPO監視一覧!H24</f>
        <v>A</v>
      </c>
      <c r="B28" s="49" t="str">
        <f>IPO監視一覧!B24</f>
        <v>ベストワンドットコム</v>
      </c>
      <c r="C28" s="50">
        <f>IPO監視一覧!G24</f>
        <v>4330</v>
      </c>
      <c r="D28" s="52">
        <f>IPO監視一覧!O24</f>
        <v>43215</v>
      </c>
      <c r="E28" s="50">
        <f>IPO監視一覧!P24</f>
        <v>14830</v>
      </c>
      <c r="F28" s="193">
        <f t="shared" si="6"/>
        <v>836692.5</v>
      </c>
      <c r="G28" s="53">
        <f t="shared" ca="1" si="7"/>
        <v>35</v>
      </c>
      <c r="H28" s="53"/>
      <c r="I28" s="194"/>
      <c r="J28" s="194"/>
      <c r="K28" s="194"/>
      <c r="L28" s="194"/>
      <c r="M28" s="194"/>
      <c r="N28" s="195">
        <f t="shared" si="8"/>
        <v>0</v>
      </c>
    </row>
    <row r="29" spans="1:14" s="196" customFormat="1" x14ac:dyDescent="0.25">
      <c r="A29" s="202" t="str">
        <f>IPO監視一覧!H25</f>
        <v>B</v>
      </c>
      <c r="B29" s="49" t="str">
        <f>IPO監視一覧!B25</f>
        <v>アイペット損害保険</v>
      </c>
      <c r="C29" s="50">
        <f>IPO監視一覧!G25</f>
        <v>2850</v>
      </c>
      <c r="D29" s="52">
        <f>IPO監視一覧!O25</f>
        <v>43215</v>
      </c>
      <c r="E29" s="50">
        <f>IPO監視一覧!P25</f>
        <v>4500</v>
      </c>
      <c r="F29" s="193">
        <f t="shared" si="6"/>
        <v>131480.25</v>
      </c>
      <c r="G29" s="53">
        <f t="shared" ca="1" si="7"/>
        <v>35</v>
      </c>
      <c r="H29" s="53"/>
      <c r="I29" s="194"/>
      <c r="J29" s="194"/>
      <c r="K29" s="194"/>
      <c r="L29" s="194"/>
      <c r="M29" s="194"/>
      <c r="N29" s="195">
        <f t="shared" si="8"/>
        <v>0</v>
      </c>
    </row>
    <row r="30" spans="1:14" s="196" customFormat="1" x14ac:dyDescent="0.25">
      <c r="A30" s="202" t="str">
        <f>IPO監視一覧!H26</f>
        <v>B</v>
      </c>
      <c r="B30" s="49" t="str">
        <f>IPO監視一覧!B26</f>
        <v>エヌリンクス</v>
      </c>
      <c r="C30" s="50">
        <f>IPO監視一覧!G26</f>
        <v>1810</v>
      </c>
      <c r="D30" s="52">
        <f>IPO監視一覧!O26</f>
        <v>43217</v>
      </c>
      <c r="E30" s="50">
        <f>IPO監視一覧!P26</f>
        <v>3780</v>
      </c>
      <c r="F30" s="193">
        <f t="shared" si="6"/>
        <v>156979.44999999998</v>
      </c>
      <c r="G30" s="53">
        <f t="shared" ca="1" si="7"/>
        <v>33</v>
      </c>
      <c r="H30" s="53"/>
      <c r="I30" s="194"/>
      <c r="J30" s="194"/>
      <c r="K30" s="194"/>
      <c r="L30" s="194"/>
      <c r="M30" s="194"/>
      <c r="N30" s="195">
        <f t="shared" si="8"/>
        <v>0</v>
      </c>
    </row>
    <row r="31" spans="1:14" s="196" customFormat="1" x14ac:dyDescent="0.25">
      <c r="A31" s="202" t="str">
        <f>IPO監視一覧!H27</f>
        <v>D</v>
      </c>
      <c r="B31" s="49" t="str">
        <f>IPO監視一覧!B27</f>
        <v>ラクスル</v>
      </c>
      <c r="C31" s="50">
        <f>IPO監視一覧!G27</f>
        <v>1500</v>
      </c>
      <c r="D31" s="52">
        <f>IPO監視一覧!O27</f>
        <v>43251</v>
      </c>
      <c r="E31" s="50">
        <f>IPO監視一覧!P27</f>
        <v>1645</v>
      </c>
      <c r="F31" s="193">
        <f t="shared" si="6"/>
        <v>11554.324999999999</v>
      </c>
      <c r="G31" s="53">
        <f t="shared" ca="1" si="7"/>
        <v>9</v>
      </c>
      <c r="H31" s="53"/>
      <c r="I31" s="194"/>
      <c r="J31" s="194"/>
      <c r="K31" s="194"/>
      <c r="L31" s="194"/>
      <c r="M31" s="194"/>
      <c r="N31" s="195">
        <f t="shared" si="8"/>
        <v>0</v>
      </c>
    </row>
    <row r="32" spans="1:14" s="196" customFormat="1" x14ac:dyDescent="0.25">
      <c r="A32" s="202" t="str">
        <f>IPO監視一覧!H28</f>
        <v>B</v>
      </c>
      <c r="B32" s="49" t="str">
        <f>IPO監視一覧!B28</f>
        <v>メルカリ</v>
      </c>
      <c r="C32" s="50">
        <f>IPO監視一覧!G28</f>
        <v>3000</v>
      </c>
      <c r="D32" s="52">
        <f>IPO監視一覧!O28</f>
        <v>43270</v>
      </c>
      <c r="E32" s="50">
        <f>IPO監視一覧!P28</f>
        <v>0</v>
      </c>
      <c r="F32" s="193">
        <f t="shared" si="6"/>
        <v>-300000</v>
      </c>
      <c r="G32" s="53">
        <f t="shared" ca="1" si="7"/>
        <v>-6</v>
      </c>
      <c r="H32" s="53"/>
      <c r="I32" s="194"/>
      <c r="J32" s="194"/>
      <c r="K32" s="194"/>
      <c r="L32" s="194"/>
      <c r="M32" s="194"/>
      <c r="N32" s="195">
        <f t="shared" si="8"/>
        <v>0</v>
      </c>
    </row>
    <row r="33" spans="1:14" s="196" customFormat="1" x14ac:dyDescent="0.25">
      <c r="A33" s="202" t="str">
        <f>IPO監視一覧!H29</f>
        <v>A</v>
      </c>
      <c r="B33" s="49" t="str">
        <f>IPO監視一覧!B29</f>
        <v>ログリー</v>
      </c>
      <c r="C33" s="50">
        <f>IPO監視一覧!G29</f>
        <v>1860</v>
      </c>
      <c r="D33" s="52">
        <f>IPO監視一覧!O29</f>
        <v>43271</v>
      </c>
      <c r="E33" s="50">
        <f>IPO監視一覧!P29</f>
        <v>0</v>
      </c>
      <c r="F33" s="193">
        <f t="shared" si="6"/>
        <v>-186000</v>
      </c>
      <c r="G33" s="53">
        <f t="shared" ca="1" si="7"/>
        <v>-7</v>
      </c>
      <c r="H33" s="53"/>
      <c r="I33" s="194"/>
      <c r="J33" s="194"/>
      <c r="K33" s="194"/>
      <c r="L33" s="194"/>
      <c r="M33" s="194"/>
      <c r="N33" s="195">
        <f t="shared" si="8"/>
        <v>0</v>
      </c>
    </row>
    <row r="34" spans="1:14" s="196" customFormat="1" x14ac:dyDescent="0.25">
      <c r="A34" s="202" t="str">
        <f>IPO監視一覧!H30</f>
        <v>A</v>
      </c>
      <c r="B34" s="49" t="str">
        <f>IPO監視一覧!B30</f>
        <v>ＳＩＧ</v>
      </c>
      <c r="C34" s="50">
        <f>IPO監視一覧!G30</f>
        <v>2000</v>
      </c>
      <c r="D34" s="52">
        <f>IPO監視一覧!O30</f>
        <v>43272</v>
      </c>
      <c r="E34" s="50">
        <f>IPO監視一覧!P30</f>
        <v>0</v>
      </c>
      <c r="F34" s="193">
        <f t="shared" si="6"/>
        <v>-200000</v>
      </c>
      <c r="G34" s="53">
        <f t="shared" ca="1" si="7"/>
        <v>-8</v>
      </c>
      <c r="H34" s="53"/>
      <c r="I34" s="194"/>
      <c r="J34" s="194"/>
      <c r="K34" s="194"/>
      <c r="L34" s="194"/>
      <c r="M34" s="194"/>
      <c r="N34" s="195">
        <f t="shared" si="8"/>
        <v>0</v>
      </c>
    </row>
    <row r="35" spans="1:14" s="196" customFormat="1" x14ac:dyDescent="0.25">
      <c r="A35" s="202" t="str">
        <f>IPO監視一覧!H31</f>
        <v>C</v>
      </c>
      <c r="B35" s="49" t="str">
        <f>IPO監視一覧!B31</f>
        <v>コーア商事HD</v>
      </c>
      <c r="C35" s="50">
        <f>IPO監視一覧!G31</f>
        <v>2620</v>
      </c>
      <c r="D35" s="52">
        <f>IPO監視一覧!O31</f>
        <v>43272</v>
      </c>
      <c r="E35" s="50">
        <f>IPO監視一覧!P31</f>
        <v>0</v>
      </c>
      <c r="F35" s="193">
        <f t="shared" si="6"/>
        <v>-262000</v>
      </c>
      <c r="G35" s="53">
        <f t="shared" ca="1" si="7"/>
        <v>-8</v>
      </c>
      <c r="H35" s="53"/>
      <c r="I35" s="194"/>
      <c r="J35" s="194"/>
      <c r="K35" s="194"/>
      <c r="L35" s="194"/>
      <c r="M35" s="194"/>
      <c r="N35" s="195">
        <f t="shared" si="8"/>
        <v>0</v>
      </c>
    </row>
    <row r="36" spans="1:14" s="196" customFormat="1" x14ac:dyDescent="0.25">
      <c r="A36" s="202" t="str">
        <f>IPO監視一覧!H32</f>
        <v>A</v>
      </c>
      <c r="B36" s="49" t="str">
        <f>IPO監視一覧!B32</f>
        <v>ZUU</v>
      </c>
      <c r="C36" s="50">
        <f>IPO監視一覧!G32</f>
        <v>1600</v>
      </c>
      <c r="D36" s="52">
        <f>IPO監視一覧!O32</f>
        <v>43272</v>
      </c>
      <c r="E36" s="50">
        <f>IPO監視一覧!P32</f>
        <v>0</v>
      </c>
      <c r="F36" s="193">
        <f t="shared" si="6"/>
        <v>-160000</v>
      </c>
      <c r="G36" s="53">
        <f t="shared" ca="1" si="7"/>
        <v>-8</v>
      </c>
      <c r="H36" s="53"/>
      <c r="I36" s="194"/>
      <c r="J36" s="194"/>
      <c r="K36" s="194"/>
      <c r="L36" s="194"/>
      <c r="M36" s="194"/>
      <c r="N36" s="195">
        <f t="shared" si="8"/>
        <v>0</v>
      </c>
    </row>
    <row r="37" spans="1:14" s="196" customFormat="1" x14ac:dyDescent="0.25">
      <c r="A37" s="202" t="str">
        <f>IPO監視一覧!H33</f>
        <v>B</v>
      </c>
      <c r="B37" s="49" t="str">
        <f>IPO監視一覧!B33</f>
        <v>ライトアップ</v>
      </c>
      <c r="C37" s="50">
        <f>IPO監視一覧!G33</f>
        <v>2820</v>
      </c>
      <c r="D37" s="52">
        <f>IPO監視一覧!O33</f>
        <v>43273</v>
      </c>
      <c r="E37" s="50">
        <f>IPO監視一覧!P33</f>
        <v>0</v>
      </c>
      <c r="F37" s="193">
        <f t="shared" si="6"/>
        <v>-282000</v>
      </c>
      <c r="G37" s="53">
        <f t="shared" ca="1" si="7"/>
        <v>-9</v>
      </c>
      <c r="H37" s="53"/>
      <c r="I37" s="194"/>
      <c r="J37" s="194"/>
      <c r="K37" s="194"/>
      <c r="L37" s="194"/>
      <c r="M37" s="194"/>
      <c r="N37" s="195">
        <f t="shared" si="8"/>
        <v>0</v>
      </c>
    </row>
    <row r="38" spans="1:14" s="196" customFormat="1" x14ac:dyDescent="0.25">
      <c r="A38" s="202" t="str">
        <f>IPO監視一覧!H34</f>
        <v>D</v>
      </c>
      <c r="B38" s="49" t="str">
        <f>IPO監視一覧!B34</f>
        <v>国際紙パルプ商事</v>
      </c>
      <c r="C38" s="50">
        <f>IPO監視一覧!G34</f>
        <v>344</v>
      </c>
      <c r="D38" s="52">
        <f>IPO監視一覧!O34</f>
        <v>43277</v>
      </c>
      <c r="E38" s="50">
        <f>IPO監視一覧!P34</f>
        <v>0</v>
      </c>
      <c r="F38" s="193">
        <f t="shared" si="6"/>
        <v>-34400</v>
      </c>
      <c r="G38" s="53">
        <f t="shared" ca="1" si="7"/>
        <v>-11</v>
      </c>
      <c r="H38" s="53"/>
      <c r="I38" s="194"/>
      <c r="J38" s="194"/>
      <c r="K38" s="194"/>
      <c r="L38" s="194"/>
      <c r="M38" s="194"/>
      <c r="N38" s="195">
        <f t="shared" si="8"/>
        <v>0</v>
      </c>
    </row>
    <row r="39" spans="1:14" s="196" customFormat="1" x14ac:dyDescent="0.25">
      <c r="A39" s="202" t="str">
        <f>IPO監視一覧!H35</f>
        <v>A</v>
      </c>
      <c r="B39" s="49" t="str">
        <f>IPO監視一覧!B35</f>
        <v>エーアイ</v>
      </c>
      <c r="C39" s="50">
        <f>IPO監視一覧!G35</f>
        <v>1000</v>
      </c>
      <c r="D39" s="52">
        <f>IPO監視一覧!O35</f>
        <v>43278</v>
      </c>
      <c r="E39" s="50">
        <f>IPO監視一覧!P35</f>
        <v>0</v>
      </c>
      <c r="F39" s="193">
        <f t="shared" si="6"/>
        <v>-100000</v>
      </c>
      <c r="G39" s="53">
        <f t="shared" ca="1" si="7"/>
        <v>-12</v>
      </c>
      <c r="H39" s="53"/>
      <c r="I39" s="194"/>
      <c r="J39" s="194"/>
      <c r="K39" s="194"/>
      <c r="L39" s="194"/>
      <c r="M39" s="194"/>
      <c r="N39" s="195">
        <f t="shared" si="8"/>
        <v>0</v>
      </c>
    </row>
    <row r="40" spans="1:14" s="196" customFormat="1" x14ac:dyDescent="0.25">
      <c r="A40" s="202" t="str">
        <f>IPO監視一覧!H36</f>
        <v>A</v>
      </c>
      <c r="B40" s="49" t="str">
        <f>IPO監視一覧!B36</f>
        <v>プロパティデータバンク</v>
      </c>
      <c r="C40" s="50">
        <f>IPO監視一覧!G36</f>
        <v>1780</v>
      </c>
      <c r="D40" s="52">
        <f>IPO監視一覧!O36</f>
        <v>43278</v>
      </c>
      <c r="E40" s="50">
        <f>IPO監視一覧!P36</f>
        <v>0</v>
      </c>
      <c r="F40" s="193">
        <f t="shared" si="6"/>
        <v>-178000</v>
      </c>
      <c r="G40" s="53">
        <f t="shared" ca="1" si="7"/>
        <v>-12</v>
      </c>
      <c r="H40" s="53"/>
      <c r="I40" s="194"/>
      <c r="J40" s="194"/>
      <c r="K40" s="194"/>
      <c r="L40" s="194"/>
      <c r="M40" s="194"/>
      <c r="N40" s="195">
        <f t="shared" si="8"/>
        <v>0</v>
      </c>
    </row>
    <row r="41" spans="1:14" s="196" customFormat="1" x14ac:dyDescent="0.25">
      <c r="A41" s="202" t="str">
        <f>IPO監視一覧!H37</f>
        <v>B</v>
      </c>
      <c r="B41" s="49" t="str">
        <f>IPO監視一覧!B37</f>
        <v>IPS</v>
      </c>
      <c r="C41" s="50">
        <f>IPO監視一覧!G37</f>
        <v>3900</v>
      </c>
      <c r="D41" s="52">
        <f>IPO監視一覧!O37</f>
        <v>43278</v>
      </c>
      <c r="E41" s="50">
        <f>IPO監視一覧!P37</f>
        <v>0</v>
      </c>
      <c r="F41" s="193">
        <f t="shared" si="6"/>
        <v>-390000</v>
      </c>
      <c r="G41" s="53">
        <f t="shared" ca="1" si="7"/>
        <v>-12</v>
      </c>
      <c r="H41" s="53"/>
      <c r="I41" s="194"/>
      <c r="J41" s="194"/>
      <c r="K41" s="194"/>
      <c r="L41" s="194"/>
      <c r="M41" s="194"/>
      <c r="N41" s="195">
        <f t="shared" si="8"/>
        <v>0</v>
      </c>
    </row>
    <row r="42" spans="1:14" s="196" customFormat="1" x14ac:dyDescent="0.25">
      <c r="A42" s="202" t="str">
        <f>IPO監視一覧!H38</f>
        <v>A</v>
      </c>
      <c r="B42" s="49" t="str">
        <f>IPO監視一覧!B38</f>
        <v>インバウンドテック</v>
      </c>
      <c r="C42" s="50">
        <f>IPO監視一覧!G38</f>
        <v>3980</v>
      </c>
      <c r="D42" s="52">
        <f>IPO監視一覧!O38</f>
        <v>43278</v>
      </c>
      <c r="E42" s="50">
        <f>IPO監視一覧!P38</f>
        <v>0</v>
      </c>
      <c r="F42" s="193">
        <f t="shared" ref="F42:F45" si="9">IF((E42-C42)&gt;0,(E42-C42)*100*0.79685,(E42-C42)*100)</f>
        <v>-398000</v>
      </c>
      <c r="G42" s="53">
        <f t="shared" ref="G42:G45" ca="1" si="10">NETWORKDAYS(D42,TODAY())</f>
        <v>-12</v>
      </c>
      <c r="H42" s="53"/>
      <c r="I42" s="194"/>
      <c r="J42" s="194"/>
      <c r="K42" s="194"/>
      <c r="L42" s="194"/>
      <c r="M42" s="194"/>
      <c r="N42" s="195">
        <f t="shared" ref="N42:N45" si="11">(K42-I42)*J42-M42-L42</f>
        <v>0</v>
      </c>
    </row>
    <row r="43" spans="1:14" s="196" customFormat="1" x14ac:dyDescent="0.25">
      <c r="A43" s="202" t="str">
        <f>IPO監視一覧!H39</f>
        <v>D</v>
      </c>
      <c r="B43" s="49" t="str">
        <f>IPO監視一覧!B39</f>
        <v>スプリックス</v>
      </c>
      <c r="C43" s="50">
        <f>IPO監視一覧!G39</f>
        <v>2400</v>
      </c>
      <c r="D43" s="52">
        <f>IPO監視一覧!O39</f>
        <v>43280</v>
      </c>
      <c r="E43" s="50">
        <f>IPO監視一覧!P39</f>
        <v>0</v>
      </c>
      <c r="F43" s="193">
        <f t="shared" si="9"/>
        <v>-240000</v>
      </c>
      <c r="G43" s="53">
        <f t="shared" ca="1" si="10"/>
        <v>-14</v>
      </c>
      <c r="H43" s="53"/>
      <c r="I43" s="194"/>
      <c r="J43" s="194"/>
      <c r="K43" s="194"/>
      <c r="L43" s="194"/>
      <c r="M43" s="194"/>
      <c r="N43" s="195">
        <f t="shared" si="11"/>
        <v>0</v>
      </c>
    </row>
    <row r="44" spans="1:14" s="196" customFormat="1" x14ac:dyDescent="0.25">
      <c r="A44" s="202" t="str">
        <f>IPO監視一覧!H40</f>
        <v>A</v>
      </c>
      <c r="B44" s="49" t="str">
        <f>IPO監視一覧!B40</f>
        <v>ロジザード</v>
      </c>
      <c r="C44" s="50">
        <f>IPO監視一覧!G40</f>
        <v>0</v>
      </c>
      <c r="D44" s="52">
        <f>IPO監視一覧!O40</f>
        <v>43285</v>
      </c>
      <c r="E44" s="50">
        <f>IPO監視一覧!P40</f>
        <v>0</v>
      </c>
      <c r="F44" s="193">
        <f t="shared" si="9"/>
        <v>0</v>
      </c>
      <c r="G44" s="53">
        <f t="shared" ca="1" si="10"/>
        <v>-17</v>
      </c>
      <c r="H44" s="53"/>
      <c r="I44" s="194"/>
      <c r="J44" s="194"/>
      <c r="K44" s="194"/>
      <c r="L44" s="194"/>
      <c r="M44" s="194"/>
      <c r="N44" s="195">
        <f t="shared" si="11"/>
        <v>0</v>
      </c>
    </row>
    <row r="45" spans="1:14" s="196" customFormat="1" x14ac:dyDescent="0.25">
      <c r="A45" s="202" t="str">
        <f>IPO監視一覧!H41</f>
        <v>A</v>
      </c>
      <c r="B45" s="49" t="str">
        <f>IPO監視一覧!B41</f>
        <v>キャンディル</v>
      </c>
      <c r="C45" s="50">
        <f>IPO監視一覧!G41</f>
        <v>0</v>
      </c>
      <c r="D45" s="52">
        <f>IPO監視一覧!O41</f>
        <v>43286</v>
      </c>
      <c r="E45" s="50">
        <f>IPO監視一覧!P41</f>
        <v>0</v>
      </c>
      <c r="F45" s="193">
        <f t="shared" si="9"/>
        <v>0</v>
      </c>
      <c r="G45" s="53">
        <f t="shared" ca="1" si="10"/>
        <v>-18</v>
      </c>
      <c r="H45" s="53"/>
      <c r="I45" s="194"/>
      <c r="J45" s="194"/>
      <c r="K45" s="194"/>
      <c r="L45" s="194"/>
      <c r="M45" s="194"/>
      <c r="N45" s="195">
        <f t="shared" si="11"/>
        <v>0</v>
      </c>
    </row>
    <row r="46" spans="1:14" s="196" customFormat="1" x14ac:dyDescent="0.25">
      <c r="A46" s="202" t="str">
        <f>IPO監視一覧!H42</f>
        <v>C</v>
      </c>
      <c r="B46" s="49" t="str">
        <f>IPO監視一覧!B42</f>
        <v>ＭＴＧ</v>
      </c>
      <c r="C46" s="50">
        <f>IPO監視一覧!G42</f>
        <v>0</v>
      </c>
      <c r="D46" s="52">
        <f>IPO監視一覧!O42</f>
        <v>43291</v>
      </c>
      <c r="E46" s="50">
        <f>IPO監視一覧!P42</f>
        <v>0</v>
      </c>
      <c r="F46" s="193">
        <f t="shared" ref="F46:F51" si="12">IF((E46-C46)&gt;0,(E46-C46)*100*0.79685,(E46-C46)*100)</f>
        <v>0</v>
      </c>
      <c r="G46" s="53">
        <f t="shared" ref="G46:G51" ca="1" si="13">NETWORKDAYS(D46,TODAY())</f>
        <v>-21</v>
      </c>
      <c r="H46" s="53"/>
      <c r="I46" s="194"/>
      <c r="J46" s="194"/>
      <c r="K46" s="194"/>
      <c r="L46" s="194"/>
      <c r="M46" s="194"/>
      <c r="N46" s="195">
        <f t="shared" ref="N46:N51" si="14">(K46-I46)*J46-M46-L46</f>
        <v>0</v>
      </c>
    </row>
    <row r="47" spans="1:14" s="196" customFormat="1" x14ac:dyDescent="0.25">
      <c r="A47" s="202">
        <f>IPO監視一覧!H43</f>
        <v>0</v>
      </c>
      <c r="B47" s="49">
        <f>IPO監視一覧!B43</f>
        <v>0</v>
      </c>
      <c r="C47" s="50">
        <f>IPO監視一覧!G43</f>
        <v>0</v>
      </c>
      <c r="D47" s="52">
        <f>IPO監視一覧!O43</f>
        <v>0</v>
      </c>
      <c r="E47" s="50">
        <f>IPO監視一覧!P43</f>
        <v>0</v>
      </c>
      <c r="F47" s="193">
        <f t="shared" si="12"/>
        <v>0</v>
      </c>
      <c r="G47" s="53">
        <f t="shared" ca="1" si="13"/>
        <v>30902</v>
      </c>
      <c r="H47" s="53"/>
      <c r="I47" s="194"/>
      <c r="J47" s="194"/>
      <c r="K47" s="194"/>
      <c r="L47" s="194"/>
      <c r="M47" s="194"/>
      <c r="N47" s="195">
        <f t="shared" si="14"/>
        <v>0</v>
      </c>
    </row>
    <row r="48" spans="1:14" s="196" customFormat="1" x14ac:dyDescent="0.25">
      <c r="A48" s="202">
        <f>IPO監視一覧!H44</f>
        <v>0</v>
      </c>
      <c r="B48" s="49">
        <f>IPO監視一覧!B44</f>
        <v>0</v>
      </c>
      <c r="C48" s="50">
        <f>IPO監視一覧!G44</f>
        <v>0</v>
      </c>
      <c r="D48" s="52">
        <f>IPO監視一覧!O44</f>
        <v>0</v>
      </c>
      <c r="E48" s="50">
        <f>IPO監視一覧!P44</f>
        <v>0</v>
      </c>
      <c r="F48" s="193">
        <f t="shared" si="12"/>
        <v>0</v>
      </c>
      <c r="G48" s="53">
        <f t="shared" ca="1" si="13"/>
        <v>30902</v>
      </c>
      <c r="H48" s="53"/>
      <c r="I48" s="194"/>
      <c r="J48" s="194"/>
      <c r="K48" s="194"/>
      <c r="L48" s="194"/>
      <c r="M48" s="194"/>
      <c r="N48" s="195">
        <f t="shared" si="14"/>
        <v>0</v>
      </c>
    </row>
    <row r="49" spans="1:14" s="196" customFormat="1" x14ac:dyDescent="0.25">
      <c r="A49" s="202">
        <f>IPO監視一覧!H45</f>
        <v>0</v>
      </c>
      <c r="B49" s="49">
        <f>IPO監視一覧!B45</f>
        <v>0</v>
      </c>
      <c r="C49" s="50">
        <f>IPO監視一覧!G45</f>
        <v>0</v>
      </c>
      <c r="D49" s="52">
        <f>IPO監視一覧!O45</f>
        <v>0</v>
      </c>
      <c r="E49" s="50">
        <f>IPO監視一覧!P45</f>
        <v>0</v>
      </c>
      <c r="F49" s="193">
        <f t="shared" si="12"/>
        <v>0</v>
      </c>
      <c r="G49" s="53">
        <f t="shared" ca="1" si="13"/>
        <v>30902</v>
      </c>
      <c r="H49" s="53"/>
      <c r="I49" s="194"/>
      <c r="J49" s="194"/>
      <c r="K49" s="194"/>
      <c r="L49" s="194"/>
      <c r="M49" s="194"/>
      <c r="N49" s="195">
        <f t="shared" si="14"/>
        <v>0</v>
      </c>
    </row>
    <row r="50" spans="1:14" s="196" customFormat="1" x14ac:dyDescent="0.25">
      <c r="A50" s="202">
        <f>IPO監視一覧!H46</f>
        <v>0</v>
      </c>
      <c r="B50" s="49">
        <f>IPO監視一覧!B46</f>
        <v>0</v>
      </c>
      <c r="C50" s="50">
        <f>IPO監視一覧!G46</f>
        <v>0</v>
      </c>
      <c r="D50" s="52">
        <f>IPO監視一覧!O46</f>
        <v>0</v>
      </c>
      <c r="E50" s="50">
        <f>IPO監視一覧!P46</f>
        <v>0</v>
      </c>
      <c r="F50" s="193">
        <f t="shared" si="12"/>
        <v>0</v>
      </c>
      <c r="G50" s="53">
        <f t="shared" ca="1" si="13"/>
        <v>30902</v>
      </c>
      <c r="H50" s="53"/>
      <c r="I50" s="194"/>
      <c r="J50" s="194"/>
      <c r="K50" s="194"/>
      <c r="L50" s="194"/>
      <c r="M50" s="194"/>
      <c r="N50" s="195">
        <f t="shared" si="14"/>
        <v>0</v>
      </c>
    </row>
    <row r="51" spans="1:14" s="196" customFormat="1" x14ac:dyDescent="0.25">
      <c r="A51" s="202">
        <f>IPO監視一覧!H47</f>
        <v>0</v>
      </c>
      <c r="B51" s="49">
        <f>IPO監視一覧!B47</f>
        <v>0</v>
      </c>
      <c r="C51" s="50">
        <f>IPO監視一覧!G47</f>
        <v>0</v>
      </c>
      <c r="D51" s="52">
        <f>IPO監視一覧!O47</f>
        <v>0</v>
      </c>
      <c r="E51" s="50">
        <f>IPO監視一覧!P47</f>
        <v>0</v>
      </c>
      <c r="F51" s="193">
        <f t="shared" si="12"/>
        <v>0</v>
      </c>
      <c r="G51" s="53">
        <f t="shared" ca="1" si="13"/>
        <v>30902</v>
      </c>
      <c r="H51" s="53"/>
      <c r="I51" s="194"/>
      <c r="J51" s="194"/>
      <c r="K51" s="194"/>
      <c r="L51" s="194"/>
      <c r="M51" s="194"/>
      <c r="N51" s="195">
        <f t="shared" si="14"/>
        <v>0</v>
      </c>
    </row>
  </sheetData>
  <mergeCells count="1">
    <mergeCell ref="A1:B1"/>
  </mergeCells>
  <phoneticPr fontId="2"/>
  <dataValidations count="1">
    <dataValidation type="list" allowBlank="1" showInputMessage="1" showErrorMessage="1" sqref="H4">
      <formula1>#REF!</formula1>
    </dataValidation>
  </dataValidations>
  <pageMargins left="0.7" right="0.7" top="0.75" bottom="0.75" header="0.3" footer="0.3"/>
  <pageSetup paperSize="9" orientation="portrait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IPO監視一覧!$X$3:$X$6</xm:f>
          </x14:formula1>
          <xm:sqref>H6:H51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9" tint="0.59999389629810485"/>
  </sheetPr>
  <dimension ref="A1:AC53"/>
  <sheetViews>
    <sheetView zoomScale="85" zoomScaleNormal="85" workbookViewId="0">
      <pane ySplit="2" topLeftCell="A15" activePane="bottomLeft" state="frozen"/>
      <selection activeCell="F62" sqref="F62"/>
      <selection pane="bottomLeft" activeCell="A46" sqref="A46:XFD53"/>
    </sheetView>
  </sheetViews>
  <sheetFormatPr defaultColWidth="8" defaultRowHeight="15.75" x14ac:dyDescent="0.25"/>
  <cols>
    <col min="1" max="1" width="3.21875" style="37" customWidth="1"/>
    <col min="2" max="2" width="26.21875" style="37" bestFit="1" customWidth="1"/>
    <col min="3" max="3" width="12.6640625" style="59" bestFit="1" customWidth="1"/>
    <col min="4" max="7" width="8.109375" style="15" bestFit="1" customWidth="1"/>
    <col min="8" max="8" width="1.77734375" style="37" customWidth="1"/>
    <col min="9" max="9" width="9.109375" style="60" bestFit="1" customWidth="1"/>
    <col min="10" max="10" width="8.88671875" style="60" bestFit="1" customWidth="1"/>
    <col min="11" max="11" width="8.88671875" style="61" bestFit="1" customWidth="1"/>
    <col min="12" max="12" width="1.77734375" style="12" customWidth="1"/>
    <col min="13" max="14" width="9.77734375" style="12" hidden="1" customWidth="1"/>
    <col min="15" max="15" width="8" style="37" hidden="1" customWidth="1"/>
    <col min="16" max="16" width="8" style="12" hidden="1" customWidth="1"/>
    <col min="17" max="17" width="8.33203125" style="12" bestFit="1" customWidth="1"/>
    <col min="18" max="18" width="11.109375" style="12" bestFit="1" customWidth="1"/>
    <col min="19" max="19" width="9.5546875" style="12" bestFit="1" customWidth="1"/>
    <col min="20" max="20" width="12.33203125" style="12" bestFit="1" customWidth="1"/>
    <col min="21" max="21" width="9.5546875" style="12" bestFit="1" customWidth="1"/>
    <col min="22" max="22" width="1.77734375" style="37" customWidth="1"/>
    <col min="23" max="23" width="8" style="37"/>
    <col min="24" max="24" width="9.5546875" style="12" bestFit="1" customWidth="1"/>
    <col min="25" max="26" width="8" style="37"/>
    <col min="27" max="27" width="9.77734375" style="37" bestFit="1" customWidth="1"/>
    <col min="28" max="28" width="8.77734375" style="37" bestFit="1" customWidth="1"/>
    <col min="29" max="16384" width="8" style="37"/>
  </cols>
  <sheetData>
    <row r="1" spans="1:29" ht="16.5" thickBot="1" x14ac:dyDescent="0.3">
      <c r="A1" s="37" t="s">
        <v>89</v>
      </c>
      <c r="F1" s="15" t="s">
        <v>90</v>
      </c>
      <c r="I1" s="242" t="s">
        <v>91</v>
      </c>
      <c r="J1" s="242"/>
      <c r="K1" s="242"/>
      <c r="M1" s="243" t="s">
        <v>92</v>
      </c>
      <c r="N1" s="243"/>
      <c r="P1" s="38" t="s">
        <v>93</v>
      </c>
      <c r="Y1" s="12" t="s">
        <v>154</v>
      </c>
      <c r="Z1" s="147" t="s">
        <v>156</v>
      </c>
      <c r="AA1" s="148" t="s">
        <v>157</v>
      </c>
      <c r="AB1" s="149" t="s">
        <v>158</v>
      </c>
      <c r="AC1" s="12" t="s">
        <v>265</v>
      </c>
    </row>
    <row r="2" spans="1:29" ht="16.5" thickBot="1" x14ac:dyDescent="0.3">
      <c r="B2" s="93" t="s">
        <v>17</v>
      </c>
      <c r="C2" s="95" t="s">
        <v>73</v>
      </c>
      <c r="D2" s="101" t="s">
        <v>94</v>
      </c>
      <c r="E2" s="101" t="s">
        <v>95</v>
      </c>
      <c r="F2" s="101" t="s">
        <v>96</v>
      </c>
      <c r="G2" s="101" t="s">
        <v>97</v>
      </c>
      <c r="I2" s="102" t="s">
        <v>93</v>
      </c>
      <c r="J2" s="102" t="s">
        <v>98</v>
      </c>
      <c r="K2" s="103" t="s">
        <v>99</v>
      </c>
      <c r="M2" s="102" t="s">
        <v>93</v>
      </c>
      <c r="N2" s="102" t="s">
        <v>98</v>
      </c>
      <c r="O2" s="61"/>
      <c r="Q2" s="115" t="s">
        <v>155</v>
      </c>
      <c r="R2" s="115" t="s">
        <v>123</v>
      </c>
      <c r="T2" s="115" t="s">
        <v>263</v>
      </c>
      <c r="W2" s="115" t="s">
        <v>264</v>
      </c>
      <c r="Z2" s="150">
        <f ca="1">COUNTIFS($Q$3:$Q$1048576,Z1)/$AC$2</f>
        <v>0.66666666666666663</v>
      </c>
      <c r="AA2" s="150">
        <f ca="1">COUNTIFS($Q$3:$Q$1048576,AA1)/$AC$2</f>
        <v>0.22222222222222221</v>
      </c>
      <c r="AB2" s="150">
        <f ca="1">COUNTIFS($Q$3:$Q$1048576,AB1)/$AC$2</f>
        <v>0.1111111111111111</v>
      </c>
      <c r="AC2" s="12">
        <f ca="1">COUNTIFS(Q3:Q1048576,"割安") + COUNTIFS(Q3:Q1048576,"普通") + COUNTIFS(Q3:Q1048576,"割高")</f>
        <v>27</v>
      </c>
    </row>
    <row r="3" spans="1:29" ht="16.5" thickTop="1" x14ac:dyDescent="0.25">
      <c r="B3" s="49" t="str">
        <f>セカンダリ投資分析!B3</f>
        <v>リミックスポイント</v>
      </c>
      <c r="C3" s="198">
        <f>株価一覧!H2</f>
        <v>3022200</v>
      </c>
      <c r="D3" s="15">
        <f ca="1">OFFSET(終値履歴!A3,0,COUNTA(終値履歴!G3:'終値履歴'!XFD3)+2,1,-1)</f>
        <v>1267</v>
      </c>
      <c r="E3" s="15">
        <f ca="1">OFFSET(終値履歴!A3,0,COUNTA(終値履歴!G3:'終値履歴'!XFD3)+3,1,-1)</f>
        <v>1339</v>
      </c>
      <c r="F3" s="15">
        <f ca="1">OFFSET(終値履歴!A3,0,COUNTA(終値履歴!G3:'終値履歴'!XFD3)+4,1,-1)</f>
        <v>1284</v>
      </c>
      <c r="G3" s="15">
        <f ca="1">OFFSET(終値履歴!A3,0,COUNTA(終値履歴!G3:'終値履歴'!XFD3)+5,1,-1)</f>
        <v>1354</v>
      </c>
      <c r="I3" s="60">
        <f ca="1">IF(ISERROR((G3-F3)/F3),"",(G3-F3)/F3)</f>
        <v>5.4517133956386292E-2</v>
      </c>
      <c r="J3" s="60">
        <f ca="1">IF(ISERROR((G3-E3)/E3),"",(G3-E3)/E3)</f>
        <v>1.1202389843166542E-2</v>
      </c>
      <c r="K3" s="60">
        <f ca="1">IF(ISERROR((G3-D3)/D3),"",(G3-D3)/D3)</f>
        <v>6.8666140489344912E-2</v>
      </c>
      <c r="M3" s="60">
        <f t="shared" ref="M3:M5" ca="1" si="0">(F3-E3)/E3</f>
        <v>-4.1075429424943986E-2</v>
      </c>
      <c r="N3" s="60">
        <f t="shared" ref="N3:N5" ca="1" si="1">(F3-D3)/D3</f>
        <v>1.3417521704814523E-2</v>
      </c>
      <c r="P3" s="57" t="str">
        <f t="shared" ref="P3:P5" ca="1" si="2">IF(G3-F3 &gt; 0,CONCATENATE("＋",G3-F3),G3-F3)</f>
        <v>＋70</v>
      </c>
      <c r="Q3" s="12" t="str">
        <f ca="1">IF(T3=0,"集計外",IF(AND(G3&lt;=T3,G3&lt;=R3),"割安",IF(AND(G3&gt;T3,G3&lt;=R3),"普通",IF(AND(G3&lt;=T3,G3&gt;R3),"普通","割高"))))</f>
        <v>普通</v>
      </c>
      <c r="R3" s="21">
        <f ca="1">終値履歴!D3</f>
        <v>1315.2</v>
      </c>
      <c r="S3" s="107">
        <f ca="1">(G3-R3)/E3</f>
        <v>2.897684839432409E-2</v>
      </c>
      <c r="T3" s="21">
        <f ca="1">終値履歴!E3</f>
        <v>1534.2</v>
      </c>
      <c r="U3" s="107">
        <f ca="1">(G3-T3)/G3</f>
        <v>-0.13308714918759235</v>
      </c>
      <c r="W3" s="21">
        <f ca="1">終値履歴!F3</f>
        <v>1267</v>
      </c>
      <c r="X3" s="107">
        <f ca="1">(G3-W3)/G3</f>
        <v>6.4254062038404725E-2</v>
      </c>
    </row>
    <row r="4" spans="1:29" x14ac:dyDescent="0.25">
      <c r="B4" s="49" t="str">
        <f>セカンダリ投資分析!B5</f>
        <v>トレイダーズHD</v>
      </c>
      <c r="C4" s="198">
        <f>株価一覧!H3</f>
        <v>1258400</v>
      </c>
      <c r="D4" s="15">
        <f ca="1">OFFSET(終値履歴!A4,0,COUNTA(終値履歴!G4:'終値履歴'!XFD4)+2,1,-1)</f>
        <v>116</v>
      </c>
      <c r="E4" s="15">
        <f ca="1">OFFSET(終値履歴!A4,0,COUNTA(終値履歴!G4:'終値履歴'!XFD4)+3,1,-1)</f>
        <v>117</v>
      </c>
      <c r="F4" s="15">
        <f ca="1">OFFSET(終値履歴!A4,0,COUNTA(終値履歴!G4:'終値履歴'!XFD4)+4,1,-1)</f>
        <v>113</v>
      </c>
      <c r="G4" s="15">
        <f ca="1">OFFSET(終値履歴!A4,0,COUNTA(終値履歴!G4:'終値履歴'!XFD4)+5,1,-1)</f>
        <v>116</v>
      </c>
      <c r="I4" s="60">
        <f t="shared" ref="I4:I40" ca="1" si="3">IF(ISERROR((G4-F4)/F4),"",(G4-F4)/F4)</f>
        <v>2.6548672566371681E-2</v>
      </c>
      <c r="J4" s="60">
        <f t="shared" ref="J4:J40" ca="1" si="4">IF(ISERROR((G4-E4)/E4),"",(G4-E4)/E4)</f>
        <v>-8.5470085470085479E-3</v>
      </c>
      <c r="K4" s="60">
        <f t="shared" ref="K4:K40" ca="1" si="5">IF(ISERROR((G4-D4)/D4),"",(G4-D4)/D4)</f>
        <v>0</v>
      </c>
      <c r="M4" s="60">
        <f t="shared" ca="1" si="0"/>
        <v>-3.4188034188034191E-2</v>
      </c>
      <c r="N4" s="60">
        <f t="shared" ca="1" si="1"/>
        <v>-2.5862068965517241E-2</v>
      </c>
      <c r="P4" s="57" t="str">
        <f t="shared" ca="1" si="2"/>
        <v>＋3</v>
      </c>
      <c r="Q4" s="12" t="str">
        <f t="shared" ref="Q4:Q40" ca="1" si="6">IF(T4=0,"集計外",IF(AND(G4&lt;=T4,G4&lt;=R4),"割安",IF(AND(G4&gt;T4,G4&lt;=R4),"普通",IF(AND(G4&lt;=T4,G4&gt;R4),"普通","割高"))))</f>
        <v>割安</v>
      </c>
      <c r="R4" s="21">
        <f ca="1">終値履歴!D4</f>
        <v>116.4</v>
      </c>
      <c r="S4" s="107">
        <f t="shared" ref="S4:S5" ca="1" si="7">(G4-R4)/E4</f>
        <v>-3.4188034188034674E-3</v>
      </c>
      <c r="T4" s="21">
        <f ca="1">終値履歴!E4</f>
        <v>120.06666666666666</v>
      </c>
      <c r="U4" s="107">
        <f t="shared" ref="U4:U5" ca="1" si="8">(G4-T4)/G4</f>
        <v>-3.5057471264367784E-2</v>
      </c>
      <c r="W4" s="21">
        <f ca="1">終値履歴!F4</f>
        <v>113</v>
      </c>
      <c r="X4" s="107">
        <f t="shared" ref="X4:X5" ca="1" si="9">(G4-W4)/G4</f>
        <v>2.5862068965517241E-2</v>
      </c>
    </row>
    <row r="5" spans="1:29" x14ac:dyDescent="0.25">
      <c r="B5" s="49" t="str">
        <f>セカンダリ投資分析!B6</f>
        <v>ソレイジア・ファーマ</v>
      </c>
      <c r="C5" s="198">
        <f>株価一覧!H4</f>
        <v>830200</v>
      </c>
      <c r="D5" s="15">
        <f ca="1">OFFSET(終値履歴!A5,0,COUNTA(終値履歴!G5:'終値履歴'!XFD5)+2,1,-1)</f>
        <v>299</v>
      </c>
      <c r="E5" s="15">
        <f ca="1">OFFSET(終値履歴!A5,0,COUNTA(終値履歴!G5:'終値履歴'!XFD5)+3,1,-1)</f>
        <v>308</v>
      </c>
      <c r="F5" s="15">
        <f ca="1">OFFSET(終値履歴!A5,0,COUNTA(終値履歴!G5:'終値履歴'!XFD5)+4,1,-1)</f>
        <v>309</v>
      </c>
      <c r="G5" s="15">
        <f ca="1">OFFSET(終値履歴!A5,0,COUNTA(終値履歴!G5:'終値履歴'!XFD5)+5,1,-1)</f>
        <v>315</v>
      </c>
      <c r="I5" s="60">
        <f t="shared" ca="1" si="3"/>
        <v>1.9417475728155338E-2</v>
      </c>
      <c r="J5" s="60">
        <f t="shared" ca="1" si="4"/>
        <v>2.2727272727272728E-2</v>
      </c>
      <c r="K5" s="60">
        <f t="shared" ca="1" si="5"/>
        <v>5.3511705685618728E-2</v>
      </c>
      <c r="M5" s="60">
        <f t="shared" ca="1" si="0"/>
        <v>3.246753246753247E-3</v>
      </c>
      <c r="N5" s="60">
        <f t="shared" ca="1" si="1"/>
        <v>3.3444816053511704E-2</v>
      </c>
      <c r="P5" s="57" t="str">
        <f t="shared" ca="1" si="2"/>
        <v>＋6</v>
      </c>
      <c r="Q5" s="12" t="str">
        <f t="shared" ca="1" si="6"/>
        <v>普通</v>
      </c>
      <c r="R5" s="21">
        <f ca="1">終値履歴!D5</f>
        <v>308.8</v>
      </c>
      <c r="S5" s="107">
        <f t="shared" ca="1" si="7"/>
        <v>2.0129870129870091E-2</v>
      </c>
      <c r="T5" s="21">
        <f ca="1">終値履歴!E5</f>
        <v>321.86666666666667</v>
      </c>
      <c r="U5" s="107">
        <f t="shared" ca="1" si="8"/>
        <v>-2.1798941798941825E-2</v>
      </c>
      <c r="W5" s="21">
        <f ca="1">終値履歴!F5</f>
        <v>299</v>
      </c>
      <c r="X5" s="107">
        <f t="shared" ca="1" si="9"/>
        <v>5.0793650793650794E-2</v>
      </c>
    </row>
    <row r="6" spans="1:29" x14ac:dyDescent="0.25">
      <c r="B6" s="49" t="str">
        <f>IPO監視一覧!B3</f>
        <v>Ｍマート</v>
      </c>
      <c r="C6" s="198">
        <f>株価一覧!H5</f>
        <v>5300</v>
      </c>
      <c r="D6" s="15">
        <f ca="1">OFFSET(終値履歴!A6,0,COUNTA(終値履歴!G6:'終値履歴'!XFD6)+2,1,-1)</f>
        <v>3600</v>
      </c>
      <c r="E6" s="15">
        <f ca="1">OFFSET(終値履歴!A6,0,COUNTA(終値履歴!G6:'終値履歴'!XFD6)+3,1,-1)</f>
        <v>3650</v>
      </c>
      <c r="F6" s="15">
        <f ca="1">OFFSET(終値履歴!A6,0,COUNTA(終値履歴!G6:'終値履歴'!XFD6)+4,1,-1)</f>
        <v>3680</v>
      </c>
      <c r="G6" s="15">
        <f ca="1">OFFSET(終値履歴!A6,0,COUNTA(終値履歴!G6:'終値履歴'!XFD6)+5,1,-1)</f>
        <v>3685</v>
      </c>
      <c r="I6" s="60">
        <f t="shared" ca="1" si="3"/>
        <v>1.358695652173913E-3</v>
      </c>
      <c r="J6" s="60">
        <f t="shared" ca="1" si="4"/>
        <v>9.5890410958904115E-3</v>
      </c>
      <c r="K6" s="60">
        <f t="shared" ca="1" si="5"/>
        <v>2.361111111111111E-2</v>
      </c>
      <c r="M6" s="60">
        <f ca="1">(F6-E6)/E6</f>
        <v>8.21917808219178E-3</v>
      </c>
      <c r="N6" s="60">
        <f ca="1">(F6-D6)/D6</f>
        <v>2.2222222222222223E-2</v>
      </c>
      <c r="P6" s="57" t="str">
        <f ca="1">IF(G6-F6 &gt; 0,CONCATENATE("＋",G6-F6),G6-F6)</f>
        <v>＋5</v>
      </c>
      <c r="Q6" s="12" t="str">
        <f t="shared" ca="1" si="6"/>
        <v>割高</v>
      </c>
      <c r="R6" s="225">
        <f ca="1">終値履歴!D6</f>
        <v>3665</v>
      </c>
      <c r="S6" s="107">
        <f t="shared" ref="S6:S8" ca="1" si="10">(G6-R6)/E6</f>
        <v>5.4794520547945206E-3</v>
      </c>
      <c r="T6" s="225">
        <f ca="1">終値履歴!E6</f>
        <v>3654</v>
      </c>
      <c r="U6" s="107">
        <f t="shared" ref="U6:U11" ca="1" si="11">(G6-T6)/G6</f>
        <v>8.4124830393487102E-3</v>
      </c>
      <c r="W6" s="225">
        <f ca="1">終値履歴!F6</f>
        <v>3565</v>
      </c>
      <c r="X6" s="107">
        <f t="shared" ref="X6:X11" ca="1" si="12">(G6-W6)/G6</f>
        <v>3.2564450474898234E-2</v>
      </c>
    </row>
    <row r="7" spans="1:29" x14ac:dyDescent="0.25">
      <c r="B7" s="49" t="str">
        <f>IPO監視一覧!B4</f>
        <v>ジェイテックコーポレーション</v>
      </c>
      <c r="C7" s="198">
        <f>株価一覧!H6</f>
        <v>43700</v>
      </c>
      <c r="D7" s="15">
        <f ca="1">OFFSET(終値履歴!A7,0,COUNTA(終値履歴!G7:'終値履歴'!XFD7)+2,1,-1)</f>
        <v>6430</v>
      </c>
      <c r="E7" s="15">
        <f ca="1">OFFSET(終値履歴!A7,0,COUNTA(終値履歴!G7:'終値履歴'!XFD7)+3,1,-1)</f>
        <v>6570</v>
      </c>
      <c r="F7" s="15">
        <f ca="1">OFFSET(終値履歴!A7,0,COUNTA(終値履歴!G7:'終値履歴'!XFD7)+4,1,-1)</f>
        <v>6870</v>
      </c>
      <c r="G7" s="15">
        <f ca="1">OFFSET(終値履歴!A7,0,COUNTA(終値履歴!G7:'終値履歴'!XFD7)+5,1,-1)</f>
        <v>6670</v>
      </c>
      <c r="I7" s="60">
        <f t="shared" ca="1" si="3"/>
        <v>-2.9112081513828238E-2</v>
      </c>
      <c r="J7" s="60">
        <f t="shared" ca="1" si="4"/>
        <v>1.5220700152207001E-2</v>
      </c>
      <c r="K7" s="60">
        <f t="shared" ca="1" si="5"/>
        <v>3.7325038880248837E-2</v>
      </c>
      <c r="M7" s="60">
        <f t="shared" ref="M7:M11" ca="1" si="13">(F7-E7)/E7</f>
        <v>4.5662100456621002E-2</v>
      </c>
      <c r="N7" s="60">
        <f t="shared" ref="N7:N11" ca="1" si="14">(F7-D7)/D7</f>
        <v>6.8429237947122856E-2</v>
      </c>
      <c r="P7" s="57">
        <f t="shared" ref="P7:P11" ca="1" si="15">IF(G7-F7 &gt; 0,CONCATENATE("＋",G7-F7),G7-F7)</f>
        <v>-200</v>
      </c>
      <c r="Q7" s="12" t="str">
        <f t="shared" ca="1" si="6"/>
        <v>割高</v>
      </c>
      <c r="R7" s="225">
        <f ca="1">終値履歴!D7</f>
        <v>6588</v>
      </c>
      <c r="S7" s="107">
        <f t="shared" ca="1" si="10"/>
        <v>1.2480974124809741E-2</v>
      </c>
      <c r="T7" s="225">
        <f ca="1">終値履歴!E7</f>
        <v>6577.333333333333</v>
      </c>
      <c r="U7" s="107">
        <f t="shared" ca="1" si="11"/>
        <v>1.3893053473263414E-2</v>
      </c>
      <c r="W7" s="225">
        <f ca="1">終値履歴!F7</f>
        <v>5900</v>
      </c>
      <c r="X7" s="107">
        <f t="shared" ca="1" si="12"/>
        <v>0.11544227886056972</v>
      </c>
    </row>
    <row r="8" spans="1:29" x14ac:dyDescent="0.25">
      <c r="B8" s="49" t="str">
        <f>IPO監視一覧!B5</f>
        <v>ＳＥＲＩＯＨＤ</v>
      </c>
      <c r="C8" s="198">
        <f>株価一覧!H7</f>
        <v>8300</v>
      </c>
      <c r="D8" s="15">
        <f ca="1">OFFSET(終値履歴!A8,0,COUNTA(終値履歴!G8:'終値履歴'!XFD8)+2,1,-1)</f>
        <v>2272</v>
      </c>
      <c r="E8" s="15">
        <f ca="1">OFFSET(終値履歴!A8,0,COUNTA(終値履歴!G8:'終値履歴'!XFD8)+3,1,-1)</f>
        <v>2286</v>
      </c>
      <c r="F8" s="15">
        <f ca="1">OFFSET(終値履歴!A8,0,COUNTA(終値履歴!G8:'終値履歴'!XFD8)+4,1,-1)</f>
        <v>2419</v>
      </c>
      <c r="G8" s="15">
        <f ca="1">OFFSET(終値履歴!A8,0,COUNTA(終値履歴!G8:'終値履歴'!XFD8)+5,1,-1)</f>
        <v>2421</v>
      </c>
      <c r="I8" s="60">
        <f t="shared" ca="1" si="3"/>
        <v>8.2678792889623808E-4</v>
      </c>
      <c r="J8" s="60">
        <f t="shared" ca="1" si="4"/>
        <v>5.905511811023622E-2</v>
      </c>
      <c r="K8" s="60">
        <f t="shared" ca="1" si="5"/>
        <v>6.5580985915492954E-2</v>
      </c>
      <c r="M8" s="60">
        <f t="shared" ca="1" si="13"/>
        <v>5.8180227471566051E-2</v>
      </c>
      <c r="N8" s="60">
        <f t="shared" ca="1" si="14"/>
        <v>6.470070422535211E-2</v>
      </c>
      <c r="P8" s="57" t="str">
        <f t="shared" ca="1" si="15"/>
        <v>＋2</v>
      </c>
      <c r="Q8" s="12" t="str">
        <f t="shared" ca="1" si="6"/>
        <v>割高</v>
      </c>
      <c r="R8" s="225">
        <f ca="1">終値履歴!D8</f>
        <v>2339.6</v>
      </c>
      <c r="S8" s="107">
        <f t="shared" ca="1" si="10"/>
        <v>3.5608048993875804E-2</v>
      </c>
      <c r="T8" s="225">
        <f ca="1">終値履歴!E8</f>
        <v>2316.1999999999998</v>
      </c>
      <c r="U8" s="107">
        <f t="shared" ca="1" si="11"/>
        <v>4.3287897562990577E-2</v>
      </c>
      <c r="W8" s="225">
        <f ca="1">終値履歴!F8</f>
        <v>2085</v>
      </c>
      <c r="X8" s="107">
        <f t="shared" ca="1" si="12"/>
        <v>0.13878562577447337</v>
      </c>
    </row>
    <row r="9" spans="1:29" x14ac:dyDescent="0.25">
      <c r="B9" s="49" t="str">
        <f>IPO監視一覧!B6</f>
        <v>神戸天然物化学</v>
      </c>
      <c r="C9" s="198">
        <f>株価一覧!H8</f>
        <v>68500</v>
      </c>
      <c r="D9" s="15">
        <f ca="1">OFFSET(終値履歴!A9,0,COUNTA(終値履歴!G9:'終値履歴'!XFD9)+2,1,-1)</f>
        <v>3600</v>
      </c>
      <c r="E9" s="15">
        <f ca="1">OFFSET(終値履歴!A9,0,COUNTA(終値履歴!G9:'終値履歴'!XFD9)+3,1,-1)</f>
        <v>3555</v>
      </c>
      <c r="F9" s="15">
        <f ca="1">OFFSET(終値履歴!A9,0,COUNTA(終値履歴!G9:'終値履歴'!XFD9)+4,1,-1)</f>
        <v>3690</v>
      </c>
      <c r="G9" s="15">
        <f ca="1">OFFSET(終値履歴!A9,0,COUNTA(終値履歴!G9:'終値履歴'!XFD9)+5,1,-1)</f>
        <v>3700</v>
      </c>
      <c r="I9" s="60">
        <f t="shared" ca="1" si="3"/>
        <v>2.7100271002710027E-3</v>
      </c>
      <c r="J9" s="60">
        <f t="shared" ca="1" si="4"/>
        <v>4.0787623066104076E-2</v>
      </c>
      <c r="K9" s="60">
        <f t="shared" ca="1" si="5"/>
        <v>2.7777777777777776E-2</v>
      </c>
      <c r="M9" s="60">
        <f t="shared" ca="1" si="13"/>
        <v>3.7974683544303799E-2</v>
      </c>
      <c r="N9" s="60">
        <f t="shared" ca="1" si="14"/>
        <v>2.5000000000000001E-2</v>
      </c>
      <c r="P9" s="57" t="str">
        <f t="shared" ca="1" si="15"/>
        <v>＋10</v>
      </c>
      <c r="Q9" s="12" t="str">
        <f t="shared" ca="1" si="6"/>
        <v>割高</v>
      </c>
      <c r="R9" s="225">
        <f ca="1">終値履歴!D9</f>
        <v>3635</v>
      </c>
      <c r="S9" s="107">
        <f ca="1">(G9-R9)/E9</f>
        <v>1.8284106891701828E-2</v>
      </c>
      <c r="T9" s="225">
        <f ca="1">終値履歴!E9</f>
        <v>3552.3333333333335</v>
      </c>
      <c r="U9" s="107">
        <f t="shared" ca="1" si="11"/>
        <v>3.990990990990987E-2</v>
      </c>
      <c r="W9" s="225">
        <f ca="1">終値履歴!F9</f>
        <v>3375</v>
      </c>
      <c r="X9" s="107">
        <f t="shared" ca="1" si="12"/>
        <v>8.7837837837837843E-2</v>
      </c>
    </row>
    <row r="10" spans="1:29" x14ac:dyDescent="0.25">
      <c r="B10" s="49" t="str">
        <f>IPO監視一覧!B7</f>
        <v>日総工産</v>
      </c>
      <c r="C10" s="198">
        <f>株価一覧!H9</f>
        <v>71700</v>
      </c>
      <c r="D10" s="15">
        <f ca="1">OFFSET(終値履歴!A10,0,COUNTA(終値履歴!G10:'終値履歴'!XFD10)+2,1,-1)</f>
        <v>5550</v>
      </c>
      <c r="E10" s="15">
        <f ca="1">OFFSET(終値履歴!A10,0,COUNTA(終値履歴!G10:'終値履歴'!XFD10)+3,1,-1)</f>
        <v>5260</v>
      </c>
      <c r="F10" s="15">
        <f ca="1">OFFSET(終値履歴!A10,0,COUNTA(終値履歴!G10:'終値履歴'!XFD10)+4,1,-1)</f>
        <v>5760</v>
      </c>
      <c r="G10" s="15">
        <f ca="1">OFFSET(終値履歴!A10,0,COUNTA(終値履歴!G10:'終値履歴'!XFD10)+5,1,-1)</f>
        <v>5620</v>
      </c>
      <c r="I10" s="60">
        <f t="shared" ca="1" si="3"/>
        <v>-2.4305555555555556E-2</v>
      </c>
      <c r="J10" s="60">
        <f t="shared" ca="1" si="4"/>
        <v>6.8441064638783272E-2</v>
      </c>
      <c r="K10" s="60">
        <f t="shared" ca="1" si="5"/>
        <v>1.2612612612612612E-2</v>
      </c>
      <c r="M10" s="60">
        <f t="shared" ca="1" si="13"/>
        <v>9.5057034220532313E-2</v>
      </c>
      <c r="N10" s="60">
        <f t="shared" ca="1" si="14"/>
        <v>3.783783783783784E-2</v>
      </c>
      <c r="P10" s="57">
        <f t="shared" ca="1" si="15"/>
        <v>-140</v>
      </c>
      <c r="Q10" s="12" t="str">
        <f t="shared" ca="1" si="6"/>
        <v>割高</v>
      </c>
      <c r="R10" s="225">
        <f ca="1">終値履歴!D10</f>
        <v>5530</v>
      </c>
      <c r="S10" s="107">
        <f t="shared" ref="S10:S11" ca="1" si="16">(G10-R10)/E10</f>
        <v>1.7110266159695818E-2</v>
      </c>
      <c r="T10" s="225">
        <f ca="1">終値履歴!E10</f>
        <v>5296.333333333333</v>
      </c>
      <c r="U10" s="107">
        <f t="shared" ca="1" si="11"/>
        <v>5.7591933570581309E-2</v>
      </c>
      <c r="W10" s="225">
        <f ca="1">終値履歴!F10</f>
        <v>4870</v>
      </c>
      <c r="X10" s="107">
        <f t="shared" ca="1" si="12"/>
        <v>0.13345195729537365</v>
      </c>
    </row>
    <row r="11" spans="1:29" x14ac:dyDescent="0.25">
      <c r="B11" s="49" t="str">
        <f>IPO監視一覧!B8</f>
        <v>フェイスネットワーク</v>
      </c>
      <c r="C11" s="198">
        <f>株価一覧!H10</f>
        <v>35300</v>
      </c>
      <c r="D11" s="15">
        <f ca="1">OFFSET(終値履歴!A11,0,COUNTA(終値履歴!G11:'終値履歴'!XFD11)+2,1,-1)</f>
        <v>2081</v>
      </c>
      <c r="E11" s="15">
        <f ca="1">OFFSET(終値履歴!A11,0,COUNTA(終値履歴!G11:'終値履歴'!XFD11)+3,1,-1)</f>
        <v>2150</v>
      </c>
      <c r="F11" s="15">
        <f ca="1">OFFSET(終値履歴!A11,0,COUNTA(終値履歴!G11:'終値履歴'!XFD11)+4,1,-1)</f>
        <v>2190</v>
      </c>
      <c r="G11" s="15">
        <f ca="1">OFFSET(終値履歴!A11,0,COUNTA(終値履歴!G11:'終値履歴'!XFD11)+5,1,-1)</f>
        <v>2224</v>
      </c>
      <c r="I11" s="60">
        <f t="shared" ca="1" si="3"/>
        <v>1.5525114155251141E-2</v>
      </c>
      <c r="J11" s="60">
        <f t="shared" ca="1" si="4"/>
        <v>3.4418604651162789E-2</v>
      </c>
      <c r="K11" s="60">
        <f t="shared" ca="1" si="5"/>
        <v>6.8716962998558381E-2</v>
      </c>
      <c r="M11" s="60">
        <f t="shared" ca="1" si="13"/>
        <v>1.8604651162790697E-2</v>
      </c>
      <c r="N11" s="60">
        <f t="shared" ca="1" si="14"/>
        <v>5.2378664103796255E-2</v>
      </c>
      <c r="P11" s="57" t="str">
        <f t="shared" ca="1" si="15"/>
        <v>＋34</v>
      </c>
      <c r="Q11" s="12" t="str">
        <f t="shared" ca="1" si="6"/>
        <v>割高</v>
      </c>
      <c r="R11" s="225">
        <f ca="1">終値履歴!D11</f>
        <v>2145.4</v>
      </c>
      <c r="S11" s="107">
        <f t="shared" ca="1" si="16"/>
        <v>3.6558139534883675E-2</v>
      </c>
      <c r="T11" s="225">
        <f ca="1">終値履歴!E11</f>
        <v>2198.6666666666665</v>
      </c>
      <c r="U11" s="107">
        <f t="shared" ca="1" si="11"/>
        <v>1.1390887290167934E-2</v>
      </c>
      <c r="W11" s="225">
        <f ca="1">終値履歴!F11</f>
        <v>2081</v>
      </c>
      <c r="X11" s="107">
        <f t="shared" ca="1" si="12"/>
        <v>6.4298561151079139E-2</v>
      </c>
    </row>
    <row r="12" spans="1:29" x14ac:dyDescent="0.25">
      <c r="B12" s="49" t="str">
        <f>IPO監視一覧!B9</f>
        <v>共和コーポレーション</v>
      </c>
      <c r="C12" s="62">
        <f>株価一覧!H11</f>
        <v>6400</v>
      </c>
      <c r="D12" s="15">
        <f ca="1">OFFSET(終値履歴!A12,0,COUNTA(終値履歴!G12:'終値履歴'!XFD12)+2,1,-1)</f>
        <v>1681</v>
      </c>
      <c r="E12" s="15">
        <f ca="1">OFFSET(終値履歴!A12,0,COUNTA(終値履歴!G12:'終値履歴'!XFD12)+3,1,-1)</f>
        <v>1699</v>
      </c>
      <c r="F12" s="15">
        <f ca="1">OFFSET(終値履歴!A12,0,COUNTA(終値履歴!G12:'終値履歴'!XFD12)+4,1,-1)</f>
        <v>1645</v>
      </c>
      <c r="G12" s="15">
        <f ca="1">OFFSET(終値履歴!A12,0,COUNTA(終値履歴!G12:'終値履歴'!XFD12)+5,1,-1)</f>
        <v>1698</v>
      </c>
      <c r="I12" s="60">
        <f t="shared" ca="1" si="3"/>
        <v>3.2218844984802431E-2</v>
      </c>
      <c r="J12" s="60">
        <f t="shared" ca="1" si="4"/>
        <v>-5.885815185403178E-4</v>
      </c>
      <c r="K12" s="60">
        <f t="shared" ca="1" si="5"/>
        <v>1.0113027959547887E-2</v>
      </c>
      <c r="M12" s="60">
        <f t="shared" ref="M12" ca="1" si="17">(F12-E12)/E12</f>
        <v>-3.1783402001177165E-2</v>
      </c>
      <c r="N12" s="60">
        <f t="shared" ref="N12" ca="1" si="18">(F12-D12)/D12</f>
        <v>-2.1415823914336704E-2</v>
      </c>
      <c r="P12" s="57" t="str">
        <f t="shared" ref="P12" ca="1" si="19">IF(G12-F12 &gt; 0,CONCATENATE("＋",G12-F12),G12-F12)</f>
        <v>＋53</v>
      </c>
      <c r="Q12" s="12" t="str">
        <f t="shared" ca="1" si="6"/>
        <v>割高</v>
      </c>
      <c r="R12" s="21">
        <f ca="1">終値履歴!D12</f>
        <v>1678.6</v>
      </c>
      <c r="S12" s="107">
        <f t="shared" ref="S12" ca="1" si="20">(G12-R12)/E12</f>
        <v>1.1418481459682219E-2</v>
      </c>
      <c r="T12" s="21">
        <f ca="1">終値履歴!E12</f>
        <v>1676.8</v>
      </c>
      <c r="U12" s="107">
        <f t="shared" ref="U12" ca="1" si="21">(G12-T12)/G12</f>
        <v>1.2485276796230887E-2</v>
      </c>
      <c r="W12" s="21">
        <f ca="1">終値履歴!F12</f>
        <v>1620</v>
      </c>
      <c r="X12" s="107">
        <f t="shared" ref="X12" ca="1" si="22">(G12-W12)/G12</f>
        <v>4.5936395759717315E-2</v>
      </c>
    </row>
    <row r="13" spans="1:29" x14ac:dyDescent="0.25">
      <c r="B13" s="49" t="str">
        <f>IPO監視一覧!B10</f>
        <v>信和</v>
      </c>
      <c r="C13" s="62">
        <f>株価一覧!H12</f>
        <v>181500</v>
      </c>
      <c r="D13" s="15">
        <f ca="1">OFFSET(終値履歴!A13,0,COUNTA(終値履歴!G13:'終値履歴'!XFD13)+2,1,-1)</f>
        <v>1094</v>
      </c>
      <c r="E13" s="15">
        <f ca="1">OFFSET(終値履歴!A13,0,COUNTA(終値履歴!G13:'終値履歴'!XFD13)+3,1,-1)</f>
        <v>1101</v>
      </c>
      <c r="F13" s="15">
        <f ca="1">OFFSET(終値履歴!A13,0,COUNTA(終値履歴!G13:'終値履歴'!XFD13)+4,1,-1)</f>
        <v>1094</v>
      </c>
      <c r="G13" s="15">
        <f ca="1">OFFSET(終値履歴!A13,0,COUNTA(終値履歴!G13:'終値履歴'!XFD13)+5,1,-1)</f>
        <v>1144</v>
      </c>
      <c r="I13" s="60">
        <f t="shared" ca="1" si="3"/>
        <v>4.5703839122486288E-2</v>
      </c>
      <c r="J13" s="60">
        <f t="shared" ca="1" si="4"/>
        <v>3.9055404178019983E-2</v>
      </c>
      <c r="K13" s="60">
        <f t="shared" ca="1" si="5"/>
        <v>4.5703839122486288E-2</v>
      </c>
      <c r="M13" s="60">
        <f t="shared" ref="M13:M25" ca="1" si="23">(F13-E13)/E13</f>
        <v>-6.3578564940962763E-3</v>
      </c>
      <c r="N13" s="60">
        <f t="shared" ref="N13:N25" ca="1" si="24">(F13-D13)/D13</f>
        <v>0</v>
      </c>
      <c r="P13" s="57" t="str">
        <f t="shared" ref="P13:P25" ca="1" si="25">IF(G13-F13 &gt; 0,CONCATENATE("＋",G13-F13),G13-F13)</f>
        <v>＋50</v>
      </c>
      <c r="Q13" s="12" t="str">
        <f t="shared" ca="1" si="6"/>
        <v>割高</v>
      </c>
      <c r="R13" s="21">
        <f ca="1">終値履歴!D13</f>
        <v>1109</v>
      </c>
      <c r="S13" s="107">
        <f t="shared" ref="S13:S25" ca="1" si="26">(G13-R13)/E13</f>
        <v>3.1789282470481378E-2</v>
      </c>
      <c r="T13" s="21">
        <f ca="1">終値履歴!E13</f>
        <v>1125.9333333333334</v>
      </c>
      <c r="U13" s="107">
        <f t="shared" ref="U13:U25" ca="1" si="27">(G13-T13)/G13</f>
        <v>1.5792540792540739E-2</v>
      </c>
      <c r="W13" s="21">
        <f ca="1">終値履歴!F13</f>
        <v>1094</v>
      </c>
      <c r="X13" s="107">
        <f t="shared" ref="X13:X25" ca="1" si="28">(G13-W13)/G13</f>
        <v>4.3706293706293704E-2</v>
      </c>
    </row>
    <row r="14" spans="1:29" x14ac:dyDescent="0.25">
      <c r="B14" s="49" t="str">
        <f>IPO監視一覧!B11</f>
        <v>ＳＯＵ</v>
      </c>
      <c r="C14" s="62">
        <f>株価一覧!H13</f>
        <v>117800</v>
      </c>
      <c r="D14" s="15">
        <f ca="1">OFFSET(終値履歴!A14,0,COUNTA(終値履歴!G14:'終値履歴'!XFD14)+2,1,-1)</f>
        <v>5800</v>
      </c>
      <c r="E14" s="15">
        <f ca="1">OFFSET(終値履歴!A14,0,COUNTA(終値履歴!G14:'終値履歴'!XFD14)+3,1,-1)</f>
        <v>5720</v>
      </c>
      <c r="F14" s="15">
        <f ca="1">OFFSET(終値履歴!A14,0,COUNTA(終値履歴!G14:'終値履歴'!XFD14)+4,1,-1)</f>
        <v>5960</v>
      </c>
      <c r="G14" s="15">
        <f ca="1">OFFSET(終値履歴!A14,0,COUNTA(終値履歴!G14:'終値履歴'!XFD14)+5,1,-1)</f>
        <v>6230</v>
      </c>
      <c r="I14" s="60">
        <f t="shared" ca="1" si="3"/>
        <v>4.5302013422818789E-2</v>
      </c>
      <c r="J14" s="60">
        <f t="shared" ca="1" si="4"/>
        <v>8.9160839160839167E-2</v>
      </c>
      <c r="K14" s="60">
        <f t="shared" ca="1" si="5"/>
        <v>7.4137931034482754E-2</v>
      </c>
      <c r="M14" s="60">
        <f t="shared" ca="1" si="23"/>
        <v>4.195804195804196E-2</v>
      </c>
      <c r="N14" s="60">
        <f t="shared" ca="1" si="24"/>
        <v>2.7586206896551724E-2</v>
      </c>
      <c r="P14" s="57" t="str">
        <f t="shared" ca="1" si="25"/>
        <v>＋270</v>
      </c>
      <c r="Q14" s="12" t="str">
        <f t="shared" ca="1" si="6"/>
        <v>割高</v>
      </c>
      <c r="R14" s="21">
        <f ca="1">終値履歴!D14</f>
        <v>5856</v>
      </c>
      <c r="S14" s="107">
        <f t="shared" ca="1" si="26"/>
        <v>6.5384615384615388E-2</v>
      </c>
      <c r="T14" s="21">
        <f ca="1">終値履歴!E14</f>
        <v>5682.666666666667</v>
      </c>
      <c r="U14" s="107">
        <f t="shared" ca="1" si="27"/>
        <v>8.7854467629748481E-2</v>
      </c>
      <c r="W14" s="21">
        <f ca="1">終値履歴!F14</f>
        <v>5400</v>
      </c>
      <c r="X14" s="107">
        <f t="shared" ca="1" si="28"/>
        <v>0.1332263242375602</v>
      </c>
    </row>
    <row r="15" spans="1:29" x14ac:dyDescent="0.25">
      <c r="B15" s="49" t="str">
        <f>IPO監視一覧!B12</f>
        <v>キュービーネットHD</v>
      </c>
      <c r="C15" s="62">
        <f>株価一覧!H14</f>
        <v>170000</v>
      </c>
      <c r="D15" s="15">
        <f ca="1">OFFSET(終値履歴!A15,0,COUNTA(終値履歴!G15:'終値履歴'!XFD15)+2,1,-1)</f>
        <v>1804</v>
      </c>
      <c r="E15" s="15">
        <f ca="1">OFFSET(終値履歴!A15,0,COUNTA(終値履歴!G15:'終値履歴'!XFD15)+3,1,-1)</f>
        <v>1843</v>
      </c>
      <c r="F15" s="15">
        <f ca="1">OFFSET(終値履歴!A15,0,COUNTA(終値履歴!G15:'終値履歴'!XFD15)+4,1,-1)</f>
        <v>1808</v>
      </c>
      <c r="G15" s="15">
        <f ca="1">OFFSET(終値履歴!A15,0,COUNTA(終値履歴!G15:'終値履歴'!XFD15)+5,1,-1)</f>
        <v>1815</v>
      </c>
      <c r="I15" s="60">
        <f t="shared" ca="1" si="3"/>
        <v>3.8716814159292035E-3</v>
      </c>
      <c r="J15" s="60">
        <f t="shared" ca="1" si="4"/>
        <v>-1.5192620727075421E-2</v>
      </c>
      <c r="K15" s="60">
        <f t="shared" ca="1" si="5"/>
        <v>6.0975609756097563E-3</v>
      </c>
      <c r="M15" s="60">
        <f t="shared" ca="1" si="23"/>
        <v>-1.8990775908844276E-2</v>
      </c>
      <c r="N15" s="60">
        <f t="shared" ca="1" si="24"/>
        <v>2.2172949002217295E-3</v>
      </c>
      <c r="P15" s="57" t="str">
        <f t="shared" ca="1" si="25"/>
        <v>＋7</v>
      </c>
      <c r="Q15" s="12" t="str">
        <f t="shared" ca="1" si="6"/>
        <v>普通</v>
      </c>
      <c r="R15" s="21">
        <f ca="1">終値履歴!D15</f>
        <v>1818.8</v>
      </c>
      <c r="S15" s="107">
        <f t="shared" ca="1" si="26"/>
        <v>-2.0618556701030681E-3</v>
      </c>
      <c r="T15" s="21">
        <f ca="1">終値履歴!E15</f>
        <v>1777.4</v>
      </c>
      <c r="U15" s="107">
        <f t="shared" ca="1" si="27"/>
        <v>2.0716253443526119E-2</v>
      </c>
      <c r="W15" s="21">
        <f ca="1">終値履歴!F15</f>
        <v>1677</v>
      </c>
      <c r="X15" s="107">
        <f t="shared" ca="1" si="28"/>
        <v>7.6033057851239663E-2</v>
      </c>
    </row>
    <row r="16" spans="1:29" x14ac:dyDescent="0.25">
      <c r="B16" s="49" t="str">
        <f>IPO監視一覧!B13</f>
        <v>ファイバーゲート</v>
      </c>
      <c r="C16" s="62">
        <f>株価一覧!H15</f>
        <v>110700</v>
      </c>
      <c r="D16" s="15">
        <f ca="1">OFFSET(終値履歴!A16,0,COUNTA(終値履歴!G16:'終値履歴'!XFD16)+2,1,-1)</f>
        <v>3675</v>
      </c>
      <c r="E16" s="15">
        <f ca="1">OFFSET(終値履歴!A16,0,COUNTA(終値履歴!G16:'終値履歴'!XFD16)+3,1,-1)</f>
        <v>3500</v>
      </c>
      <c r="F16" s="15">
        <f ca="1">OFFSET(終値履歴!A16,0,COUNTA(終値履歴!G16:'終値履歴'!XFD16)+4,1,-1)</f>
        <v>3440</v>
      </c>
      <c r="G16" s="15">
        <f ca="1">OFFSET(終値履歴!A16,0,COUNTA(終値履歴!G16:'終値履歴'!XFD16)+5,1,-1)</f>
        <v>3595</v>
      </c>
      <c r="I16" s="60">
        <f t="shared" ca="1" si="3"/>
        <v>4.5058139534883718E-2</v>
      </c>
      <c r="J16" s="60">
        <f t="shared" ca="1" si="4"/>
        <v>2.7142857142857142E-2</v>
      </c>
      <c r="K16" s="60">
        <f t="shared" ca="1" si="5"/>
        <v>-2.1768707482993196E-2</v>
      </c>
      <c r="M16" s="60">
        <f t="shared" ca="1" si="23"/>
        <v>-1.7142857142857144E-2</v>
      </c>
      <c r="N16" s="60">
        <f t="shared" ca="1" si="24"/>
        <v>-6.3945578231292516E-2</v>
      </c>
      <c r="P16" s="57" t="str">
        <f t="shared" ca="1" si="25"/>
        <v>＋155</v>
      </c>
      <c r="Q16" s="12" t="str">
        <f t="shared" ca="1" si="6"/>
        <v>割高</v>
      </c>
      <c r="R16" s="21">
        <f ca="1">終値履歴!D16</f>
        <v>3545</v>
      </c>
      <c r="S16" s="107">
        <f t="shared" ca="1" si="26"/>
        <v>1.4285714285714285E-2</v>
      </c>
      <c r="T16" s="21">
        <f ca="1">終値履歴!E16</f>
        <v>3371</v>
      </c>
      <c r="U16" s="107">
        <f t="shared" ca="1" si="27"/>
        <v>6.2308762169680114E-2</v>
      </c>
      <c r="W16" s="21">
        <f ca="1">終値履歴!F16</f>
        <v>3110</v>
      </c>
      <c r="X16" s="107">
        <f t="shared" ca="1" si="28"/>
        <v>0.13490959666203059</v>
      </c>
    </row>
    <row r="17" spans="2:24" x14ac:dyDescent="0.25">
      <c r="B17" s="49" t="str">
        <f>IPO監視一覧!B14</f>
        <v>ＲＰＡHD</v>
      </c>
      <c r="C17" s="62">
        <f>株価一覧!H16</f>
        <v>15900</v>
      </c>
      <c r="D17" s="15">
        <f ca="1">OFFSET(終値履歴!A17,0,COUNTA(終値履歴!G17:'終値履歴'!XFD17)+2,1,-1)</f>
        <v>13760</v>
      </c>
      <c r="E17" s="15">
        <f ca="1">OFFSET(終値履歴!A17,0,COUNTA(終値履歴!G17:'終値履歴'!XFD17)+3,1,-1)</f>
        <v>13800</v>
      </c>
      <c r="F17" s="15">
        <f ca="1">OFFSET(終値履歴!A17,0,COUNTA(終値履歴!G17:'終値履歴'!XFD17)+4,1,-1)</f>
        <v>14250</v>
      </c>
      <c r="G17" s="15">
        <f ca="1">OFFSET(終値履歴!A17,0,COUNTA(終値履歴!G17:'終値履歴'!XFD17)+5,1,-1)</f>
        <v>14000</v>
      </c>
      <c r="I17" s="60">
        <f t="shared" ca="1" si="3"/>
        <v>-1.7543859649122806E-2</v>
      </c>
      <c r="J17" s="60">
        <f t="shared" ca="1" si="4"/>
        <v>1.4492753623188406E-2</v>
      </c>
      <c r="K17" s="60">
        <f t="shared" ca="1" si="5"/>
        <v>1.7441860465116279E-2</v>
      </c>
      <c r="M17" s="60">
        <f t="shared" ca="1" si="23"/>
        <v>3.2608695652173912E-2</v>
      </c>
      <c r="N17" s="60">
        <f t="shared" ca="1" si="24"/>
        <v>3.5610465116279071E-2</v>
      </c>
      <c r="P17" s="57">
        <f t="shared" ca="1" si="25"/>
        <v>-250</v>
      </c>
      <c r="Q17" s="12" t="str">
        <f t="shared" ca="1" si="6"/>
        <v>普通</v>
      </c>
      <c r="R17" s="21">
        <f ca="1">終値履歴!D17</f>
        <v>13976</v>
      </c>
      <c r="S17" s="107">
        <f t="shared" ca="1" si="26"/>
        <v>1.7391304347826088E-3</v>
      </c>
      <c r="T17" s="21">
        <f ca="1">終値履歴!E17</f>
        <v>14644</v>
      </c>
      <c r="U17" s="107">
        <f t="shared" ca="1" si="27"/>
        <v>-4.5999999999999999E-2</v>
      </c>
      <c r="W17" s="21">
        <f ca="1">終値履歴!F17</f>
        <v>13760</v>
      </c>
      <c r="X17" s="107">
        <f t="shared" ca="1" si="28"/>
        <v>1.7142857142857144E-2</v>
      </c>
    </row>
    <row r="18" spans="2:24" x14ac:dyDescent="0.25">
      <c r="B18" s="49" t="str">
        <f>IPO監視一覧!B15</f>
        <v>アジャイルメディア・ネットワーク</v>
      </c>
      <c r="C18" s="62">
        <f>株価一覧!H17</f>
        <v>27000</v>
      </c>
      <c r="D18" s="15">
        <f ca="1">OFFSET(終値履歴!A18,0,COUNTA(終値履歴!G18:'終値履歴'!XFD18)+2,1,-1)</f>
        <v>9630</v>
      </c>
      <c r="E18" s="15">
        <f ca="1">OFFSET(終値履歴!A18,0,COUNTA(終値履歴!G18:'終値履歴'!XFD18)+3,1,-1)</f>
        <v>9460</v>
      </c>
      <c r="F18" s="15">
        <f ca="1">OFFSET(終値履歴!A18,0,COUNTA(終値履歴!G18:'終値履歴'!XFD18)+4,1,-1)</f>
        <v>9860</v>
      </c>
      <c r="G18" s="15">
        <f ca="1">OFFSET(終値履歴!A18,0,COUNTA(終値履歴!G18:'終値履歴'!XFD18)+5,1,-1)</f>
        <v>10080</v>
      </c>
      <c r="I18" s="60">
        <f t="shared" ca="1" si="3"/>
        <v>2.231237322515213E-2</v>
      </c>
      <c r="J18" s="60">
        <f t="shared" ca="1" si="4"/>
        <v>6.5539112050739964E-2</v>
      </c>
      <c r="K18" s="60">
        <f t="shared" ca="1" si="5"/>
        <v>4.6728971962616821E-2</v>
      </c>
      <c r="M18" s="60">
        <f t="shared" ca="1" si="23"/>
        <v>4.2283298097251586E-2</v>
      </c>
      <c r="N18" s="60">
        <f t="shared" ca="1" si="24"/>
        <v>2.3883696780893044E-2</v>
      </c>
      <c r="P18" s="57" t="str">
        <f t="shared" ca="1" si="25"/>
        <v>＋220</v>
      </c>
      <c r="Q18" s="12" t="str">
        <f t="shared" ca="1" si="6"/>
        <v>割高</v>
      </c>
      <c r="R18" s="21">
        <f ca="1">終値履歴!D18</f>
        <v>9710</v>
      </c>
      <c r="S18" s="107">
        <f t="shared" ca="1" si="26"/>
        <v>3.9112050739957716E-2</v>
      </c>
      <c r="T18" s="21">
        <f ca="1">終値履歴!E18</f>
        <v>9926</v>
      </c>
      <c r="U18" s="107">
        <f t="shared" ca="1" si="27"/>
        <v>1.5277777777777777E-2</v>
      </c>
      <c r="W18" s="21">
        <f ca="1">終値履歴!F18</f>
        <v>8910</v>
      </c>
      <c r="X18" s="107">
        <f t="shared" ca="1" si="28"/>
        <v>0.11607142857142858</v>
      </c>
    </row>
    <row r="19" spans="2:24" x14ac:dyDescent="0.25">
      <c r="B19" s="49" t="str">
        <f>IPO監視一覧!B16</f>
        <v>アズ企画設計</v>
      </c>
      <c r="C19" s="62">
        <f>株価一覧!H18</f>
        <v>16000</v>
      </c>
      <c r="D19" s="15">
        <f ca="1">OFFSET(終値履歴!A19,0,COUNTA(終値履歴!G19:'終値履歴'!XFD19)+2,1,-1)</f>
        <v>3625</v>
      </c>
      <c r="E19" s="15">
        <f ca="1">OFFSET(終値履歴!A19,0,COUNTA(終値履歴!G19:'終値履歴'!XFD19)+3,1,-1)</f>
        <v>3790</v>
      </c>
      <c r="F19" s="15">
        <f ca="1">OFFSET(終値履歴!A19,0,COUNTA(終値履歴!G19:'終値履歴'!XFD19)+4,1,-1)</f>
        <v>3800</v>
      </c>
      <c r="G19" s="15">
        <f ca="1">OFFSET(終値履歴!A19,0,COUNTA(終値履歴!G19:'終値履歴'!XFD19)+5,1,-1)</f>
        <v>4120</v>
      </c>
      <c r="I19" s="60">
        <f t="shared" ca="1" si="3"/>
        <v>8.4210526315789472E-2</v>
      </c>
      <c r="J19" s="60">
        <f t="shared" ca="1" si="4"/>
        <v>8.7071240105540904E-2</v>
      </c>
      <c r="K19" s="60">
        <f t="shared" ca="1" si="5"/>
        <v>0.13655172413793104</v>
      </c>
      <c r="M19" s="60">
        <f t="shared" ca="1" si="23"/>
        <v>2.6385224274406332E-3</v>
      </c>
      <c r="N19" s="60">
        <f t="shared" ca="1" si="24"/>
        <v>4.8275862068965517E-2</v>
      </c>
      <c r="P19" s="57" t="str">
        <f t="shared" ca="1" si="25"/>
        <v>＋320</v>
      </c>
      <c r="Q19" s="12" t="str">
        <f t="shared" ca="1" si="6"/>
        <v>割高</v>
      </c>
      <c r="R19" s="21">
        <f ca="1">終値履歴!D19</f>
        <v>3832</v>
      </c>
      <c r="S19" s="107">
        <f t="shared" ca="1" si="26"/>
        <v>7.5989445910290235E-2</v>
      </c>
      <c r="T19" s="21">
        <f ca="1">終値履歴!E19</f>
        <v>3968</v>
      </c>
      <c r="U19" s="107">
        <f t="shared" ca="1" si="27"/>
        <v>3.6893203883495145E-2</v>
      </c>
      <c r="W19" s="21">
        <f ca="1">終値履歴!F19</f>
        <v>3625</v>
      </c>
      <c r="X19" s="107">
        <f t="shared" ca="1" si="28"/>
        <v>0.12014563106796117</v>
      </c>
    </row>
    <row r="20" spans="2:24" x14ac:dyDescent="0.25">
      <c r="B20" s="49" t="str">
        <f>IPO監視一覧!B17</f>
        <v>和心</v>
      </c>
      <c r="C20" s="62">
        <f>株価一覧!H19</f>
        <v>29700</v>
      </c>
      <c r="D20" s="15">
        <f ca="1">OFFSET(終値履歴!A20,0,COUNTA(終値履歴!G20:'終値履歴'!XFD20)+2,1,-1)</f>
        <v>2889</v>
      </c>
      <c r="E20" s="15">
        <f ca="1">OFFSET(終値履歴!A20,0,COUNTA(終値履歴!G20:'終値履歴'!XFD20)+3,1,-1)</f>
        <v>2935</v>
      </c>
      <c r="F20" s="15">
        <f ca="1">OFFSET(終値履歴!A20,0,COUNTA(終値履歴!G20:'終値履歴'!XFD20)+4,1,-1)</f>
        <v>3035</v>
      </c>
      <c r="G20" s="15">
        <f ca="1">OFFSET(終値履歴!A20,0,COUNTA(終値履歴!G20:'終値履歴'!XFD20)+5,1,-1)</f>
        <v>3240</v>
      </c>
      <c r="I20" s="60">
        <f t="shared" ca="1" si="3"/>
        <v>6.7545304777594725E-2</v>
      </c>
      <c r="J20" s="60">
        <f t="shared" ca="1" si="4"/>
        <v>0.10391822827938671</v>
      </c>
      <c r="K20" s="60">
        <f t="shared" ca="1" si="5"/>
        <v>0.12149532710280374</v>
      </c>
      <c r="M20" s="60">
        <f t="shared" ca="1" si="23"/>
        <v>3.4071550255536626E-2</v>
      </c>
      <c r="N20" s="60">
        <f t="shared" ca="1" si="24"/>
        <v>5.053651782623745E-2</v>
      </c>
      <c r="P20" s="57" t="str">
        <f t="shared" ca="1" si="25"/>
        <v>＋205</v>
      </c>
      <c r="Q20" s="12" t="str">
        <f t="shared" ca="1" si="6"/>
        <v>割高</v>
      </c>
      <c r="R20" s="21">
        <f ca="1">終値履歴!D20</f>
        <v>3024.8</v>
      </c>
      <c r="S20" s="107">
        <f t="shared" ca="1" si="26"/>
        <v>7.3321976149914758E-2</v>
      </c>
      <c r="T20" s="21">
        <f ca="1">終値履歴!E20</f>
        <v>2919.2666666666669</v>
      </c>
      <c r="U20" s="107">
        <f t="shared" ca="1" si="27"/>
        <v>9.899176954732504E-2</v>
      </c>
      <c r="W20" s="21">
        <f ca="1">終値履歴!F20</f>
        <v>2708</v>
      </c>
      <c r="X20" s="107">
        <f t="shared" ca="1" si="28"/>
        <v>0.16419753086419753</v>
      </c>
    </row>
    <row r="21" spans="2:24" x14ac:dyDescent="0.25">
      <c r="B21" s="49" t="str">
        <f>IPO監視一覧!B18</f>
        <v>日本リビング保証</v>
      </c>
      <c r="C21" s="62">
        <f>株価一覧!H20</f>
        <v>1100</v>
      </c>
      <c r="D21" s="15">
        <f ca="1">OFFSET(終値履歴!A21,0,COUNTA(終値履歴!G21:'終値履歴'!XFD21)+2,1,-1)</f>
        <v>3250</v>
      </c>
      <c r="E21" s="15">
        <f ca="1">OFFSET(終値履歴!A21,0,COUNTA(終値履歴!G21:'終値履歴'!XFD21)+3,1,-1)</f>
        <v>3360</v>
      </c>
      <c r="F21" s="15">
        <f ca="1">OFFSET(終値履歴!A21,0,COUNTA(終値履歴!G21:'終値履歴'!XFD21)+4,1,-1)</f>
        <v>3545</v>
      </c>
      <c r="G21" s="15">
        <f ca="1">OFFSET(終値履歴!A21,0,COUNTA(終値履歴!G21:'終値履歴'!XFD21)+5,1,-1)</f>
        <v>3575</v>
      </c>
      <c r="I21" s="60">
        <f t="shared" ca="1" si="3"/>
        <v>8.4626234132581107E-3</v>
      </c>
      <c r="J21" s="60">
        <f t="shared" ca="1" si="4"/>
        <v>6.3988095238095233E-2</v>
      </c>
      <c r="K21" s="60">
        <f t="shared" ca="1" si="5"/>
        <v>0.1</v>
      </c>
      <c r="M21" s="60">
        <f t="shared" ca="1" si="23"/>
        <v>5.5059523809523808E-2</v>
      </c>
      <c r="N21" s="60">
        <f t="shared" ca="1" si="24"/>
        <v>9.0769230769230769E-2</v>
      </c>
      <c r="P21" s="57" t="str">
        <f t="shared" ca="1" si="25"/>
        <v>＋30</v>
      </c>
      <c r="Q21" s="12" t="str">
        <f t="shared" ca="1" si="6"/>
        <v>普通</v>
      </c>
      <c r="R21" s="21">
        <f ca="1">終値履歴!D21</f>
        <v>3414</v>
      </c>
      <c r="S21" s="107">
        <f t="shared" ca="1" si="26"/>
        <v>4.791666666666667E-2</v>
      </c>
      <c r="T21" s="21">
        <f ca="1">終値履歴!E21</f>
        <v>3614</v>
      </c>
      <c r="U21" s="107">
        <f t="shared" ca="1" si="27"/>
        <v>-1.090909090909091E-2</v>
      </c>
      <c r="W21" s="21">
        <f ca="1">終値履歴!F21</f>
        <v>3250</v>
      </c>
      <c r="X21" s="107">
        <f t="shared" ca="1" si="28"/>
        <v>9.0909090909090912E-2</v>
      </c>
    </row>
    <row r="22" spans="2:24" x14ac:dyDescent="0.25">
      <c r="B22" s="49" t="str">
        <f>IPO監視一覧!B19</f>
        <v>ブティックス</v>
      </c>
      <c r="C22" s="62">
        <f>株価一覧!H21</f>
        <v>3700</v>
      </c>
      <c r="D22" s="15">
        <f ca="1">OFFSET(終値履歴!A22,0,COUNTA(終値履歴!G22:'終値履歴'!XFD22)+2,1,-1)</f>
        <v>4220</v>
      </c>
      <c r="E22" s="15">
        <f ca="1">OFFSET(終値履歴!A22,0,COUNTA(終値履歴!G22:'終値履歴'!XFD22)+3,1,-1)</f>
        <v>4205</v>
      </c>
      <c r="F22" s="15">
        <f ca="1">OFFSET(終値履歴!A22,0,COUNTA(終値履歴!G22:'終値履歴'!XFD22)+4,1,-1)</f>
        <v>4075</v>
      </c>
      <c r="G22" s="15">
        <f ca="1">OFFSET(終値履歴!A22,0,COUNTA(終値履歴!G22:'終値履歴'!XFD22)+5,1,-1)</f>
        <v>4085</v>
      </c>
      <c r="I22" s="60">
        <f t="shared" ca="1" si="3"/>
        <v>2.4539877300613498E-3</v>
      </c>
      <c r="J22" s="60">
        <f t="shared" ca="1" si="4"/>
        <v>-2.8537455410225922E-2</v>
      </c>
      <c r="K22" s="60">
        <f t="shared" ca="1" si="5"/>
        <v>-3.1990521327014215E-2</v>
      </c>
      <c r="M22" s="60">
        <f t="shared" ca="1" si="23"/>
        <v>-3.0915576694411414E-2</v>
      </c>
      <c r="N22" s="60">
        <f t="shared" ca="1" si="24"/>
        <v>-3.4360189573459717E-2</v>
      </c>
      <c r="P22" s="57" t="str">
        <f t="shared" ca="1" si="25"/>
        <v>＋10</v>
      </c>
      <c r="Q22" s="12" t="str">
        <f t="shared" ca="1" si="6"/>
        <v>割安</v>
      </c>
      <c r="R22" s="21">
        <f ca="1">終値履歴!D22</f>
        <v>4109</v>
      </c>
      <c r="S22" s="107">
        <f t="shared" ca="1" si="26"/>
        <v>-5.7074910820451843E-3</v>
      </c>
      <c r="T22" s="21">
        <f ca="1">終値履歴!E22</f>
        <v>4221.666666666667</v>
      </c>
      <c r="U22" s="107">
        <f t="shared" ca="1" si="27"/>
        <v>-3.3455732354141239E-2</v>
      </c>
      <c r="W22" s="21">
        <f ca="1">終値履歴!F22</f>
        <v>3960</v>
      </c>
      <c r="X22" s="107">
        <f t="shared" ca="1" si="28"/>
        <v>3.0599755201958383E-2</v>
      </c>
    </row>
    <row r="23" spans="2:24" x14ac:dyDescent="0.25">
      <c r="B23" s="49" t="str">
        <f>IPO監視一覧!B20</f>
        <v>ビープラッツ</v>
      </c>
      <c r="C23" s="62">
        <f>株価一覧!H22</f>
        <v>30700</v>
      </c>
      <c r="D23" s="15">
        <f ca="1">OFFSET(終値履歴!A23,0,COUNTA(終値履歴!G23:'終値履歴'!XFD23)+2,1,-1)</f>
        <v>8820</v>
      </c>
      <c r="E23" s="15">
        <f ca="1">OFFSET(終値履歴!A23,0,COUNTA(終値履歴!G23:'終値履歴'!XFD23)+3,1,-1)</f>
        <v>9470</v>
      </c>
      <c r="F23" s="15">
        <f ca="1">OFFSET(終値履歴!A23,0,COUNTA(終値履歴!G23:'終値履歴'!XFD23)+4,1,-1)</f>
        <v>10210</v>
      </c>
      <c r="G23" s="15">
        <f ca="1">OFFSET(終値履歴!A23,0,COUNTA(終値履歴!G23:'終値履歴'!XFD23)+5,1,-1)</f>
        <v>9950</v>
      </c>
      <c r="I23" s="60">
        <f t="shared" ca="1" si="3"/>
        <v>-2.5465230166503428E-2</v>
      </c>
      <c r="J23" s="60">
        <f t="shared" ca="1" si="4"/>
        <v>5.0686378035902854E-2</v>
      </c>
      <c r="K23" s="60">
        <f t="shared" ca="1" si="5"/>
        <v>0.12811791383219956</v>
      </c>
      <c r="M23" s="60">
        <f t="shared" ca="1" si="23"/>
        <v>7.8141499472016901E-2</v>
      </c>
      <c r="N23" s="60">
        <f t="shared" ca="1" si="24"/>
        <v>0.15759637188208617</v>
      </c>
      <c r="P23" s="57">
        <f t="shared" ca="1" si="25"/>
        <v>-260</v>
      </c>
      <c r="Q23" s="12" t="str">
        <f t="shared" ca="1" si="6"/>
        <v>割高</v>
      </c>
      <c r="R23" s="21">
        <f ca="1">終値履歴!D23</f>
        <v>9680</v>
      </c>
      <c r="S23" s="107">
        <f t="shared" ca="1" si="26"/>
        <v>2.8511087645195353E-2</v>
      </c>
      <c r="T23" s="21">
        <f ca="1">終値履歴!E23</f>
        <v>9046</v>
      </c>
      <c r="U23" s="107">
        <f t="shared" ca="1" si="27"/>
        <v>9.0854271356783922E-2</v>
      </c>
      <c r="W23" s="21">
        <f ca="1">終値履歴!F23</f>
        <v>7880</v>
      </c>
      <c r="X23" s="107">
        <f t="shared" ca="1" si="28"/>
        <v>0.20804020100502513</v>
      </c>
    </row>
    <row r="24" spans="2:24" x14ac:dyDescent="0.25">
      <c r="B24" s="49" t="str">
        <f>IPO監視一覧!B21</f>
        <v>ヒューマン・アソシエイツ・HD</v>
      </c>
      <c r="C24" s="62">
        <f>株価一覧!H23</f>
        <v>133600</v>
      </c>
      <c r="D24" s="15">
        <f ca="1">OFFSET(終値履歴!A24,0,COUNTA(終値履歴!G24:'終値履歴'!XFD24)+2,1,-1)</f>
        <v>2871</v>
      </c>
      <c r="E24" s="15">
        <f ca="1">OFFSET(終値履歴!A24,0,COUNTA(終値履歴!G24:'終値履歴'!XFD24)+3,1,-1)</f>
        <v>2920</v>
      </c>
      <c r="F24" s="15">
        <f ca="1">OFFSET(終値履歴!A24,0,COUNTA(終値履歴!G24:'終値履歴'!XFD24)+4,1,-1)</f>
        <v>3150</v>
      </c>
      <c r="G24" s="15">
        <f ca="1">OFFSET(終値履歴!A24,0,COUNTA(終値履歴!G24:'終値履歴'!XFD24)+5,1,-1)</f>
        <v>2976</v>
      </c>
      <c r="I24" s="60">
        <f t="shared" ca="1" si="3"/>
        <v>-5.5238095238095239E-2</v>
      </c>
      <c r="J24" s="60">
        <f t="shared" ca="1" si="4"/>
        <v>1.9178082191780823E-2</v>
      </c>
      <c r="K24" s="60">
        <f t="shared" ca="1" si="5"/>
        <v>3.657262277951933E-2</v>
      </c>
      <c r="M24" s="60">
        <f t="shared" ca="1" si="23"/>
        <v>7.8767123287671229E-2</v>
      </c>
      <c r="N24" s="60">
        <f t="shared" ca="1" si="24"/>
        <v>9.7178683385579931E-2</v>
      </c>
      <c r="P24" s="57">
        <f t="shared" ca="1" si="25"/>
        <v>-174</v>
      </c>
      <c r="Q24" s="12" t="str">
        <f t="shared" ca="1" si="6"/>
        <v>割高</v>
      </c>
      <c r="R24" s="21">
        <f ca="1">終値履歴!D24</f>
        <v>2961.2</v>
      </c>
      <c r="S24" s="107">
        <f t="shared" ca="1" si="26"/>
        <v>5.0684931506849934E-3</v>
      </c>
      <c r="T24" s="21">
        <f ca="1">終値履歴!E24</f>
        <v>2638.3333333333335</v>
      </c>
      <c r="U24" s="107">
        <f t="shared" ca="1" si="27"/>
        <v>0.11346326164874547</v>
      </c>
      <c r="W24" s="21">
        <f ca="1">終値履歴!F24</f>
        <v>2289</v>
      </c>
      <c r="X24" s="107">
        <f t="shared" ca="1" si="28"/>
        <v>0.23084677419354838</v>
      </c>
    </row>
    <row r="25" spans="2:24" x14ac:dyDescent="0.25">
      <c r="B25" s="49" t="str">
        <f>IPO監視一覧!B22</f>
        <v>コンヴァノ</v>
      </c>
      <c r="C25" s="62">
        <f>株価一覧!H24</f>
        <v>85100</v>
      </c>
      <c r="D25" s="15">
        <f ca="1">OFFSET(終値履歴!A25,0,COUNTA(終値履歴!G25:'終値履歴'!XFD25)+2,1,-1)</f>
        <v>2078</v>
      </c>
      <c r="E25" s="15">
        <f ca="1">OFFSET(終値履歴!A25,0,COUNTA(終値履歴!G25:'終値履歴'!XFD25)+3,1,-1)</f>
        <v>2138</v>
      </c>
      <c r="F25" s="15">
        <f ca="1">OFFSET(終値履歴!A25,0,COUNTA(終値履歴!G25:'終値履歴'!XFD25)+4,1,-1)</f>
        <v>2251</v>
      </c>
      <c r="G25" s="15">
        <f ca="1">OFFSET(終値履歴!A25,0,COUNTA(終値履歴!G25:'終値履歴'!XFD25)+5,1,-1)</f>
        <v>2172</v>
      </c>
      <c r="I25" s="60">
        <f t="shared" ca="1" si="3"/>
        <v>-3.5095513105286538E-2</v>
      </c>
      <c r="J25" s="60">
        <f t="shared" ca="1" si="4"/>
        <v>1.5902712815715623E-2</v>
      </c>
      <c r="K25" s="60">
        <f t="shared" ca="1" si="5"/>
        <v>4.523580365736285E-2</v>
      </c>
      <c r="M25" s="60">
        <f t="shared" ca="1" si="23"/>
        <v>5.2853133769878394E-2</v>
      </c>
      <c r="N25" s="60">
        <f t="shared" ca="1" si="24"/>
        <v>8.3253128007699712E-2</v>
      </c>
      <c r="P25" s="57">
        <f t="shared" ca="1" si="25"/>
        <v>-79</v>
      </c>
      <c r="Q25" s="12" t="str">
        <f t="shared" ca="1" si="6"/>
        <v>割高</v>
      </c>
      <c r="R25" s="21">
        <f ca="1">終値履歴!D25</f>
        <v>2168.6</v>
      </c>
      <c r="S25" s="107">
        <f t="shared" ca="1" si="26"/>
        <v>1.5902712815716047E-3</v>
      </c>
      <c r="T25" s="21">
        <f ca="1">終値履歴!E25</f>
        <v>2102.4666666666667</v>
      </c>
      <c r="U25" s="107">
        <f t="shared" ca="1" si="27"/>
        <v>3.2013505217925092E-2</v>
      </c>
      <c r="W25" s="21">
        <f ca="1">終値履歴!F25</f>
        <v>1890</v>
      </c>
      <c r="X25" s="107">
        <f t="shared" ca="1" si="28"/>
        <v>0.12983425414364641</v>
      </c>
    </row>
    <row r="26" spans="2:24" x14ac:dyDescent="0.25">
      <c r="B26" s="49" t="str">
        <f>IPO監視一覧!B23</f>
        <v>ＨＥＲＯＺ</v>
      </c>
      <c r="C26" s="62">
        <f>株価一覧!H25</f>
        <v>33400</v>
      </c>
      <c r="D26" s="15">
        <f ca="1">OFFSET(終値履歴!A26,0,COUNTA(終値履歴!G26:'終値履歴'!XFD26)+2,1,-1)</f>
        <v>21910</v>
      </c>
      <c r="E26" s="15">
        <f ca="1">OFFSET(終値履歴!A26,0,COUNTA(終値履歴!G26:'終値履歴'!XFD26)+3,1,-1)</f>
        <v>21760</v>
      </c>
      <c r="F26" s="15">
        <f ca="1">OFFSET(終値履歴!A26,0,COUNTA(終値履歴!G26:'終値履歴'!XFD26)+4,1,-1)</f>
        <v>20520</v>
      </c>
      <c r="G26" s="15">
        <f ca="1">OFFSET(終値履歴!A26,0,COUNTA(終値履歴!G26:'終値履歴'!XFD26)+5,1,-1)</f>
        <v>20410</v>
      </c>
      <c r="I26" s="60">
        <f t="shared" ca="1" si="3"/>
        <v>-5.360623781676413E-3</v>
      </c>
      <c r="J26" s="60">
        <f t="shared" ca="1" si="4"/>
        <v>-6.204044117647059E-2</v>
      </c>
      <c r="K26" s="60">
        <f t="shared" ca="1" si="5"/>
        <v>-6.8461889548151522E-2</v>
      </c>
      <c r="M26" s="60">
        <f t="shared" ref="M26:M31" ca="1" si="29">(F26-E26)/E26</f>
        <v>-5.6985294117647058E-2</v>
      </c>
      <c r="N26" s="60">
        <f t="shared" ref="N26:N31" ca="1" si="30">(F26-D26)/D26</f>
        <v>-6.3441350981287087E-2</v>
      </c>
      <c r="P26" s="57">
        <f t="shared" ref="P26:P31" ca="1" si="31">IF(G26-F26 &gt; 0,CONCATENATE("＋",G26-F26),G26-F26)</f>
        <v>-110</v>
      </c>
      <c r="Q26" s="12" t="str">
        <f t="shared" ca="1" si="6"/>
        <v>割安</v>
      </c>
      <c r="R26" s="21">
        <f ca="1">終値履歴!D26</f>
        <v>21124</v>
      </c>
      <c r="S26" s="107">
        <f t="shared" ref="S26:S31" ca="1" si="32">(G26-R26)/E26</f>
        <v>-3.2812500000000001E-2</v>
      </c>
      <c r="T26" s="21">
        <f ca="1">終値履歴!E26</f>
        <v>22240</v>
      </c>
      <c r="U26" s="107">
        <f t="shared" ref="U26:U31" ca="1" si="33">(G26-T26)/G26</f>
        <v>-8.9661930426261638E-2</v>
      </c>
      <c r="W26" s="21">
        <f ca="1">終値履歴!F26</f>
        <v>20410</v>
      </c>
      <c r="X26" s="107">
        <f t="shared" ref="X26:X31" ca="1" si="34">(G26-W26)/G26</f>
        <v>0</v>
      </c>
    </row>
    <row r="27" spans="2:24" x14ac:dyDescent="0.25">
      <c r="B27" s="49" t="str">
        <f>IPO監視一覧!B24</f>
        <v>ベストワンドットコム</v>
      </c>
      <c r="C27" s="62">
        <f>株価一覧!H26</f>
        <v>12800</v>
      </c>
      <c r="D27" s="15">
        <f ca="1">OFFSET(終値履歴!A27,0,COUNTA(終値履歴!G27:'終値履歴'!XFD27)+2,1,-1)</f>
        <v>10780</v>
      </c>
      <c r="E27" s="15">
        <f ca="1">OFFSET(終値履歴!A27,0,COUNTA(終値履歴!G27:'終値履歴'!XFD27)+3,1,-1)</f>
        <v>10560</v>
      </c>
      <c r="F27" s="15">
        <f ca="1">OFFSET(終値履歴!A27,0,COUNTA(終値履歴!G27:'終値履歴'!XFD27)+4,1,-1)</f>
        <v>12000</v>
      </c>
      <c r="G27" s="15">
        <f ca="1">OFFSET(終値履歴!A27,0,COUNTA(終値履歴!G27:'終値履歴'!XFD27)+5,1,-1)</f>
        <v>12530</v>
      </c>
      <c r="I27" s="60">
        <f t="shared" ca="1" si="3"/>
        <v>4.4166666666666667E-2</v>
      </c>
      <c r="J27" s="60">
        <f t="shared" ca="1" si="4"/>
        <v>0.1865530303030303</v>
      </c>
      <c r="K27" s="60">
        <f t="shared" ca="1" si="5"/>
        <v>0.16233766233766234</v>
      </c>
      <c r="M27" s="60">
        <f t="shared" ca="1" si="29"/>
        <v>0.13636363636363635</v>
      </c>
      <c r="N27" s="60">
        <f t="shared" ca="1" si="30"/>
        <v>0.11317254174397032</v>
      </c>
      <c r="P27" s="57" t="str">
        <f t="shared" ca="1" si="31"/>
        <v>＋530</v>
      </c>
      <c r="Q27" s="12" t="str">
        <f t="shared" ca="1" si="6"/>
        <v>割高</v>
      </c>
      <c r="R27" s="21">
        <f ca="1">終値履歴!D27</f>
        <v>11244</v>
      </c>
      <c r="S27" s="107">
        <f t="shared" ca="1" si="32"/>
        <v>0.12178030303030303</v>
      </c>
      <c r="T27" s="21">
        <f ca="1">終値履歴!E27</f>
        <v>10833.333333333334</v>
      </c>
      <c r="U27" s="107">
        <f t="shared" ca="1" si="33"/>
        <v>0.1354083532854482</v>
      </c>
      <c r="W27" s="21">
        <f ca="1">終値履歴!F27</f>
        <v>9500</v>
      </c>
      <c r="X27" s="107">
        <f t="shared" ca="1" si="34"/>
        <v>0.24181963288108541</v>
      </c>
    </row>
    <row r="28" spans="2:24" x14ac:dyDescent="0.25">
      <c r="B28" s="49" t="str">
        <f>IPO監視一覧!B25</f>
        <v>アイペット損害保険</v>
      </c>
      <c r="C28" s="62">
        <f>株価一覧!H27</f>
        <v>17200</v>
      </c>
      <c r="D28" s="15">
        <f ca="1">OFFSET(終値履歴!A28,0,COUNTA(終値履歴!G28:'終値履歴'!XFD28)+2,1,-1)</f>
        <v>3600</v>
      </c>
      <c r="E28" s="15">
        <f ca="1">OFFSET(終値履歴!A28,0,COUNTA(終値履歴!G28:'終値履歴'!XFD28)+3,1,-1)</f>
        <v>3785</v>
      </c>
      <c r="F28" s="15">
        <f ca="1">OFFSET(終値履歴!A28,0,COUNTA(終値履歴!G28:'終値履歴'!XFD28)+4,1,-1)</f>
        <v>3820</v>
      </c>
      <c r="G28" s="15">
        <f ca="1">OFFSET(終値履歴!A28,0,COUNTA(終値履歴!G28:'終値履歴'!XFD28)+5,1,-1)</f>
        <v>3815</v>
      </c>
      <c r="I28" s="60">
        <f t="shared" ca="1" si="3"/>
        <v>-1.3089005235602095E-3</v>
      </c>
      <c r="J28" s="60">
        <f t="shared" ca="1" si="4"/>
        <v>7.9260237780713338E-3</v>
      </c>
      <c r="K28" s="60">
        <f t="shared" ca="1" si="5"/>
        <v>5.9722222222222225E-2</v>
      </c>
      <c r="M28" s="60">
        <f t="shared" ca="1" si="29"/>
        <v>9.247027741083224E-3</v>
      </c>
      <c r="N28" s="60">
        <f t="shared" ca="1" si="30"/>
        <v>6.1111111111111109E-2</v>
      </c>
      <c r="P28" s="57">
        <f t="shared" ca="1" si="31"/>
        <v>-5</v>
      </c>
      <c r="Q28" s="12" t="str">
        <f t="shared" ca="1" si="6"/>
        <v>割高</v>
      </c>
      <c r="R28" s="21">
        <f ca="1">終値履歴!D28</f>
        <v>3750</v>
      </c>
      <c r="S28" s="107">
        <f t="shared" ca="1" si="32"/>
        <v>1.7173051519154558E-2</v>
      </c>
      <c r="T28" s="21">
        <f ca="1">終値履歴!E28</f>
        <v>3730.6666666666665</v>
      </c>
      <c r="U28" s="107">
        <f t="shared" ca="1" si="33"/>
        <v>2.2105723023154257E-2</v>
      </c>
      <c r="W28" s="21">
        <f ca="1">終値履歴!F28</f>
        <v>3585</v>
      </c>
      <c r="X28" s="107">
        <f t="shared" ca="1" si="34"/>
        <v>6.0288335517693317E-2</v>
      </c>
    </row>
    <row r="29" spans="2:24" x14ac:dyDescent="0.25">
      <c r="B29" s="49" t="str">
        <f>IPO監視一覧!B26</f>
        <v>エヌリンクス</v>
      </c>
      <c r="C29" s="62">
        <f>株価一覧!H28</f>
        <v>9300</v>
      </c>
      <c r="D29" s="15">
        <f ca="1">OFFSET(終値履歴!A29,0,COUNTA(終値履歴!G29:'終値履歴'!XFD29)+2,1,-1)</f>
        <v>2403</v>
      </c>
      <c r="E29" s="15">
        <f ca="1">OFFSET(終値履歴!A29,0,COUNTA(終値履歴!G29:'終値履歴'!XFD29)+3,1,-1)</f>
        <v>2459</v>
      </c>
      <c r="F29" s="15">
        <f ca="1">OFFSET(終値履歴!A29,0,COUNTA(終値履歴!G29:'終値履歴'!XFD29)+4,1,-1)</f>
        <v>2557</v>
      </c>
      <c r="G29" s="15">
        <f ca="1">OFFSET(終値履歴!A29,0,COUNTA(終値履歴!G29:'終値履歴'!XFD29)+5,1,-1)</f>
        <v>2481</v>
      </c>
      <c r="I29" s="60">
        <f t="shared" ca="1" si="3"/>
        <v>-2.9722330856472429E-2</v>
      </c>
      <c r="J29" s="60">
        <f t="shared" ca="1" si="4"/>
        <v>8.9467263115087427E-3</v>
      </c>
      <c r="K29" s="60">
        <f t="shared" ca="1" si="5"/>
        <v>3.2459425717852687E-2</v>
      </c>
      <c r="M29" s="60">
        <f t="shared" ca="1" si="29"/>
        <v>3.9853599023993491E-2</v>
      </c>
      <c r="N29" s="60">
        <f t="shared" ca="1" si="30"/>
        <v>6.408655846858094E-2</v>
      </c>
      <c r="P29" s="57">
        <f t="shared" ca="1" si="31"/>
        <v>-76</v>
      </c>
      <c r="Q29" s="12" t="str">
        <f t="shared" ca="1" si="6"/>
        <v>普通</v>
      </c>
      <c r="R29" s="21">
        <f ca="1">終値履歴!D29</f>
        <v>2469.8000000000002</v>
      </c>
      <c r="S29" s="107">
        <f t="shared" ca="1" si="32"/>
        <v>4.5546970313134682E-3</v>
      </c>
      <c r="T29" s="21">
        <f ca="1">終値履歴!E29</f>
        <v>2521.2666666666669</v>
      </c>
      <c r="U29" s="107">
        <f t="shared" ca="1" si="33"/>
        <v>-1.6230014778987053E-2</v>
      </c>
      <c r="W29" s="21">
        <f ca="1">終値履歴!F29</f>
        <v>2403</v>
      </c>
      <c r="X29" s="107">
        <f t="shared" ca="1" si="34"/>
        <v>3.143893591293833E-2</v>
      </c>
    </row>
    <row r="30" spans="2:24" x14ac:dyDescent="0.25">
      <c r="B30" s="49" t="str">
        <f>IPO監視一覧!B27</f>
        <v>ラクスル</v>
      </c>
      <c r="C30" s="62">
        <f>株価一覧!H29</f>
        <v>122900</v>
      </c>
      <c r="D30" s="15">
        <f ca="1">OFFSET(終値履歴!A30,0,COUNTA(終値履歴!G30:'終値履歴'!XFD30)+2,1,-1)</f>
        <v>2063</v>
      </c>
      <c r="E30" s="15">
        <f ca="1">OFFSET(終値履歴!A30,0,COUNTA(終値履歴!G30:'終値履歴'!XFD30)+3,1,-1)</f>
        <v>2104</v>
      </c>
      <c r="F30" s="15">
        <f ca="1">OFFSET(終値履歴!A30,0,COUNTA(終値履歴!G30:'終値履歴'!XFD30)+4,1,-1)</f>
        <v>2055</v>
      </c>
      <c r="G30" s="15">
        <f ca="1">OFFSET(終値履歴!A30,0,COUNTA(終値履歴!G30:'終値履歴'!XFD30)+5,1,-1)</f>
        <v>2073</v>
      </c>
      <c r="I30" s="60">
        <f t="shared" ca="1" si="3"/>
        <v>8.7591240875912416E-3</v>
      </c>
      <c r="J30" s="60">
        <f t="shared" ca="1" si="4"/>
        <v>-1.4733840304182509E-2</v>
      </c>
      <c r="K30" s="60">
        <f t="shared" ca="1" si="5"/>
        <v>4.8473097430925833E-3</v>
      </c>
      <c r="M30" s="60">
        <f t="shared" ca="1" si="29"/>
        <v>-2.328897338403042E-2</v>
      </c>
      <c r="N30" s="60">
        <f t="shared" ca="1" si="30"/>
        <v>-3.8778477944740671E-3</v>
      </c>
      <c r="P30" s="57" t="str">
        <f t="shared" ca="1" si="31"/>
        <v>＋18</v>
      </c>
      <c r="Q30" s="12" t="str">
        <f t="shared" ca="1" si="6"/>
        <v>集計外</v>
      </c>
      <c r="R30" s="21">
        <f ca="1">終値履歴!D30</f>
        <v>2105</v>
      </c>
      <c r="S30" s="107">
        <f t="shared" ca="1" si="32"/>
        <v>-1.5209125475285171E-2</v>
      </c>
      <c r="T30" s="21">
        <f ca="1">終値履歴!E30</f>
        <v>0</v>
      </c>
      <c r="U30" s="107">
        <f t="shared" ca="1" si="33"/>
        <v>1</v>
      </c>
      <c r="W30" s="21">
        <f ca="1">終値履歴!F30</f>
        <v>0</v>
      </c>
      <c r="X30" s="107">
        <f t="shared" ca="1" si="34"/>
        <v>1</v>
      </c>
    </row>
    <row r="31" spans="2:24" x14ac:dyDescent="0.25">
      <c r="B31" s="49" t="str">
        <f>IPO監視一覧!B28</f>
        <v>メルカリ</v>
      </c>
      <c r="C31" s="62">
        <f>株価一覧!H30</f>
        <v>0</v>
      </c>
      <c r="D31" s="15">
        <f ca="1">OFFSET(終値履歴!A31,0,COUNTA(終値履歴!G31:'終値履歴'!XFD31)+2,1,-1)</f>
        <v>0</v>
      </c>
      <c r="E31" s="15">
        <f ca="1">OFFSET(終値履歴!A31,0,COUNTA(終値履歴!G31:'終値履歴'!XFD31)+3,1,-1)</f>
        <v>0</v>
      </c>
      <c r="F31" s="15">
        <f ca="1">OFFSET(終値履歴!A31,0,COUNTA(終値履歴!G31:'終値履歴'!XFD31)+4,1,-1)</f>
        <v>0</v>
      </c>
      <c r="G31" s="15">
        <f ca="1">OFFSET(終値履歴!A31,0,COUNTA(終値履歴!G31:'終値履歴'!XFD31)+5,1,-1)</f>
        <v>0</v>
      </c>
      <c r="I31" s="60" t="str">
        <f t="shared" ca="1" si="3"/>
        <v/>
      </c>
      <c r="J31" s="60" t="str">
        <f t="shared" ca="1" si="4"/>
        <v/>
      </c>
      <c r="K31" s="60" t="str">
        <f t="shared" ca="1" si="5"/>
        <v/>
      </c>
      <c r="M31" s="60" t="e">
        <f t="shared" ca="1" si="29"/>
        <v>#DIV/0!</v>
      </c>
      <c r="N31" s="60" t="e">
        <f t="shared" ca="1" si="30"/>
        <v>#DIV/0!</v>
      </c>
      <c r="P31" s="57">
        <f t="shared" ca="1" si="31"/>
        <v>0</v>
      </c>
      <c r="Q31" s="12" t="str">
        <f t="shared" ca="1" si="6"/>
        <v>集計外</v>
      </c>
      <c r="R31" s="21">
        <f ca="1">終値履歴!D31</f>
        <v>0</v>
      </c>
      <c r="S31" s="107" t="e">
        <f t="shared" ca="1" si="32"/>
        <v>#DIV/0!</v>
      </c>
      <c r="T31" s="21">
        <f ca="1">終値履歴!E31</f>
        <v>0</v>
      </c>
      <c r="U31" s="107" t="e">
        <f t="shared" ca="1" si="33"/>
        <v>#DIV/0!</v>
      </c>
      <c r="W31" s="21">
        <f ca="1">終値履歴!F31</f>
        <v>0</v>
      </c>
      <c r="X31" s="107" t="e">
        <f t="shared" ca="1" si="34"/>
        <v>#DIV/0!</v>
      </c>
    </row>
    <row r="32" spans="2:24" x14ac:dyDescent="0.25">
      <c r="B32" s="49" t="str">
        <f>IPO監視一覧!B29</f>
        <v>ログリー</v>
      </c>
      <c r="C32" s="62">
        <f>株価一覧!H31</f>
        <v>0</v>
      </c>
      <c r="D32" s="15">
        <f ca="1">OFFSET(終値履歴!A32,0,COUNTA(終値履歴!G32:'終値履歴'!XFD32)+2,1,-1)</f>
        <v>0</v>
      </c>
      <c r="E32" s="15">
        <f ca="1">OFFSET(終値履歴!A32,0,COUNTA(終値履歴!G32:'終値履歴'!XFD32)+3,1,-1)</f>
        <v>0</v>
      </c>
      <c r="F32" s="15">
        <f ca="1">OFFSET(終値履歴!A32,0,COUNTA(終値履歴!G32:'終値履歴'!XFD32)+4,1,-1)</f>
        <v>0</v>
      </c>
      <c r="G32" s="15">
        <f ca="1">OFFSET(終値履歴!A32,0,COUNTA(終値履歴!G32:'終値履歴'!XFD32)+5,1,-1)</f>
        <v>0</v>
      </c>
      <c r="I32" s="60" t="str">
        <f t="shared" ca="1" si="3"/>
        <v/>
      </c>
      <c r="J32" s="60" t="str">
        <f t="shared" ca="1" si="4"/>
        <v/>
      </c>
      <c r="K32" s="60" t="str">
        <f t="shared" ca="1" si="5"/>
        <v/>
      </c>
      <c r="M32" s="60" t="e">
        <f t="shared" ref="M32:M40" ca="1" si="35">(F32-E32)/E32</f>
        <v>#DIV/0!</v>
      </c>
      <c r="N32" s="60" t="e">
        <f t="shared" ref="N32:N40" ca="1" si="36">(F32-D32)/D32</f>
        <v>#DIV/0!</v>
      </c>
      <c r="P32" s="57">
        <f t="shared" ref="P32:P40" ca="1" si="37">IF(G32-F32 &gt; 0,CONCATENATE("＋",G32-F32),G32-F32)</f>
        <v>0</v>
      </c>
      <c r="Q32" s="12" t="str">
        <f t="shared" ca="1" si="6"/>
        <v>集計外</v>
      </c>
      <c r="R32" s="21">
        <f ca="1">終値履歴!D32</f>
        <v>0</v>
      </c>
      <c r="S32" s="107" t="e">
        <f t="shared" ref="S32:S40" ca="1" si="38">(G32-R32)/E32</f>
        <v>#DIV/0!</v>
      </c>
      <c r="T32" s="21">
        <f ca="1">終値履歴!E32</f>
        <v>0</v>
      </c>
      <c r="U32" s="107" t="e">
        <f t="shared" ref="U32:U40" ca="1" si="39">(G32-T32)/G32</f>
        <v>#DIV/0!</v>
      </c>
      <c r="W32" s="21">
        <f ca="1">終値履歴!F32</f>
        <v>0</v>
      </c>
      <c r="X32" s="107" t="e">
        <f t="shared" ref="X32:X40" ca="1" si="40">(G32-W32)/G32</f>
        <v>#DIV/0!</v>
      </c>
    </row>
    <row r="33" spans="2:24" x14ac:dyDescent="0.25">
      <c r="B33" s="49" t="str">
        <f>IPO監視一覧!B30</f>
        <v>ＳＩＧ</v>
      </c>
      <c r="C33" s="62">
        <f>株価一覧!H32</f>
        <v>0</v>
      </c>
      <c r="D33" s="15">
        <f ca="1">OFFSET(終値履歴!A33,0,COUNTA(終値履歴!G33:'終値履歴'!XFD33)+2,1,-1)</f>
        <v>0</v>
      </c>
      <c r="E33" s="15">
        <f ca="1">OFFSET(終値履歴!A33,0,COUNTA(終値履歴!G33:'終値履歴'!XFD33)+3,1,-1)</f>
        <v>0</v>
      </c>
      <c r="F33" s="15">
        <f ca="1">OFFSET(終値履歴!A33,0,COUNTA(終値履歴!G33:'終値履歴'!XFD33)+4,1,-1)</f>
        <v>0</v>
      </c>
      <c r="G33" s="15">
        <f ca="1">OFFSET(終値履歴!A33,0,COUNTA(終値履歴!G33:'終値履歴'!XFD33)+5,1,-1)</f>
        <v>0</v>
      </c>
      <c r="I33" s="60" t="str">
        <f t="shared" ca="1" si="3"/>
        <v/>
      </c>
      <c r="J33" s="60" t="str">
        <f t="shared" ca="1" si="4"/>
        <v/>
      </c>
      <c r="K33" s="60" t="str">
        <f t="shared" ca="1" si="5"/>
        <v/>
      </c>
      <c r="M33" s="60" t="e">
        <f t="shared" ca="1" si="35"/>
        <v>#DIV/0!</v>
      </c>
      <c r="N33" s="60" t="e">
        <f t="shared" ca="1" si="36"/>
        <v>#DIV/0!</v>
      </c>
      <c r="P33" s="57">
        <f t="shared" ca="1" si="37"/>
        <v>0</v>
      </c>
      <c r="Q33" s="12" t="str">
        <f t="shared" ca="1" si="6"/>
        <v>集計外</v>
      </c>
      <c r="R33" s="21">
        <f ca="1">終値履歴!D33</f>
        <v>0</v>
      </c>
      <c r="S33" s="107" t="e">
        <f t="shared" ca="1" si="38"/>
        <v>#DIV/0!</v>
      </c>
      <c r="T33" s="21">
        <f ca="1">終値履歴!E33</f>
        <v>0</v>
      </c>
      <c r="U33" s="107" t="e">
        <f t="shared" ca="1" si="39"/>
        <v>#DIV/0!</v>
      </c>
      <c r="W33" s="21">
        <f ca="1">終値履歴!F33</f>
        <v>0</v>
      </c>
      <c r="X33" s="107" t="e">
        <f t="shared" ca="1" si="40"/>
        <v>#DIV/0!</v>
      </c>
    </row>
    <row r="34" spans="2:24" x14ac:dyDescent="0.25">
      <c r="B34" s="49" t="str">
        <f>IPO監視一覧!B31</f>
        <v>コーア商事HD</v>
      </c>
      <c r="C34" s="62">
        <f>株価一覧!H33</f>
        <v>0</v>
      </c>
      <c r="D34" s="15">
        <f ca="1">OFFSET(終値履歴!A34,0,COUNTA(終値履歴!G34:'終値履歴'!XFD34)+2,1,-1)</f>
        <v>0</v>
      </c>
      <c r="E34" s="15">
        <f ca="1">OFFSET(終値履歴!A34,0,COUNTA(終値履歴!G34:'終値履歴'!XFD34)+3,1,-1)</f>
        <v>0</v>
      </c>
      <c r="F34" s="15">
        <f ca="1">OFFSET(終値履歴!A34,0,COUNTA(終値履歴!G34:'終値履歴'!XFD34)+4,1,-1)</f>
        <v>0</v>
      </c>
      <c r="G34" s="15">
        <f ca="1">OFFSET(終値履歴!A34,0,COUNTA(終値履歴!G34:'終値履歴'!XFD34)+5,1,-1)</f>
        <v>0</v>
      </c>
      <c r="I34" s="60" t="str">
        <f t="shared" ca="1" si="3"/>
        <v/>
      </c>
      <c r="J34" s="60" t="str">
        <f t="shared" ca="1" si="4"/>
        <v/>
      </c>
      <c r="K34" s="60" t="str">
        <f t="shared" ca="1" si="5"/>
        <v/>
      </c>
      <c r="M34" s="60" t="e">
        <f t="shared" ca="1" si="35"/>
        <v>#DIV/0!</v>
      </c>
      <c r="N34" s="60" t="e">
        <f t="shared" ca="1" si="36"/>
        <v>#DIV/0!</v>
      </c>
      <c r="P34" s="57">
        <f t="shared" ca="1" si="37"/>
        <v>0</v>
      </c>
      <c r="Q34" s="12" t="str">
        <f t="shared" ca="1" si="6"/>
        <v>集計外</v>
      </c>
      <c r="R34" s="21">
        <f ca="1">終値履歴!D34</f>
        <v>0</v>
      </c>
      <c r="S34" s="107" t="e">
        <f t="shared" ca="1" si="38"/>
        <v>#DIV/0!</v>
      </c>
      <c r="T34" s="21">
        <f ca="1">終値履歴!E34</f>
        <v>0</v>
      </c>
      <c r="U34" s="107" t="e">
        <f t="shared" ca="1" si="39"/>
        <v>#DIV/0!</v>
      </c>
      <c r="W34" s="21">
        <f ca="1">終値履歴!F34</f>
        <v>0</v>
      </c>
      <c r="X34" s="107" t="e">
        <f t="shared" ca="1" si="40"/>
        <v>#DIV/0!</v>
      </c>
    </row>
    <row r="35" spans="2:24" x14ac:dyDescent="0.25">
      <c r="B35" s="49" t="str">
        <f>IPO監視一覧!B32</f>
        <v>ZUU</v>
      </c>
      <c r="C35" s="62">
        <f>株価一覧!H34</f>
        <v>0</v>
      </c>
      <c r="D35" s="15">
        <f ca="1">OFFSET(終値履歴!A35,0,COUNTA(終値履歴!G35:'終値履歴'!XFD35)+2,1,-1)</f>
        <v>0</v>
      </c>
      <c r="E35" s="15">
        <f ca="1">OFFSET(終値履歴!A35,0,COUNTA(終値履歴!G35:'終値履歴'!XFD35)+3,1,-1)</f>
        <v>0</v>
      </c>
      <c r="F35" s="15">
        <f ca="1">OFFSET(終値履歴!A35,0,COUNTA(終値履歴!G35:'終値履歴'!XFD35)+4,1,-1)</f>
        <v>0</v>
      </c>
      <c r="G35" s="15">
        <f ca="1">OFFSET(終値履歴!A35,0,COUNTA(終値履歴!G35:'終値履歴'!XFD35)+5,1,-1)</f>
        <v>0</v>
      </c>
      <c r="I35" s="60" t="str">
        <f t="shared" ca="1" si="3"/>
        <v/>
      </c>
      <c r="J35" s="60" t="str">
        <f t="shared" ca="1" si="4"/>
        <v/>
      </c>
      <c r="K35" s="60" t="str">
        <f t="shared" ca="1" si="5"/>
        <v/>
      </c>
      <c r="M35" s="60" t="e">
        <f t="shared" ca="1" si="35"/>
        <v>#DIV/0!</v>
      </c>
      <c r="N35" s="60" t="e">
        <f t="shared" ca="1" si="36"/>
        <v>#DIV/0!</v>
      </c>
      <c r="P35" s="57">
        <f t="shared" ca="1" si="37"/>
        <v>0</v>
      </c>
      <c r="Q35" s="12" t="str">
        <f t="shared" ca="1" si="6"/>
        <v>集計外</v>
      </c>
      <c r="R35" s="21">
        <f ca="1">終値履歴!D35</f>
        <v>0</v>
      </c>
      <c r="S35" s="107" t="e">
        <f t="shared" ca="1" si="38"/>
        <v>#DIV/0!</v>
      </c>
      <c r="T35" s="21">
        <f ca="1">終値履歴!E35</f>
        <v>0</v>
      </c>
      <c r="U35" s="107" t="e">
        <f t="shared" ca="1" si="39"/>
        <v>#DIV/0!</v>
      </c>
      <c r="W35" s="21">
        <f ca="1">終値履歴!F35</f>
        <v>0</v>
      </c>
      <c r="X35" s="107" t="e">
        <f t="shared" ca="1" si="40"/>
        <v>#DIV/0!</v>
      </c>
    </row>
    <row r="36" spans="2:24" x14ac:dyDescent="0.25">
      <c r="B36" s="49" t="str">
        <f>IPO監視一覧!B33</f>
        <v>ライトアップ</v>
      </c>
      <c r="C36" s="62">
        <f>株価一覧!H35</f>
        <v>0</v>
      </c>
      <c r="D36" s="15">
        <f ca="1">OFFSET(終値履歴!A36,0,COUNTA(終値履歴!G36:'終値履歴'!XFD36)+2,1,-1)</f>
        <v>0</v>
      </c>
      <c r="E36" s="15">
        <f ca="1">OFFSET(終値履歴!A36,0,COUNTA(終値履歴!G36:'終値履歴'!XFD36)+3,1,-1)</f>
        <v>0</v>
      </c>
      <c r="F36" s="15">
        <f ca="1">OFFSET(終値履歴!A36,0,COUNTA(終値履歴!G36:'終値履歴'!XFD36)+4,1,-1)</f>
        <v>0</v>
      </c>
      <c r="G36" s="15">
        <f ca="1">OFFSET(終値履歴!A36,0,COUNTA(終値履歴!G36:'終値履歴'!XFD36)+5,1,-1)</f>
        <v>0</v>
      </c>
      <c r="I36" s="60" t="str">
        <f t="shared" ca="1" si="3"/>
        <v/>
      </c>
      <c r="J36" s="60" t="str">
        <f t="shared" ca="1" si="4"/>
        <v/>
      </c>
      <c r="K36" s="60" t="str">
        <f t="shared" ca="1" si="5"/>
        <v/>
      </c>
      <c r="M36" s="60" t="e">
        <f t="shared" ca="1" si="35"/>
        <v>#DIV/0!</v>
      </c>
      <c r="N36" s="60" t="e">
        <f t="shared" ca="1" si="36"/>
        <v>#DIV/0!</v>
      </c>
      <c r="P36" s="57">
        <f t="shared" ca="1" si="37"/>
        <v>0</v>
      </c>
      <c r="Q36" s="12" t="str">
        <f t="shared" ca="1" si="6"/>
        <v>集計外</v>
      </c>
      <c r="R36" s="21">
        <f ca="1">終値履歴!D36</f>
        <v>0</v>
      </c>
      <c r="S36" s="107" t="e">
        <f t="shared" ca="1" si="38"/>
        <v>#DIV/0!</v>
      </c>
      <c r="T36" s="21">
        <f ca="1">終値履歴!E36</f>
        <v>0</v>
      </c>
      <c r="U36" s="107" t="e">
        <f t="shared" ca="1" si="39"/>
        <v>#DIV/0!</v>
      </c>
      <c r="W36" s="21">
        <f ca="1">終値履歴!F36</f>
        <v>0</v>
      </c>
      <c r="X36" s="107" t="e">
        <f t="shared" ca="1" si="40"/>
        <v>#DIV/0!</v>
      </c>
    </row>
    <row r="37" spans="2:24" x14ac:dyDescent="0.25">
      <c r="B37" s="49" t="str">
        <f>IPO監視一覧!B34</f>
        <v>国際紙パルプ商事</v>
      </c>
      <c r="C37" s="62">
        <f>株価一覧!H36</f>
        <v>0</v>
      </c>
      <c r="D37" s="15">
        <f ca="1">OFFSET(終値履歴!A37,0,COUNTA(終値履歴!G37:'終値履歴'!XFD37)+2,1,-1)</f>
        <v>0</v>
      </c>
      <c r="E37" s="15">
        <f ca="1">OFFSET(終値履歴!A37,0,COUNTA(終値履歴!G37:'終値履歴'!XFD37)+3,1,-1)</f>
        <v>0</v>
      </c>
      <c r="F37" s="15">
        <f ca="1">OFFSET(終値履歴!A37,0,COUNTA(終値履歴!G37:'終値履歴'!XFD37)+4,1,-1)</f>
        <v>0</v>
      </c>
      <c r="G37" s="15">
        <f ca="1">OFFSET(終値履歴!A37,0,COUNTA(終値履歴!G37:'終値履歴'!XFD37)+5,1,-1)</f>
        <v>0</v>
      </c>
      <c r="I37" s="60" t="str">
        <f t="shared" ca="1" si="3"/>
        <v/>
      </c>
      <c r="J37" s="60" t="str">
        <f t="shared" ca="1" si="4"/>
        <v/>
      </c>
      <c r="K37" s="60" t="str">
        <f t="shared" ca="1" si="5"/>
        <v/>
      </c>
      <c r="M37" s="60" t="e">
        <f t="shared" ca="1" si="35"/>
        <v>#DIV/0!</v>
      </c>
      <c r="N37" s="60" t="e">
        <f t="shared" ca="1" si="36"/>
        <v>#DIV/0!</v>
      </c>
      <c r="P37" s="57">
        <f t="shared" ca="1" si="37"/>
        <v>0</v>
      </c>
      <c r="Q37" s="12" t="str">
        <f t="shared" ca="1" si="6"/>
        <v>集計外</v>
      </c>
      <c r="R37" s="21">
        <f ca="1">終値履歴!D37</f>
        <v>0</v>
      </c>
      <c r="S37" s="107" t="e">
        <f t="shared" ca="1" si="38"/>
        <v>#DIV/0!</v>
      </c>
      <c r="T37" s="21">
        <f ca="1">終値履歴!E37</f>
        <v>0</v>
      </c>
      <c r="U37" s="107" t="e">
        <f t="shared" ca="1" si="39"/>
        <v>#DIV/0!</v>
      </c>
      <c r="W37" s="21">
        <f ca="1">終値履歴!F37</f>
        <v>0</v>
      </c>
      <c r="X37" s="107" t="e">
        <f t="shared" ca="1" si="40"/>
        <v>#DIV/0!</v>
      </c>
    </row>
    <row r="38" spans="2:24" x14ac:dyDescent="0.25">
      <c r="B38" s="49" t="str">
        <f>IPO監視一覧!B35</f>
        <v>エーアイ</v>
      </c>
      <c r="C38" s="62">
        <f>株価一覧!H37</f>
        <v>0</v>
      </c>
      <c r="D38" s="15">
        <f ca="1">OFFSET(終値履歴!A38,0,COUNTA(終値履歴!G38:'終値履歴'!XFD38)+2,1,-1)</f>
        <v>0</v>
      </c>
      <c r="E38" s="15">
        <f ca="1">OFFSET(終値履歴!A38,0,COUNTA(終値履歴!G38:'終値履歴'!XFD38)+3,1,-1)</f>
        <v>0</v>
      </c>
      <c r="F38" s="15">
        <f ca="1">OFFSET(終値履歴!A38,0,COUNTA(終値履歴!G38:'終値履歴'!XFD38)+4,1,-1)</f>
        <v>0</v>
      </c>
      <c r="G38" s="15">
        <f ca="1">OFFSET(終値履歴!A38,0,COUNTA(終値履歴!G38:'終値履歴'!XFD38)+5,1,-1)</f>
        <v>0</v>
      </c>
      <c r="I38" s="60" t="str">
        <f t="shared" ca="1" si="3"/>
        <v/>
      </c>
      <c r="J38" s="60" t="str">
        <f t="shared" ca="1" si="4"/>
        <v/>
      </c>
      <c r="K38" s="60" t="str">
        <f t="shared" ca="1" si="5"/>
        <v/>
      </c>
      <c r="M38" s="60" t="e">
        <f t="shared" ca="1" si="35"/>
        <v>#DIV/0!</v>
      </c>
      <c r="N38" s="60" t="e">
        <f t="shared" ca="1" si="36"/>
        <v>#DIV/0!</v>
      </c>
      <c r="P38" s="57">
        <f t="shared" ca="1" si="37"/>
        <v>0</v>
      </c>
      <c r="Q38" s="12" t="str">
        <f t="shared" ca="1" si="6"/>
        <v>集計外</v>
      </c>
      <c r="R38" s="21">
        <f ca="1">終値履歴!D38</f>
        <v>0</v>
      </c>
      <c r="S38" s="107" t="e">
        <f t="shared" ca="1" si="38"/>
        <v>#DIV/0!</v>
      </c>
      <c r="T38" s="21">
        <f ca="1">終値履歴!E38</f>
        <v>0</v>
      </c>
      <c r="U38" s="107" t="e">
        <f t="shared" ca="1" si="39"/>
        <v>#DIV/0!</v>
      </c>
      <c r="W38" s="21">
        <f ca="1">終値履歴!F38</f>
        <v>0</v>
      </c>
      <c r="X38" s="107" t="e">
        <f t="shared" ca="1" si="40"/>
        <v>#DIV/0!</v>
      </c>
    </row>
    <row r="39" spans="2:24" x14ac:dyDescent="0.25">
      <c r="B39" s="49" t="str">
        <f>IPO監視一覧!B36</f>
        <v>プロパティデータバンク</v>
      </c>
      <c r="C39" s="62">
        <f>株価一覧!H38</f>
        <v>0</v>
      </c>
      <c r="D39" s="15">
        <f ca="1">OFFSET(終値履歴!A39,0,COUNTA(終値履歴!G39:'終値履歴'!XFD39)+2,1,-1)</f>
        <v>0</v>
      </c>
      <c r="E39" s="15">
        <f ca="1">OFFSET(終値履歴!A39,0,COUNTA(終値履歴!G39:'終値履歴'!XFD39)+3,1,-1)</f>
        <v>0</v>
      </c>
      <c r="F39" s="15">
        <f ca="1">OFFSET(終値履歴!A39,0,COUNTA(終値履歴!G39:'終値履歴'!XFD39)+4,1,-1)</f>
        <v>0</v>
      </c>
      <c r="G39" s="15">
        <f ca="1">OFFSET(終値履歴!A39,0,COUNTA(終値履歴!G39:'終値履歴'!XFD39)+5,1,-1)</f>
        <v>0</v>
      </c>
      <c r="I39" s="60" t="str">
        <f t="shared" ca="1" si="3"/>
        <v/>
      </c>
      <c r="J39" s="60" t="str">
        <f t="shared" ca="1" si="4"/>
        <v/>
      </c>
      <c r="K39" s="60" t="str">
        <f t="shared" ca="1" si="5"/>
        <v/>
      </c>
      <c r="M39" s="60" t="e">
        <f t="shared" ca="1" si="35"/>
        <v>#DIV/0!</v>
      </c>
      <c r="N39" s="60" t="e">
        <f t="shared" ca="1" si="36"/>
        <v>#DIV/0!</v>
      </c>
      <c r="P39" s="57">
        <f t="shared" ca="1" si="37"/>
        <v>0</v>
      </c>
      <c r="Q39" s="12" t="str">
        <f t="shared" ca="1" si="6"/>
        <v>集計外</v>
      </c>
      <c r="R39" s="21">
        <f ca="1">終値履歴!D39</f>
        <v>0</v>
      </c>
      <c r="S39" s="107" t="e">
        <f t="shared" ca="1" si="38"/>
        <v>#DIV/0!</v>
      </c>
      <c r="T39" s="21">
        <f ca="1">終値履歴!E39</f>
        <v>0</v>
      </c>
      <c r="U39" s="107" t="e">
        <f t="shared" ca="1" si="39"/>
        <v>#DIV/0!</v>
      </c>
      <c r="W39" s="21">
        <f ca="1">終値履歴!F39</f>
        <v>0</v>
      </c>
      <c r="X39" s="107" t="e">
        <f t="shared" ca="1" si="40"/>
        <v>#DIV/0!</v>
      </c>
    </row>
    <row r="40" spans="2:24" x14ac:dyDescent="0.25">
      <c r="B40" s="49" t="str">
        <f>IPO監視一覧!B37</f>
        <v>IPS</v>
      </c>
      <c r="C40" s="62">
        <f>株価一覧!H39</f>
        <v>0</v>
      </c>
      <c r="D40" s="15">
        <f ca="1">OFFSET(終値履歴!A40,0,COUNTA(終値履歴!G40:'終値履歴'!XFD40)+2,1,-1)</f>
        <v>0</v>
      </c>
      <c r="E40" s="15">
        <f ca="1">OFFSET(終値履歴!A40,0,COUNTA(終値履歴!G40:'終値履歴'!XFD40)+3,1,-1)</f>
        <v>0</v>
      </c>
      <c r="F40" s="15">
        <f ca="1">OFFSET(終値履歴!A40,0,COUNTA(終値履歴!G40:'終値履歴'!XFD40)+4,1,-1)</f>
        <v>0</v>
      </c>
      <c r="G40" s="15">
        <f ca="1">OFFSET(終値履歴!A40,0,COUNTA(終値履歴!G40:'終値履歴'!XFD40)+5,1,-1)</f>
        <v>0</v>
      </c>
      <c r="I40" s="60" t="str">
        <f t="shared" ca="1" si="3"/>
        <v/>
      </c>
      <c r="J40" s="60" t="str">
        <f t="shared" ca="1" si="4"/>
        <v/>
      </c>
      <c r="K40" s="60" t="str">
        <f t="shared" ca="1" si="5"/>
        <v/>
      </c>
      <c r="M40" s="60" t="e">
        <f t="shared" ca="1" si="35"/>
        <v>#DIV/0!</v>
      </c>
      <c r="N40" s="60" t="e">
        <f t="shared" ca="1" si="36"/>
        <v>#DIV/0!</v>
      </c>
      <c r="P40" s="57">
        <f t="shared" ca="1" si="37"/>
        <v>0</v>
      </c>
      <c r="Q40" s="12" t="str">
        <f t="shared" ca="1" si="6"/>
        <v>集計外</v>
      </c>
      <c r="R40" s="21">
        <f ca="1">終値履歴!D40</f>
        <v>0</v>
      </c>
      <c r="S40" s="107" t="e">
        <f t="shared" ca="1" si="38"/>
        <v>#DIV/0!</v>
      </c>
      <c r="T40" s="21">
        <f ca="1">終値履歴!E40</f>
        <v>0</v>
      </c>
      <c r="U40" s="107" t="e">
        <f t="shared" ca="1" si="39"/>
        <v>#DIV/0!</v>
      </c>
      <c r="W40" s="21">
        <f ca="1">終値履歴!F40</f>
        <v>0</v>
      </c>
      <c r="X40" s="107" t="e">
        <f t="shared" ca="1" si="40"/>
        <v>#DIV/0!</v>
      </c>
    </row>
    <row r="41" spans="2:24" x14ac:dyDescent="0.25">
      <c r="B41" s="49" t="str">
        <f>IPO監視一覧!B38</f>
        <v>インバウンドテック</v>
      </c>
      <c r="C41" s="62">
        <f>株価一覧!H40</f>
        <v>0</v>
      </c>
      <c r="D41" s="15">
        <f ca="1">OFFSET(終値履歴!A41,0,COUNTA(終値履歴!G41:'終値履歴'!XFD41)+2,1,-1)</f>
        <v>0</v>
      </c>
      <c r="E41" s="15">
        <f ca="1">OFFSET(終値履歴!A41,0,COUNTA(終値履歴!G41:'終値履歴'!XFD41)+3,1,-1)</f>
        <v>0</v>
      </c>
      <c r="F41" s="15">
        <f ca="1">OFFSET(終値履歴!A41,0,COUNTA(終値履歴!G41:'終値履歴'!XFD41)+4,1,-1)</f>
        <v>0</v>
      </c>
      <c r="G41" s="15">
        <f ca="1">OFFSET(終値履歴!A41,0,COUNTA(終値履歴!G41:'終値履歴'!XFD41)+5,1,-1)</f>
        <v>0</v>
      </c>
      <c r="I41" s="60" t="str">
        <f t="shared" ref="I41:I43" ca="1" si="41">IF(ISERROR((G41-F41)/F41),"",(G41-F41)/F41)</f>
        <v/>
      </c>
      <c r="J41" s="60" t="str">
        <f t="shared" ref="J41:J43" ca="1" si="42">IF(ISERROR((G41-E41)/E41),"",(G41-E41)/E41)</f>
        <v/>
      </c>
      <c r="K41" s="60" t="str">
        <f t="shared" ref="K41:K43" ca="1" si="43">IF(ISERROR((G41-D41)/D41),"",(G41-D41)/D41)</f>
        <v/>
      </c>
      <c r="M41" s="60" t="e">
        <f t="shared" ref="M41:M43" ca="1" si="44">(F41-E41)/E41</f>
        <v>#DIV/0!</v>
      </c>
      <c r="N41" s="60" t="e">
        <f t="shared" ref="N41:N43" ca="1" si="45">(F41-D41)/D41</f>
        <v>#DIV/0!</v>
      </c>
      <c r="P41" s="57">
        <f t="shared" ref="P41:P43" ca="1" si="46">IF(G41-F41 &gt; 0,CONCATENATE("＋",G41-F41),G41-F41)</f>
        <v>0</v>
      </c>
      <c r="Q41" s="12" t="str">
        <f t="shared" ref="Q41:Q43" ca="1" si="47">IF(T41=0,"集計外",IF(AND(G41&lt;=T41,G41&lt;=R41),"割安",IF(AND(G41&gt;T41,G41&lt;=R41),"普通",IF(AND(G41&lt;=T41,G41&gt;R41),"普通","割高"))))</f>
        <v>集計外</v>
      </c>
      <c r="R41" s="21">
        <f ca="1">終値履歴!D41</f>
        <v>0</v>
      </c>
      <c r="S41" s="107" t="e">
        <f t="shared" ref="S41:S43" ca="1" si="48">(G41-R41)/E41</f>
        <v>#DIV/0!</v>
      </c>
      <c r="T41" s="21">
        <f ca="1">終値履歴!E41</f>
        <v>0</v>
      </c>
      <c r="U41" s="107" t="e">
        <f t="shared" ref="U41:U43" ca="1" si="49">(G41-T41)/G41</f>
        <v>#DIV/0!</v>
      </c>
      <c r="W41" s="21">
        <f ca="1">終値履歴!F41</f>
        <v>0</v>
      </c>
      <c r="X41" s="107" t="e">
        <f t="shared" ref="X41:X43" ca="1" si="50">(G41-W41)/G41</f>
        <v>#DIV/0!</v>
      </c>
    </row>
    <row r="42" spans="2:24" x14ac:dyDescent="0.25">
      <c r="B42" s="49" t="str">
        <f>IPO監視一覧!B39</f>
        <v>スプリックス</v>
      </c>
      <c r="C42" s="62">
        <f>株価一覧!H42</f>
        <v>0</v>
      </c>
      <c r="D42" s="15">
        <f ca="1">OFFSET(終値履歴!A42,0,COUNTA(終値履歴!G42:'終値履歴'!XFD42)+2,1,-1)</f>
        <v>0</v>
      </c>
      <c r="E42" s="15">
        <f ca="1">OFFSET(終値履歴!A42,0,COUNTA(終値履歴!G42:'終値履歴'!XFD42)+3,1,-1)</f>
        <v>0</v>
      </c>
      <c r="F42" s="15">
        <f ca="1">OFFSET(終値履歴!A42,0,COUNTA(終値履歴!G42:'終値履歴'!XFD42)+4,1,-1)</f>
        <v>0</v>
      </c>
      <c r="G42" s="15">
        <f ca="1">OFFSET(終値履歴!A42,0,COUNTA(終値履歴!G42:'終値履歴'!XFD42)+5,1,-1)</f>
        <v>0</v>
      </c>
      <c r="I42" s="60" t="str">
        <f t="shared" ca="1" si="41"/>
        <v/>
      </c>
      <c r="J42" s="60" t="str">
        <f t="shared" ca="1" si="42"/>
        <v/>
      </c>
      <c r="K42" s="60" t="str">
        <f t="shared" ca="1" si="43"/>
        <v/>
      </c>
      <c r="M42" s="60" t="e">
        <f t="shared" ca="1" si="44"/>
        <v>#DIV/0!</v>
      </c>
      <c r="N42" s="60" t="e">
        <f t="shared" ca="1" si="45"/>
        <v>#DIV/0!</v>
      </c>
      <c r="P42" s="57">
        <f t="shared" ca="1" si="46"/>
        <v>0</v>
      </c>
      <c r="Q42" s="12" t="str">
        <f t="shared" ca="1" si="47"/>
        <v>集計外</v>
      </c>
      <c r="R42" s="21">
        <f ca="1">終値履歴!D42</f>
        <v>0</v>
      </c>
      <c r="S42" s="107" t="e">
        <f t="shared" ca="1" si="48"/>
        <v>#DIV/0!</v>
      </c>
      <c r="T42" s="21">
        <f ca="1">終値履歴!E42</f>
        <v>0</v>
      </c>
      <c r="U42" s="107" t="e">
        <f t="shared" ca="1" si="49"/>
        <v>#DIV/0!</v>
      </c>
      <c r="W42" s="21">
        <f ca="1">終値履歴!F42</f>
        <v>0</v>
      </c>
      <c r="X42" s="107" t="e">
        <f t="shared" ca="1" si="50"/>
        <v>#DIV/0!</v>
      </c>
    </row>
    <row r="43" spans="2:24" x14ac:dyDescent="0.25">
      <c r="B43" s="49" t="str">
        <f>IPO監視一覧!B40</f>
        <v>ロジザード</v>
      </c>
      <c r="C43" s="62">
        <f>株価一覧!H43</f>
        <v>0</v>
      </c>
      <c r="D43" s="15">
        <f ca="1">OFFSET(終値履歴!A43,0,COUNTA(終値履歴!G43:'終値履歴'!XFD43)+2,1,-1)</f>
        <v>0</v>
      </c>
      <c r="E43" s="15">
        <f ca="1">OFFSET(終値履歴!A43,0,COUNTA(終値履歴!G43:'終値履歴'!XFD43)+3,1,-1)</f>
        <v>0</v>
      </c>
      <c r="F43" s="15">
        <f ca="1">OFFSET(終値履歴!A43,0,COUNTA(終値履歴!G43:'終値履歴'!XFD43)+4,1,-1)</f>
        <v>0</v>
      </c>
      <c r="G43" s="15">
        <f ca="1">OFFSET(終値履歴!A43,0,COUNTA(終値履歴!G43:'終値履歴'!XFD43)+5,1,-1)</f>
        <v>0</v>
      </c>
      <c r="I43" s="60" t="str">
        <f t="shared" ca="1" si="41"/>
        <v/>
      </c>
      <c r="J43" s="60" t="str">
        <f t="shared" ca="1" si="42"/>
        <v/>
      </c>
      <c r="K43" s="60" t="str">
        <f t="shared" ca="1" si="43"/>
        <v/>
      </c>
      <c r="M43" s="60" t="e">
        <f t="shared" ca="1" si="44"/>
        <v>#DIV/0!</v>
      </c>
      <c r="N43" s="60" t="e">
        <f t="shared" ca="1" si="45"/>
        <v>#DIV/0!</v>
      </c>
      <c r="P43" s="57">
        <f t="shared" ca="1" si="46"/>
        <v>0</v>
      </c>
      <c r="Q43" s="12" t="str">
        <f t="shared" ca="1" si="47"/>
        <v>集計外</v>
      </c>
      <c r="R43" s="21">
        <f ca="1">終値履歴!D43</f>
        <v>0</v>
      </c>
      <c r="S43" s="107" t="e">
        <f t="shared" ca="1" si="48"/>
        <v>#DIV/0!</v>
      </c>
      <c r="T43" s="21">
        <f ca="1">終値履歴!E43</f>
        <v>0</v>
      </c>
      <c r="U43" s="107" t="e">
        <f t="shared" ca="1" si="49"/>
        <v>#DIV/0!</v>
      </c>
      <c r="W43" s="21">
        <f ca="1">終値履歴!F43</f>
        <v>0</v>
      </c>
      <c r="X43" s="107" t="e">
        <f t="shared" ca="1" si="50"/>
        <v>#DIV/0!</v>
      </c>
    </row>
    <row r="44" spans="2:24" x14ac:dyDescent="0.25">
      <c r="B44" s="49" t="str">
        <f>IPO監視一覧!B41</f>
        <v>キャンディル</v>
      </c>
      <c r="C44" s="62">
        <f>株価一覧!H44</f>
        <v>0</v>
      </c>
      <c r="D44" s="15">
        <f ca="1">OFFSET(終値履歴!A44,0,COUNTA(終値履歴!G44:'終値履歴'!XFD44)+2,1,-1)</f>
        <v>0</v>
      </c>
      <c r="E44" s="15">
        <f ca="1">OFFSET(終値履歴!A44,0,COUNTA(終値履歴!G44:'終値履歴'!XFD44)+3,1,-1)</f>
        <v>0</v>
      </c>
      <c r="F44" s="15">
        <f ca="1">OFFSET(終値履歴!A44,0,COUNTA(終値履歴!G44:'終値履歴'!XFD44)+4,1,-1)</f>
        <v>0</v>
      </c>
      <c r="G44" s="15">
        <f ca="1">OFFSET(終値履歴!A44,0,COUNTA(終値履歴!G44:'終値履歴'!XFD44)+5,1,-1)</f>
        <v>0</v>
      </c>
      <c r="I44" s="60" t="str">
        <f t="shared" ref="I44:I46" ca="1" si="51">IF(ISERROR((G44-F44)/F44),"",(G44-F44)/F44)</f>
        <v/>
      </c>
      <c r="J44" s="60" t="str">
        <f t="shared" ref="J44:J46" ca="1" si="52">IF(ISERROR((G44-E44)/E44),"",(G44-E44)/E44)</f>
        <v/>
      </c>
      <c r="K44" s="60" t="str">
        <f t="shared" ref="K44:K46" ca="1" si="53">IF(ISERROR((G44-D44)/D44),"",(G44-D44)/D44)</f>
        <v/>
      </c>
      <c r="M44" s="60" t="e">
        <f t="shared" ref="M44:M46" ca="1" si="54">(F44-E44)/E44</f>
        <v>#DIV/0!</v>
      </c>
      <c r="N44" s="60" t="e">
        <f t="shared" ref="N44:N46" ca="1" si="55">(F44-D44)/D44</f>
        <v>#DIV/0!</v>
      </c>
      <c r="P44" s="57">
        <f t="shared" ref="P44:P46" ca="1" si="56">IF(G44-F44 &gt; 0,CONCATENATE("＋",G44-F44),G44-F44)</f>
        <v>0</v>
      </c>
      <c r="Q44" s="12" t="str">
        <f t="shared" ref="Q44:Q46" ca="1" si="57">IF(T44=0,"集計外",IF(AND(G44&lt;=T44,G44&lt;=R44),"割安",IF(AND(G44&gt;T44,G44&lt;=R44),"普通",IF(AND(G44&lt;=T44,G44&gt;R44),"普通","割高"))))</f>
        <v>集計外</v>
      </c>
      <c r="R44" s="21">
        <f ca="1">終値履歴!D44</f>
        <v>0</v>
      </c>
      <c r="S44" s="107" t="e">
        <f t="shared" ref="S44:S46" ca="1" si="58">(G44-R44)/E44</f>
        <v>#DIV/0!</v>
      </c>
      <c r="T44" s="21">
        <f ca="1">終値履歴!E44</f>
        <v>0</v>
      </c>
      <c r="U44" s="107" t="e">
        <f t="shared" ref="U44:U46" ca="1" si="59">(G44-T44)/G44</f>
        <v>#DIV/0!</v>
      </c>
      <c r="W44" s="21">
        <f ca="1">終値履歴!F44</f>
        <v>0</v>
      </c>
      <c r="X44" s="107" t="e">
        <f t="shared" ref="X44:X46" ca="1" si="60">(G44-W44)/G44</f>
        <v>#DIV/0!</v>
      </c>
    </row>
    <row r="45" spans="2:24" x14ac:dyDescent="0.25">
      <c r="B45" s="49" t="str">
        <f>IPO監視一覧!B42</f>
        <v>ＭＴＧ</v>
      </c>
      <c r="C45" s="62">
        <f>株価一覧!H45</f>
        <v>0</v>
      </c>
      <c r="D45" s="15">
        <f ca="1">OFFSET(終値履歴!A45,0,COUNTA(終値履歴!G45:'終値履歴'!XFD45)+2,1,-1)</f>
        <v>0</v>
      </c>
      <c r="E45" s="15">
        <f ca="1">OFFSET(終値履歴!A45,0,COUNTA(終値履歴!G45:'終値履歴'!XFD45)+3,1,-1)</f>
        <v>0</v>
      </c>
      <c r="F45" s="15">
        <f ca="1">OFFSET(終値履歴!A45,0,COUNTA(終値履歴!G45:'終値履歴'!XFD45)+4,1,-1)</f>
        <v>0</v>
      </c>
      <c r="G45" s="15">
        <f ca="1">OFFSET(終値履歴!A45,0,COUNTA(終値履歴!G45:'終値履歴'!XFD45)+5,1,-1)</f>
        <v>0</v>
      </c>
      <c r="I45" s="60" t="str">
        <f t="shared" ca="1" si="51"/>
        <v/>
      </c>
      <c r="J45" s="60" t="str">
        <f t="shared" ca="1" si="52"/>
        <v/>
      </c>
      <c r="K45" s="60" t="str">
        <f t="shared" ca="1" si="53"/>
        <v/>
      </c>
      <c r="M45" s="60" t="e">
        <f t="shared" ca="1" si="54"/>
        <v>#DIV/0!</v>
      </c>
      <c r="N45" s="60" t="e">
        <f t="shared" ca="1" si="55"/>
        <v>#DIV/0!</v>
      </c>
      <c r="P45" s="57">
        <f t="shared" ca="1" si="56"/>
        <v>0</v>
      </c>
      <c r="Q45" s="12" t="str">
        <f t="shared" ca="1" si="57"/>
        <v>集計外</v>
      </c>
      <c r="R45" s="21">
        <f ca="1">終値履歴!D45</f>
        <v>0</v>
      </c>
      <c r="S45" s="107" t="e">
        <f t="shared" ca="1" si="58"/>
        <v>#DIV/0!</v>
      </c>
      <c r="T45" s="21">
        <f ca="1">終値履歴!E45</f>
        <v>0</v>
      </c>
      <c r="U45" s="107" t="e">
        <f t="shared" ca="1" si="59"/>
        <v>#DIV/0!</v>
      </c>
      <c r="W45" s="21">
        <f ca="1">終値履歴!F45</f>
        <v>0</v>
      </c>
      <c r="X45" s="107" t="e">
        <f t="shared" ca="1" si="60"/>
        <v>#DIV/0!</v>
      </c>
    </row>
    <row r="46" spans="2:24" x14ac:dyDescent="0.25">
      <c r="B46" s="49">
        <f>IPO監視一覧!B43</f>
        <v>0</v>
      </c>
      <c r="C46" s="62">
        <f>株価一覧!H46</f>
        <v>0</v>
      </c>
      <c r="D46" s="15">
        <f ca="1">OFFSET(終値履歴!A46,0,COUNTA(終値履歴!G46:'終値履歴'!XFD46)+2,1,-1)</f>
        <v>0</v>
      </c>
      <c r="E46" s="15">
        <f ca="1">OFFSET(終値履歴!A46,0,COUNTA(終値履歴!G46:'終値履歴'!XFD46)+3,1,-1)</f>
        <v>0</v>
      </c>
      <c r="F46" s="15">
        <f ca="1">OFFSET(終値履歴!A46,0,COUNTA(終値履歴!G46:'終値履歴'!XFD46)+4,1,-1)</f>
        <v>0</v>
      </c>
      <c r="G46" s="15">
        <f ca="1">OFFSET(終値履歴!A46,0,COUNTA(終値履歴!G46:'終値履歴'!XFD46)+5,1,-1)</f>
        <v>0</v>
      </c>
      <c r="I46" s="60" t="str">
        <f t="shared" ca="1" si="51"/>
        <v/>
      </c>
      <c r="J46" s="60" t="str">
        <f t="shared" ca="1" si="52"/>
        <v/>
      </c>
      <c r="K46" s="60" t="str">
        <f t="shared" ca="1" si="53"/>
        <v/>
      </c>
      <c r="M46" s="60" t="e">
        <f t="shared" ca="1" si="54"/>
        <v>#DIV/0!</v>
      </c>
      <c r="N46" s="60" t="e">
        <f t="shared" ca="1" si="55"/>
        <v>#DIV/0!</v>
      </c>
      <c r="P46" s="57">
        <f t="shared" ca="1" si="56"/>
        <v>0</v>
      </c>
      <c r="Q46" s="12" t="str">
        <f t="shared" ca="1" si="57"/>
        <v>集計外</v>
      </c>
      <c r="R46" s="21">
        <f ca="1">終値履歴!D46</f>
        <v>0</v>
      </c>
      <c r="S46" s="107" t="e">
        <f t="shared" ca="1" si="58"/>
        <v>#DIV/0!</v>
      </c>
      <c r="T46" s="21">
        <f ca="1">終値履歴!E46</f>
        <v>0</v>
      </c>
      <c r="U46" s="107" t="e">
        <f t="shared" ca="1" si="59"/>
        <v>#DIV/0!</v>
      </c>
      <c r="W46" s="21">
        <f ca="1">終値履歴!F46</f>
        <v>0</v>
      </c>
      <c r="X46" s="107" t="e">
        <f t="shared" ca="1" si="60"/>
        <v>#DIV/0!</v>
      </c>
    </row>
    <row r="47" spans="2:24" x14ac:dyDescent="0.25">
      <c r="B47" s="49">
        <f>IPO監視一覧!B44</f>
        <v>0</v>
      </c>
      <c r="C47" s="62">
        <f>株価一覧!H47</f>
        <v>0</v>
      </c>
      <c r="D47" s="15">
        <f ca="1">OFFSET(終値履歴!A47,0,COUNTA(終値履歴!G47:'終値履歴'!XFD47)+2,1,-1)</f>
        <v>0</v>
      </c>
      <c r="E47" s="15">
        <f ca="1">OFFSET(終値履歴!A47,0,COUNTA(終値履歴!G47:'終値履歴'!XFD47)+3,1,-1)</f>
        <v>0</v>
      </c>
      <c r="F47" s="15">
        <f ca="1">OFFSET(終値履歴!A47,0,COUNTA(終値履歴!G47:'終値履歴'!XFD47)+4,1,-1)</f>
        <v>0</v>
      </c>
      <c r="G47" s="15">
        <f ca="1">OFFSET(終値履歴!A47,0,COUNTA(終値履歴!G47:'終値履歴'!XFD47)+5,1,-1)</f>
        <v>0</v>
      </c>
      <c r="I47" s="60" t="str">
        <f t="shared" ref="I47:I53" ca="1" si="61">IF(ISERROR((G47-F47)/F47),"",(G47-F47)/F47)</f>
        <v/>
      </c>
      <c r="J47" s="60" t="str">
        <f t="shared" ref="J47:J53" ca="1" si="62">IF(ISERROR((G47-E47)/E47),"",(G47-E47)/E47)</f>
        <v/>
      </c>
      <c r="K47" s="60" t="str">
        <f t="shared" ref="K47:K53" ca="1" si="63">IF(ISERROR((G47-D47)/D47),"",(G47-D47)/D47)</f>
        <v/>
      </c>
      <c r="M47" s="60" t="e">
        <f t="shared" ref="M47:M53" ca="1" si="64">(F47-E47)/E47</f>
        <v>#DIV/0!</v>
      </c>
      <c r="N47" s="60" t="e">
        <f t="shared" ref="N47:N53" ca="1" si="65">(F47-D47)/D47</f>
        <v>#DIV/0!</v>
      </c>
      <c r="P47" s="57">
        <f t="shared" ref="P47:P53" ca="1" si="66">IF(G47-F47 &gt; 0,CONCATENATE("＋",G47-F47),G47-F47)</f>
        <v>0</v>
      </c>
      <c r="Q47" s="12" t="str">
        <f t="shared" ref="Q47:Q53" ca="1" si="67">IF(T47=0,"集計外",IF(AND(G47&lt;=T47,G47&lt;=R47),"割安",IF(AND(G47&gt;T47,G47&lt;=R47),"普通",IF(AND(G47&lt;=T47,G47&gt;R47),"普通","割高"))))</f>
        <v>集計外</v>
      </c>
      <c r="R47" s="21">
        <f ca="1">終値履歴!D47</f>
        <v>0</v>
      </c>
      <c r="S47" s="107" t="e">
        <f t="shared" ref="S47:S53" ca="1" si="68">(G47-R47)/E47</f>
        <v>#DIV/0!</v>
      </c>
      <c r="T47" s="21">
        <f ca="1">終値履歴!E47</f>
        <v>0</v>
      </c>
      <c r="U47" s="107" t="e">
        <f t="shared" ref="U47:U53" ca="1" si="69">(G47-T47)/G47</f>
        <v>#DIV/0!</v>
      </c>
      <c r="W47" s="21">
        <f ca="1">終値履歴!F47</f>
        <v>0</v>
      </c>
      <c r="X47" s="107" t="e">
        <f t="shared" ref="X47:X53" ca="1" si="70">(G47-W47)/G47</f>
        <v>#DIV/0!</v>
      </c>
    </row>
    <row r="48" spans="2:24" x14ac:dyDescent="0.25">
      <c r="B48" s="49">
        <f>IPO監視一覧!B45</f>
        <v>0</v>
      </c>
      <c r="C48" s="62">
        <f>株価一覧!H48</f>
        <v>0</v>
      </c>
      <c r="D48" s="15">
        <f ca="1">OFFSET(終値履歴!A48,0,COUNTA(終値履歴!G48:'終値履歴'!XFD48)+2,1,-1)</f>
        <v>0</v>
      </c>
      <c r="E48" s="15">
        <f ca="1">OFFSET(終値履歴!A48,0,COUNTA(終値履歴!G48:'終値履歴'!XFD48)+3,1,-1)</f>
        <v>0</v>
      </c>
      <c r="F48" s="15">
        <f ca="1">OFFSET(終値履歴!A48,0,COUNTA(終値履歴!G48:'終値履歴'!XFD48)+4,1,-1)</f>
        <v>0</v>
      </c>
      <c r="G48" s="15">
        <f ca="1">OFFSET(終値履歴!A48,0,COUNTA(終値履歴!G48:'終値履歴'!XFD48)+5,1,-1)</f>
        <v>0</v>
      </c>
      <c r="I48" s="60" t="str">
        <f t="shared" ca="1" si="61"/>
        <v/>
      </c>
      <c r="J48" s="60" t="str">
        <f t="shared" ca="1" si="62"/>
        <v/>
      </c>
      <c r="K48" s="60" t="str">
        <f t="shared" ca="1" si="63"/>
        <v/>
      </c>
      <c r="M48" s="60" t="e">
        <f t="shared" ca="1" si="64"/>
        <v>#DIV/0!</v>
      </c>
      <c r="N48" s="60" t="e">
        <f t="shared" ca="1" si="65"/>
        <v>#DIV/0!</v>
      </c>
      <c r="P48" s="57">
        <f t="shared" ca="1" si="66"/>
        <v>0</v>
      </c>
      <c r="Q48" s="12" t="str">
        <f t="shared" ca="1" si="67"/>
        <v>集計外</v>
      </c>
      <c r="R48" s="21">
        <f ca="1">終値履歴!D48</f>
        <v>0</v>
      </c>
      <c r="S48" s="107" t="e">
        <f t="shared" ca="1" si="68"/>
        <v>#DIV/0!</v>
      </c>
      <c r="T48" s="21">
        <f ca="1">終値履歴!E48</f>
        <v>0</v>
      </c>
      <c r="U48" s="107" t="e">
        <f t="shared" ca="1" si="69"/>
        <v>#DIV/0!</v>
      </c>
      <c r="W48" s="21">
        <f ca="1">終値履歴!F48</f>
        <v>0</v>
      </c>
      <c r="X48" s="107" t="e">
        <f t="shared" ca="1" si="70"/>
        <v>#DIV/0!</v>
      </c>
    </row>
    <row r="49" spans="2:24" x14ac:dyDescent="0.25">
      <c r="B49" s="49">
        <f>IPO監視一覧!B46</f>
        <v>0</v>
      </c>
      <c r="C49" s="62">
        <f>株価一覧!H49</f>
        <v>0</v>
      </c>
      <c r="D49" s="15">
        <f ca="1">OFFSET(終値履歴!A49,0,COUNTA(終値履歴!G49:'終値履歴'!XFD49)+2,1,-1)</f>
        <v>0</v>
      </c>
      <c r="E49" s="15">
        <f ca="1">OFFSET(終値履歴!A49,0,COUNTA(終値履歴!G49:'終値履歴'!XFD49)+3,1,-1)</f>
        <v>0</v>
      </c>
      <c r="F49" s="15">
        <f ca="1">OFFSET(終値履歴!A49,0,COUNTA(終値履歴!G49:'終値履歴'!XFD49)+4,1,-1)</f>
        <v>0</v>
      </c>
      <c r="G49" s="15">
        <f ca="1">OFFSET(終値履歴!A49,0,COUNTA(終値履歴!G49:'終値履歴'!XFD49)+5,1,-1)</f>
        <v>0</v>
      </c>
      <c r="I49" s="60" t="str">
        <f t="shared" ca="1" si="61"/>
        <v/>
      </c>
      <c r="J49" s="60" t="str">
        <f t="shared" ca="1" si="62"/>
        <v/>
      </c>
      <c r="K49" s="60" t="str">
        <f t="shared" ca="1" si="63"/>
        <v/>
      </c>
      <c r="M49" s="60" t="e">
        <f t="shared" ca="1" si="64"/>
        <v>#DIV/0!</v>
      </c>
      <c r="N49" s="60" t="e">
        <f t="shared" ca="1" si="65"/>
        <v>#DIV/0!</v>
      </c>
      <c r="P49" s="57">
        <f t="shared" ca="1" si="66"/>
        <v>0</v>
      </c>
      <c r="Q49" s="12" t="str">
        <f t="shared" ca="1" si="67"/>
        <v>集計外</v>
      </c>
      <c r="R49" s="21">
        <f ca="1">終値履歴!D49</f>
        <v>0</v>
      </c>
      <c r="S49" s="107" t="e">
        <f t="shared" ca="1" si="68"/>
        <v>#DIV/0!</v>
      </c>
      <c r="T49" s="21">
        <f ca="1">終値履歴!E49</f>
        <v>0</v>
      </c>
      <c r="U49" s="107" t="e">
        <f t="shared" ca="1" si="69"/>
        <v>#DIV/0!</v>
      </c>
      <c r="W49" s="21">
        <f ca="1">終値履歴!F49</f>
        <v>0</v>
      </c>
      <c r="X49" s="107" t="e">
        <f t="shared" ca="1" si="70"/>
        <v>#DIV/0!</v>
      </c>
    </row>
    <row r="50" spans="2:24" x14ac:dyDescent="0.25">
      <c r="B50" s="49">
        <f>IPO監視一覧!B47</f>
        <v>0</v>
      </c>
      <c r="C50" s="62">
        <f>株価一覧!H50</f>
        <v>0</v>
      </c>
      <c r="D50" s="15">
        <f ca="1">OFFSET(終値履歴!A50,0,COUNTA(終値履歴!G50:'終値履歴'!XFD50)+2,1,-1)</f>
        <v>0</v>
      </c>
      <c r="E50" s="15">
        <f ca="1">OFFSET(終値履歴!A50,0,COUNTA(終値履歴!G50:'終値履歴'!XFD50)+3,1,-1)</f>
        <v>0</v>
      </c>
      <c r="F50" s="15">
        <f ca="1">OFFSET(終値履歴!A50,0,COUNTA(終値履歴!G50:'終値履歴'!XFD50)+4,1,-1)</f>
        <v>0</v>
      </c>
      <c r="G50" s="15">
        <f ca="1">OFFSET(終値履歴!A50,0,COUNTA(終値履歴!G50:'終値履歴'!XFD50)+5,1,-1)</f>
        <v>0</v>
      </c>
      <c r="I50" s="60" t="str">
        <f t="shared" ca="1" si="61"/>
        <v/>
      </c>
      <c r="J50" s="60" t="str">
        <f t="shared" ca="1" si="62"/>
        <v/>
      </c>
      <c r="K50" s="60" t="str">
        <f t="shared" ca="1" si="63"/>
        <v/>
      </c>
      <c r="M50" s="60" t="e">
        <f t="shared" ca="1" si="64"/>
        <v>#DIV/0!</v>
      </c>
      <c r="N50" s="60" t="e">
        <f t="shared" ca="1" si="65"/>
        <v>#DIV/0!</v>
      </c>
      <c r="P50" s="57">
        <f t="shared" ca="1" si="66"/>
        <v>0</v>
      </c>
      <c r="Q50" s="12" t="str">
        <f t="shared" ca="1" si="67"/>
        <v>集計外</v>
      </c>
      <c r="R50" s="21">
        <f ca="1">終値履歴!D50</f>
        <v>0</v>
      </c>
      <c r="S50" s="107" t="e">
        <f t="shared" ca="1" si="68"/>
        <v>#DIV/0!</v>
      </c>
      <c r="T50" s="21">
        <f ca="1">終値履歴!E50</f>
        <v>0</v>
      </c>
      <c r="U50" s="107" t="e">
        <f t="shared" ca="1" si="69"/>
        <v>#DIV/0!</v>
      </c>
      <c r="W50" s="21">
        <f ca="1">終値履歴!F50</f>
        <v>0</v>
      </c>
      <c r="X50" s="107" t="e">
        <f t="shared" ca="1" si="70"/>
        <v>#DIV/0!</v>
      </c>
    </row>
    <row r="51" spans="2:24" x14ac:dyDescent="0.25">
      <c r="B51" s="49">
        <f>IPO監視一覧!B48</f>
        <v>0</v>
      </c>
      <c r="C51" s="62">
        <f>株価一覧!H51</f>
        <v>0</v>
      </c>
      <c r="D51" s="15">
        <f ca="1">OFFSET(終値履歴!A51,0,COUNTA(終値履歴!G51:'終値履歴'!XFD51)+2,1,-1)</f>
        <v>0</v>
      </c>
      <c r="E51" s="15">
        <f ca="1">OFFSET(終値履歴!A51,0,COUNTA(終値履歴!G51:'終値履歴'!XFD51)+3,1,-1)</f>
        <v>0</v>
      </c>
      <c r="F51" s="15">
        <f ca="1">OFFSET(終値履歴!A51,0,COUNTA(終値履歴!G51:'終値履歴'!XFD51)+4,1,-1)</f>
        <v>0</v>
      </c>
      <c r="G51" s="15">
        <f ca="1">OFFSET(終値履歴!A51,0,COUNTA(終値履歴!G51:'終値履歴'!XFD51)+5,1,-1)</f>
        <v>0</v>
      </c>
      <c r="I51" s="60" t="str">
        <f t="shared" ca="1" si="61"/>
        <v/>
      </c>
      <c r="J51" s="60" t="str">
        <f t="shared" ca="1" si="62"/>
        <v/>
      </c>
      <c r="K51" s="60" t="str">
        <f t="shared" ca="1" si="63"/>
        <v/>
      </c>
      <c r="M51" s="60" t="e">
        <f t="shared" ca="1" si="64"/>
        <v>#DIV/0!</v>
      </c>
      <c r="N51" s="60" t="e">
        <f t="shared" ca="1" si="65"/>
        <v>#DIV/0!</v>
      </c>
      <c r="P51" s="57">
        <f t="shared" ca="1" si="66"/>
        <v>0</v>
      </c>
      <c r="Q51" s="12" t="str">
        <f t="shared" si="67"/>
        <v>集計外</v>
      </c>
      <c r="R51" s="21">
        <f>終値履歴!D51</f>
        <v>0</v>
      </c>
      <c r="S51" s="107" t="e">
        <f t="shared" ca="1" si="68"/>
        <v>#DIV/0!</v>
      </c>
      <c r="T51" s="21">
        <f>終値履歴!E51</f>
        <v>0</v>
      </c>
      <c r="U51" s="107" t="e">
        <f t="shared" ca="1" si="69"/>
        <v>#DIV/0!</v>
      </c>
      <c r="W51" s="21">
        <f>終値履歴!F51</f>
        <v>0</v>
      </c>
      <c r="X51" s="107" t="e">
        <f t="shared" ca="1" si="70"/>
        <v>#DIV/0!</v>
      </c>
    </row>
    <row r="52" spans="2:24" x14ac:dyDescent="0.25">
      <c r="B52" s="49">
        <f>IPO監視一覧!B49</f>
        <v>0</v>
      </c>
      <c r="C52" s="62">
        <f>株価一覧!H52</f>
        <v>0</v>
      </c>
      <c r="D52" s="15">
        <f ca="1">OFFSET(終値履歴!A52,0,COUNTA(終値履歴!G52:'終値履歴'!XFD52)+2,1,-1)</f>
        <v>0</v>
      </c>
      <c r="E52" s="15">
        <f ca="1">OFFSET(終値履歴!A52,0,COUNTA(終値履歴!G52:'終値履歴'!XFD52)+3,1,-1)</f>
        <v>0</v>
      </c>
      <c r="F52" s="15">
        <f ca="1">OFFSET(終値履歴!A52,0,COUNTA(終値履歴!G52:'終値履歴'!XFD52)+4,1,-1)</f>
        <v>0</v>
      </c>
      <c r="G52" s="15">
        <f ca="1">OFFSET(終値履歴!A52,0,COUNTA(終値履歴!G52:'終値履歴'!XFD52)+5,1,-1)</f>
        <v>0</v>
      </c>
      <c r="I52" s="60" t="str">
        <f t="shared" ca="1" si="61"/>
        <v/>
      </c>
      <c r="J52" s="60" t="str">
        <f t="shared" ca="1" si="62"/>
        <v/>
      </c>
      <c r="K52" s="60" t="str">
        <f t="shared" ca="1" si="63"/>
        <v/>
      </c>
      <c r="M52" s="60" t="e">
        <f t="shared" ca="1" si="64"/>
        <v>#DIV/0!</v>
      </c>
      <c r="N52" s="60" t="e">
        <f t="shared" ca="1" si="65"/>
        <v>#DIV/0!</v>
      </c>
      <c r="P52" s="57">
        <f t="shared" ca="1" si="66"/>
        <v>0</v>
      </c>
      <c r="Q52" s="12" t="str">
        <f t="shared" si="67"/>
        <v>集計外</v>
      </c>
      <c r="R52" s="21">
        <f>終値履歴!D52</f>
        <v>0</v>
      </c>
      <c r="S52" s="107" t="e">
        <f t="shared" ca="1" si="68"/>
        <v>#DIV/0!</v>
      </c>
      <c r="T52" s="21">
        <f>終値履歴!E52</f>
        <v>0</v>
      </c>
      <c r="U52" s="107" t="e">
        <f t="shared" ca="1" si="69"/>
        <v>#DIV/0!</v>
      </c>
      <c r="W52" s="21">
        <f>終値履歴!F52</f>
        <v>0</v>
      </c>
      <c r="X52" s="107" t="e">
        <f t="shared" ca="1" si="70"/>
        <v>#DIV/0!</v>
      </c>
    </row>
    <row r="53" spans="2:24" x14ac:dyDescent="0.25">
      <c r="B53" s="49">
        <f>IPO監視一覧!B50</f>
        <v>0</v>
      </c>
      <c r="C53" s="62">
        <f>株価一覧!H53</f>
        <v>0</v>
      </c>
      <c r="D53" s="15">
        <f ca="1">OFFSET(終値履歴!A53,0,COUNTA(終値履歴!G53:'終値履歴'!XFD53)+2,1,-1)</f>
        <v>0</v>
      </c>
      <c r="E53" s="15">
        <f ca="1">OFFSET(終値履歴!A53,0,COUNTA(終値履歴!G53:'終値履歴'!XFD53)+3,1,-1)</f>
        <v>0</v>
      </c>
      <c r="F53" s="15">
        <f ca="1">OFFSET(終値履歴!A53,0,COUNTA(終値履歴!G53:'終値履歴'!XFD53)+4,1,-1)</f>
        <v>0</v>
      </c>
      <c r="G53" s="15">
        <f ca="1">OFFSET(終値履歴!A53,0,COUNTA(終値履歴!G53:'終値履歴'!XFD53)+5,1,-1)</f>
        <v>0</v>
      </c>
      <c r="I53" s="60" t="str">
        <f t="shared" ca="1" si="61"/>
        <v/>
      </c>
      <c r="J53" s="60" t="str">
        <f t="shared" ca="1" si="62"/>
        <v/>
      </c>
      <c r="K53" s="60" t="str">
        <f t="shared" ca="1" si="63"/>
        <v/>
      </c>
      <c r="M53" s="60" t="e">
        <f t="shared" ca="1" si="64"/>
        <v>#DIV/0!</v>
      </c>
      <c r="N53" s="60" t="e">
        <f t="shared" ca="1" si="65"/>
        <v>#DIV/0!</v>
      </c>
      <c r="P53" s="57">
        <f t="shared" ca="1" si="66"/>
        <v>0</v>
      </c>
      <c r="Q53" s="12" t="str">
        <f t="shared" si="67"/>
        <v>集計外</v>
      </c>
      <c r="R53" s="21">
        <f>終値履歴!D53</f>
        <v>0</v>
      </c>
      <c r="S53" s="107" t="e">
        <f t="shared" ca="1" si="68"/>
        <v>#DIV/0!</v>
      </c>
      <c r="T53" s="21">
        <f>終値履歴!E53</f>
        <v>0</v>
      </c>
      <c r="U53" s="107" t="e">
        <f t="shared" ca="1" si="69"/>
        <v>#DIV/0!</v>
      </c>
      <c r="W53" s="21">
        <f>終値履歴!F53</f>
        <v>0</v>
      </c>
      <c r="X53" s="107" t="e">
        <f t="shared" ca="1" si="70"/>
        <v>#DIV/0!</v>
      </c>
    </row>
  </sheetData>
  <mergeCells count="2">
    <mergeCell ref="I1:K1"/>
    <mergeCell ref="M1:N1"/>
  </mergeCells>
  <phoneticPr fontId="2"/>
  <conditionalFormatting sqref="O2">
    <cfRule type="cellIs" dxfId="36" priority="141" operator="lessThan">
      <formula>-0.1</formula>
    </cfRule>
  </conditionalFormatting>
  <conditionalFormatting sqref="O2">
    <cfRule type="cellIs" dxfId="35" priority="140" operator="lessThan">
      <formula>-0.1</formula>
    </cfRule>
  </conditionalFormatting>
  <conditionalFormatting sqref="I54:N1048576 L6:N53 I4:K53">
    <cfRule type="cellIs" dxfId="34" priority="139" operator="lessThan">
      <formula>-0.07</formula>
    </cfRule>
  </conditionalFormatting>
  <conditionalFormatting sqref="I54:N1048576 L6:N53 I4:K53">
    <cfRule type="cellIs" dxfId="33" priority="138" operator="greaterThan">
      <formula>0</formula>
    </cfRule>
  </conditionalFormatting>
  <conditionalFormatting sqref="C2 C12:C1048576">
    <cfRule type="cellIs" dxfId="32" priority="136" operator="lessThan">
      <formula>100000</formula>
    </cfRule>
    <cfRule type="cellIs" dxfId="31" priority="137" operator="lessThan">
      <formula>1000000</formula>
    </cfRule>
  </conditionalFormatting>
  <conditionalFormatting sqref="P6:P1048576">
    <cfRule type="cellIs" dxfId="30" priority="135" operator="greaterThan">
      <formula>0</formula>
    </cfRule>
  </conditionalFormatting>
  <conditionalFormatting sqref="P1:P2 P6:P1048576">
    <cfRule type="cellIs" dxfId="29" priority="134" operator="lessThan">
      <formula>0</formula>
    </cfRule>
  </conditionalFormatting>
  <conditionalFormatting sqref="U1:U2 S12:S1048576 U6:U1048576">
    <cfRule type="cellIs" dxfId="28" priority="132" operator="greaterThan">
      <formula>0.04</formula>
    </cfRule>
    <cfRule type="cellIs" dxfId="27" priority="133" operator="lessThan">
      <formula>0</formula>
    </cfRule>
  </conditionalFormatting>
  <conditionalFormatting sqref="B6:B1048576">
    <cfRule type="expression" dxfId="26" priority="130">
      <formula>$U6&gt;=0.1</formula>
    </cfRule>
    <cfRule type="expression" dxfId="25" priority="131">
      <formula>$G6&gt;$T6</formula>
    </cfRule>
  </conditionalFormatting>
  <conditionalFormatting sqref="X6:X1048576">
    <cfRule type="cellIs" dxfId="24" priority="128" operator="greaterThan">
      <formula>0.1</formula>
    </cfRule>
  </conditionalFormatting>
  <conditionalFormatting sqref="T6:XFD11 B6:B11 H6:H11 B54:XFD1048576 L6:Q11 B12:H53 L12:XFD53 Q4:Q53 I4:K53">
    <cfRule type="expression" dxfId="23" priority="116">
      <formula>CELL("ROW")=ROW()</formula>
    </cfRule>
  </conditionalFormatting>
  <conditionalFormatting sqref="V1:V1048576 L1:L1048576 O1:O1048576 Y1:Y1048576 H1:H1048576 A1:A1048576 Q1:Q1048576">
    <cfRule type="expression" dxfId="22" priority="115">
      <formula>CELL("ROW")=ROW()</formula>
    </cfRule>
  </conditionalFormatting>
  <conditionalFormatting sqref="S1:S2 S6:S11">
    <cfRule type="cellIs" dxfId="21" priority="113" operator="greaterThan">
      <formula>0.04</formula>
    </cfRule>
    <cfRule type="cellIs" dxfId="20" priority="114" operator="lessThan">
      <formula>0</formula>
    </cfRule>
  </conditionalFormatting>
  <conditionalFormatting sqref="R6:S11">
    <cfRule type="expression" dxfId="19" priority="110">
      <formula>CELL("ROW")=ROW()</formula>
    </cfRule>
  </conditionalFormatting>
  <conditionalFormatting sqref="Q1:Q1048576">
    <cfRule type="cellIs" dxfId="18" priority="108" operator="equal">
      <formula>"割安"</formula>
    </cfRule>
    <cfRule type="cellIs" dxfId="17" priority="109" operator="equal">
      <formula>"普通"</formula>
    </cfRule>
  </conditionalFormatting>
  <conditionalFormatting sqref="I3:N3 L4:N5">
    <cfRule type="cellIs" dxfId="16" priority="20" operator="lessThan">
      <formula>-0.07</formula>
    </cfRule>
  </conditionalFormatting>
  <conditionalFormatting sqref="I3:N3 L4:N5">
    <cfRule type="cellIs" dxfId="15" priority="19" operator="greaterThan">
      <formula>0</formula>
    </cfRule>
  </conditionalFormatting>
  <conditionalFormatting sqref="P3:P5">
    <cfRule type="cellIs" dxfId="14" priority="16" operator="greaterThan">
      <formula>0</formula>
    </cfRule>
  </conditionalFormatting>
  <conditionalFormatting sqref="P3:P5">
    <cfRule type="cellIs" dxfId="13" priority="15" operator="lessThan">
      <formula>0</formula>
    </cfRule>
  </conditionalFormatting>
  <conditionalFormatting sqref="S3:S5 U3:U5">
    <cfRule type="cellIs" dxfId="12" priority="13" operator="greaterThan">
      <formula>0.04</formula>
    </cfRule>
    <cfRule type="cellIs" dxfId="11" priority="14" operator="lessThan">
      <formula>0</formula>
    </cfRule>
  </conditionalFormatting>
  <conditionalFormatting sqref="X3:X5">
    <cfRule type="cellIs" dxfId="10" priority="10" operator="greaterThan">
      <formula>0.1</formula>
    </cfRule>
  </conditionalFormatting>
  <conditionalFormatting sqref="D3:XFD3 D6:G11 D4:H5 L4:XFD5">
    <cfRule type="expression" dxfId="9" priority="9">
      <formula>CELL("ROW")=ROW()</formula>
    </cfRule>
  </conditionalFormatting>
  <conditionalFormatting sqref="V3:V5 L3:L5 O3:O5 Y3:Y5 H3:H5 A3:A5">
    <cfRule type="expression" dxfId="8" priority="8">
      <formula>CELL("ROW")=ROW()</formula>
    </cfRule>
  </conditionalFormatting>
  <conditionalFormatting sqref="B3:B5">
    <cfRule type="expression" dxfId="7" priority="5">
      <formula>CELL("ROW")=ROW()</formula>
    </cfRule>
  </conditionalFormatting>
  <conditionalFormatting sqref="C3:C11">
    <cfRule type="cellIs" dxfId="6" priority="3" operator="lessThan">
      <formula>100000</formula>
    </cfRule>
    <cfRule type="cellIs" dxfId="5" priority="4" operator="lessThan">
      <formula>1000000</formula>
    </cfRule>
  </conditionalFormatting>
  <conditionalFormatting sqref="C3:C11">
    <cfRule type="expression" dxfId="4" priority="2">
      <formula>CELL("ROW")=ROW()</formula>
    </cfRule>
  </conditionalFormatting>
  <conditionalFormatting sqref="I1:K1048576">
    <cfRule type="cellIs" dxfId="3" priority="1" operator="equal">
      <formula>""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9" tint="0.59999389629810485"/>
  </sheetPr>
  <dimension ref="A1:CA50"/>
  <sheetViews>
    <sheetView zoomScale="70" zoomScaleNormal="70" workbookViewId="0">
      <pane xSplit="6" ySplit="2" topLeftCell="BU3" activePane="bottomRight" state="frozen"/>
      <selection pane="topRight" activeCell="G1" sqref="G1"/>
      <selection pane="bottomLeft" activeCell="A3" sqref="A3"/>
      <selection pane="bottomRight" activeCell="BV19" sqref="BV19"/>
    </sheetView>
  </sheetViews>
  <sheetFormatPr defaultColWidth="8" defaultRowHeight="15.75" x14ac:dyDescent="0.25"/>
  <cols>
    <col min="1" max="1" width="4.33203125" style="49" customWidth="1"/>
    <col min="2" max="2" width="26.21875" style="28" bestFit="1" customWidth="1"/>
    <col min="3" max="4" width="15" style="111" customWidth="1"/>
    <col min="5" max="6" width="13.77734375" style="111" customWidth="1"/>
    <col min="7" max="8" width="13" style="178" bestFit="1" customWidth="1"/>
    <col min="9" max="17" width="11.6640625" style="178" bestFit="1" customWidth="1"/>
    <col min="18" max="22" width="10.44140625" style="178" bestFit="1" customWidth="1"/>
    <col min="23" max="35" width="11.6640625" style="178" bestFit="1" customWidth="1"/>
    <col min="36" max="39" width="10.44140625" style="178" bestFit="1" customWidth="1"/>
    <col min="40" max="53" width="11.6640625" style="178" bestFit="1" customWidth="1"/>
    <col min="54" max="56" width="10.44140625" style="178" bestFit="1" customWidth="1"/>
    <col min="57" max="72" width="11.6640625" style="178" bestFit="1" customWidth="1"/>
    <col min="73" max="77" width="10.44140625" style="178" bestFit="1" customWidth="1"/>
    <col min="78" max="79" width="11.6640625" style="178" bestFit="1" customWidth="1"/>
    <col min="80" max="16384" width="8" style="178"/>
  </cols>
  <sheetData>
    <row r="1" spans="1:79" s="181" customFormat="1" x14ac:dyDescent="0.25">
      <c r="A1" s="180" t="s">
        <v>100</v>
      </c>
      <c r="B1" s="181" t="s">
        <v>101</v>
      </c>
      <c r="C1" s="182"/>
      <c r="D1" s="183"/>
      <c r="E1" s="182"/>
      <c r="F1" s="182"/>
    </row>
    <row r="2" spans="1:79" s="185" customFormat="1" ht="16.5" thickBot="1" x14ac:dyDescent="0.3">
      <c r="A2" s="93" t="s">
        <v>23</v>
      </c>
      <c r="B2" s="93" t="s">
        <v>17</v>
      </c>
      <c r="C2" s="93" t="s">
        <v>102</v>
      </c>
      <c r="D2" s="93" t="s">
        <v>122</v>
      </c>
      <c r="E2" s="93" t="s">
        <v>261</v>
      </c>
      <c r="F2" s="93" t="s">
        <v>262</v>
      </c>
      <c r="G2" s="184">
        <v>43145</v>
      </c>
      <c r="H2" s="184">
        <v>43150</v>
      </c>
      <c r="I2" s="184">
        <v>43151</v>
      </c>
      <c r="J2" s="184">
        <v>43152</v>
      </c>
      <c r="K2" s="184">
        <v>43153</v>
      </c>
      <c r="L2" s="184">
        <v>43154</v>
      </c>
      <c r="M2" s="184">
        <v>43157</v>
      </c>
      <c r="N2" s="184">
        <v>43158</v>
      </c>
      <c r="O2" s="184">
        <v>43159</v>
      </c>
      <c r="P2" s="184">
        <v>43160</v>
      </c>
      <c r="Q2" s="184">
        <v>43161</v>
      </c>
      <c r="R2" s="184">
        <v>43164</v>
      </c>
      <c r="S2" s="184">
        <v>43165</v>
      </c>
      <c r="T2" s="184">
        <v>43166</v>
      </c>
      <c r="U2" s="184">
        <v>43167</v>
      </c>
      <c r="V2" s="184">
        <v>43168</v>
      </c>
      <c r="W2" s="184">
        <v>43171</v>
      </c>
      <c r="X2" s="184">
        <v>43172</v>
      </c>
      <c r="Y2" s="184">
        <v>43173</v>
      </c>
      <c r="Z2" s="184">
        <v>43174</v>
      </c>
      <c r="AA2" s="184">
        <v>43175</v>
      </c>
      <c r="AB2" s="184">
        <v>43178</v>
      </c>
      <c r="AC2" s="184">
        <v>43181</v>
      </c>
      <c r="AD2" s="184">
        <v>43182</v>
      </c>
      <c r="AE2" s="184">
        <v>43185</v>
      </c>
      <c r="AF2" s="184">
        <v>43186</v>
      </c>
      <c r="AG2" s="184">
        <v>43187</v>
      </c>
      <c r="AH2" s="184">
        <v>43188</v>
      </c>
      <c r="AI2" s="184">
        <v>43189</v>
      </c>
      <c r="AJ2" s="184">
        <v>43192</v>
      </c>
      <c r="AK2" s="184">
        <v>43193</v>
      </c>
      <c r="AL2" s="184">
        <v>43194</v>
      </c>
      <c r="AM2" s="184">
        <v>43195</v>
      </c>
      <c r="AN2" s="184">
        <v>43200</v>
      </c>
      <c r="AO2" s="184">
        <v>43201</v>
      </c>
      <c r="AP2" s="184">
        <v>43202</v>
      </c>
      <c r="AQ2" s="184">
        <v>43203</v>
      </c>
      <c r="AR2" s="184">
        <v>43206</v>
      </c>
      <c r="AS2" s="184">
        <v>43207</v>
      </c>
      <c r="AT2" s="184">
        <v>43208</v>
      </c>
      <c r="AU2" s="184">
        <v>43209</v>
      </c>
      <c r="AV2" s="184">
        <v>43210</v>
      </c>
      <c r="AW2" s="184">
        <v>43213</v>
      </c>
      <c r="AX2" s="184">
        <v>43214</v>
      </c>
      <c r="AY2" s="184">
        <v>43215</v>
      </c>
      <c r="AZ2" s="184">
        <v>43216</v>
      </c>
      <c r="BA2" s="184">
        <v>43217</v>
      </c>
      <c r="BB2" s="184">
        <v>43227</v>
      </c>
      <c r="BC2" s="184">
        <v>43228</v>
      </c>
      <c r="BD2" s="184">
        <v>43229</v>
      </c>
      <c r="BE2" s="184">
        <v>43230</v>
      </c>
      <c r="BF2" s="184">
        <v>43231</v>
      </c>
      <c r="BG2" s="184">
        <v>43234</v>
      </c>
      <c r="BH2" s="184">
        <v>43235</v>
      </c>
      <c r="BI2" s="184">
        <v>43236</v>
      </c>
      <c r="BJ2" s="184">
        <v>43237</v>
      </c>
      <c r="BK2" s="184">
        <v>43238</v>
      </c>
      <c r="BL2" s="184">
        <v>43241</v>
      </c>
      <c r="BM2" s="184">
        <v>43242</v>
      </c>
      <c r="BN2" s="184">
        <v>43243</v>
      </c>
      <c r="BO2" s="184">
        <v>43244</v>
      </c>
      <c r="BP2" s="184">
        <v>43245</v>
      </c>
      <c r="BQ2" s="184">
        <v>43248</v>
      </c>
      <c r="BR2" s="184">
        <v>43249</v>
      </c>
      <c r="BS2" s="184">
        <v>43250</v>
      </c>
      <c r="BT2" s="184">
        <v>43251</v>
      </c>
      <c r="BU2" s="184">
        <v>43252</v>
      </c>
      <c r="BV2" s="184">
        <v>43255</v>
      </c>
      <c r="BW2" s="184">
        <v>43256</v>
      </c>
      <c r="BX2" s="184">
        <v>43257</v>
      </c>
      <c r="BY2" s="184">
        <v>43258</v>
      </c>
      <c r="BZ2" s="184">
        <v>43262</v>
      </c>
      <c r="CA2" s="184">
        <v>43263</v>
      </c>
    </row>
    <row r="3" spans="1:79" s="179" customFormat="1" ht="16.5" thickTop="1" x14ac:dyDescent="0.25">
      <c r="A3" s="43" t="s">
        <v>126</v>
      </c>
      <c r="B3" s="43" t="str">
        <f>セカンダリ投資分析!B3</f>
        <v>リミックスポイント</v>
      </c>
      <c r="C3" s="177">
        <f>株価一覧!E2</f>
        <v>1354</v>
      </c>
      <c r="D3" s="177">
        <f t="shared" ref="D3:D11" ca="1" si="0">AVERAGE(OFFSET(A3,0,COUNTA(G3:XFD3)+5,1,-5))</f>
        <v>1315.2</v>
      </c>
      <c r="E3" s="177">
        <f ca="1">IF(F3=0,0,AVERAGE(OFFSET(A3,0,COUNTA(G3:XFD3)+5,1,-15)))</f>
        <v>1534.2</v>
      </c>
      <c r="F3" s="177">
        <f ca="1">MIN(OFFSET(B3,0,COUNTA(G3:XFD3)+5,1,-15))</f>
        <v>1267</v>
      </c>
      <c r="G3" s="179">
        <v>875</v>
      </c>
      <c r="H3" s="179">
        <v>1042</v>
      </c>
      <c r="I3" s="179">
        <v>1062</v>
      </c>
      <c r="J3" s="179">
        <v>1008</v>
      </c>
      <c r="K3" s="179">
        <v>1084</v>
      </c>
      <c r="L3" s="179">
        <v>1071</v>
      </c>
      <c r="M3" s="179">
        <v>1052</v>
      </c>
      <c r="N3" s="179">
        <v>1015</v>
      </c>
      <c r="O3" s="179">
        <v>1059</v>
      </c>
      <c r="P3" s="179">
        <v>1044</v>
      </c>
      <c r="Q3" s="179">
        <v>1073</v>
      </c>
      <c r="R3" s="179">
        <v>1002</v>
      </c>
      <c r="S3" s="179">
        <v>982</v>
      </c>
      <c r="T3" s="179">
        <v>921</v>
      </c>
      <c r="U3" s="179">
        <v>952</v>
      </c>
      <c r="V3" s="179">
        <v>977</v>
      </c>
      <c r="W3" s="179">
        <v>966</v>
      </c>
      <c r="X3" s="179">
        <v>996</v>
      </c>
      <c r="Y3" s="179">
        <v>1030</v>
      </c>
      <c r="Z3" s="179">
        <v>1008</v>
      </c>
      <c r="AA3" s="179">
        <v>1040</v>
      </c>
      <c r="AB3" s="179">
        <v>976</v>
      </c>
      <c r="AC3" s="179">
        <v>902</v>
      </c>
      <c r="AD3" s="179">
        <v>838</v>
      </c>
      <c r="AE3" s="179">
        <v>852</v>
      </c>
      <c r="AF3" s="179">
        <v>845</v>
      </c>
      <c r="AG3" s="179">
        <v>890</v>
      </c>
      <c r="AH3" s="179">
        <v>871</v>
      </c>
      <c r="AI3" s="179">
        <v>874</v>
      </c>
      <c r="AJ3" s="179">
        <v>889</v>
      </c>
      <c r="AK3" s="179">
        <v>890</v>
      </c>
      <c r="AL3" s="179">
        <v>909</v>
      </c>
      <c r="AM3" s="179">
        <v>871</v>
      </c>
      <c r="AN3" s="179">
        <v>855</v>
      </c>
      <c r="AO3" s="179">
        <v>839</v>
      </c>
      <c r="AP3" s="179">
        <v>804</v>
      </c>
      <c r="AQ3" s="179">
        <v>818</v>
      </c>
      <c r="AR3" s="179">
        <v>810</v>
      </c>
      <c r="AS3" s="179">
        <v>811</v>
      </c>
      <c r="AT3" s="179">
        <v>820</v>
      </c>
      <c r="AU3" s="179">
        <v>904</v>
      </c>
      <c r="AV3" s="179">
        <v>991</v>
      </c>
      <c r="AW3" s="179">
        <v>1055</v>
      </c>
      <c r="AX3" s="179">
        <v>1025</v>
      </c>
      <c r="AY3" s="179">
        <v>1036</v>
      </c>
      <c r="AZ3" s="179">
        <v>1089</v>
      </c>
      <c r="BA3" s="179">
        <v>1042</v>
      </c>
      <c r="BB3" s="179">
        <v>1162</v>
      </c>
      <c r="BC3" s="179">
        <v>1098</v>
      </c>
      <c r="BD3" s="179">
        <v>1069</v>
      </c>
      <c r="BE3" s="179">
        <v>1047</v>
      </c>
      <c r="BF3" s="179">
        <v>1029</v>
      </c>
      <c r="BG3" s="179">
        <v>1042</v>
      </c>
      <c r="BH3" s="179">
        <v>1107</v>
      </c>
      <c r="BI3" s="179">
        <v>1407</v>
      </c>
      <c r="BJ3" s="179">
        <v>1599</v>
      </c>
      <c r="BK3" s="179">
        <v>1603</v>
      </c>
      <c r="BL3" s="179">
        <v>1639</v>
      </c>
      <c r="BM3" s="179">
        <v>1743</v>
      </c>
      <c r="BN3" s="179">
        <v>1792</v>
      </c>
      <c r="BO3" s="179">
        <v>1688</v>
      </c>
      <c r="BP3" s="179">
        <v>1575</v>
      </c>
      <c r="BQ3" s="179">
        <v>1720</v>
      </c>
      <c r="BR3" s="179">
        <v>1580</v>
      </c>
      <c r="BS3" s="179">
        <v>1597</v>
      </c>
      <c r="BT3" s="179">
        <v>1670</v>
      </c>
      <c r="BU3" s="179">
        <v>1603</v>
      </c>
      <c r="BV3" s="179">
        <v>1469</v>
      </c>
      <c r="BW3" s="179">
        <v>1332</v>
      </c>
      <c r="BX3" s="179">
        <v>1267</v>
      </c>
      <c r="BY3" s="179">
        <v>1339</v>
      </c>
      <c r="BZ3" s="179">
        <v>1284</v>
      </c>
      <c r="CA3" s="179">
        <v>1354</v>
      </c>
    </row>
    <row r="4" spans="1:79" x14ac:dyDescent="0.25">
      <c r="A4" s="49" t="s">
        <v>126</v>
      </c>
      <c r="B4" s="49" t="str">
        <f>セカンダリ投資分析!B5</f>
        <v>トレイダーズHD</v>
      </c>
      <c r="C4" s="177">
        <f>株価一覧!E3</f>
        <v>116</v>
      </c>
      <c r="D4" s="105">
        <f t="shared" ca="1" si="0"/>
        <v>116.4</v>
      </c>
      <c r="E4" s="177">
        <f t="shared" ref="E4:E33" ca="1" si="1">IF(F4=0,0,AVERAGE(OFFSET(A4,0,COUNTA(G4:XFD4)+5,1,-15)))</f>
        <v>120.06666666666666</v>
      </c>
      <c r="F4" s="110">
        <f ca="1">MIN(OFFSET(B4,0,COUNTA(G4:XFD4)+5,1,-15))</f>
        <v>113</v>
      </c>
      <c r="G4" s="178">
        <v>125</v>
      </c>
      <c r="H4" s="178">
        <v>132</v>
      </c>
      <c r="I4" s="178">
        <v>128</v>
      </c>
      <c r="J4" s="178">
        <v>129</v>
      </c>
      <c r="K4" s="178">
        <v>127</v>
      </c>
      <c r="L4" s="178">
        <v>127</v>
      </c>
      <c r="M4" s="178">
        <v>126</v>
      </c>
      <c r="N4" s="178">
        <v>123</v>
      </c>
      <c r="O4" s="178">
        <v>126</v>
      </c>
      <c r="P4" s="178">
        <v>124</v>
      </c>
      <c r="Q4" s="178">
        <v>122</v>
      </c>
      <c r="R4" s="178">
        <v>116</v>
      </c>
      <c r="S4" s="178">
        <v>117</v>
      </c>
      <c r="T4" s="178">
        <v>114</v>
      </c>
      <c r="U4" s="178">
        <v>121</v>
      </c>
      <c r="V4" s="178">
        <v>121</v>
      </c>
      <c r="W4" s="178">
        <v>117</v>
      </c>
      <c r="X4" s="178">
        <v>119</v>
      </c>
      <c r="Y4" s="178">
        <v>118</v>
      </c>
      <c r="Z4" s="178">
        <v>119</v>
      </c>
      <c r="AA4" s="178">
        <v>116</v>
      </c>
      <c r="AB4" s="178">
        <v>113</v>
      </c>
      <c r="AC4" s="178">
        <v>108</v>
      </c>
      <c r="AD4" s="178">
        <v>102</v>
      </c>
      <c r="AE4" s="178">
        <v>101</v>
      </c>
      <c r="AF4" s="178">
        <v>101</v>
      </c>
      <c r="AG4" s="178">
        <v>107</v>
      </c>
      <c r="AH4" s="178">
        <v>107</v>
      </c>
      <c r="AI4" s="178">
        <v>111</v>
      </c>
      <c r="AJ4" s="178">
        <v>107</v>
      </c>
      <c r="AK4" s="178">
        <v>105</v>
      </c>
      <c r="AL4" s="178">
        <v>104</v>
      </c>
      <c r="AM4" s="178">
        <v>104</v>
      </c>
      <c r="AN4" s="178">
        <v>111</v>
      </c>
      <c r="AO4" s="178">
        <v>105</v>
      </c>
      <c r="AP4" s="178">
        <v>106</v>
      </c>
      <c r="AQ4" s="178">
        <v>106</v>
      </c>
      <c r="AR4" s="178">
        <v>104</v>
      </c>
      <c r="AS4" s="178">
        <v>102</v>
      </c>
      <c r="AT4" s="178">
        <v>112</v>
      </c>
      <c r="AU4" s="178">
        <v>106</v>
      </c>
      <c r="AV4" s="178">
        <v>108</v>
      </c>
      <c r="AW4" s="178">
        <v>112</v>
      </c>
      <c r="AX4" s="178">
        <v>121</v>
      </c>
      <c r="AY4" s="178">
        <v>119</v>
      </c>
      <c r="AZ4" s="178">
        <v>111</v>
      </c>
      <c r="BA4" s="178">
        <v>123</v>
      </c>
      <c r="BB4" s="178">
        <v>122</v>
      </c>
      <c r="BC4" s="178">
        <v>119</v>
      </c>
      <c r="BD4" s="178">
        <v>118</v>
      </c>
      <c r="BE4" s="178">
        <v>116</v>
      </c>
      <c r="BF4" s="178">
        <v>115</v>
      </c>
      <c r="BG4" s="178">
        <v>118</v>
      </c>
      <c r="BH4" s="178">
        <v>112</v>
      </c>
      <c r="BI4" s="178">
        <v>114</v>
      </c>
      <c r="BJ4" s="178">
        <v>116</v>
      </c>
      <c r="BK4" s="178">
        <v>114</v>
      </c>
      <c r="BL4" s="178">
        <v>116</v>
      </c>
      <c r="BM4" s="178">
        <v>116</v>
      </c>
      <c r="BN4" s="178">
        <v>123</v>
      </c>
      <c r="BO4" s="178">
        <v>123</v>
      </c>
      <c r="BP4" s="178">
        <v>128</v>
      </c>
      <c r="BQ4" s="178">
        <v>128</v>
      </c>
      <c r="BR4" s="178">
        <v>120</v>
      </c>
      <c r="BS4" s="178">
        <v>120</v>
      </c>
      <c r="BT4" s="178">
        <v>117</v>
      </c>
      <c r="BU4" s="178">
        <v>118</v>
      </c>
      <c r="BV4" s="178">
        <v>126</v>
      </c>
      <c r="BW4" s="178">
        <v>120</v>
      </c>
      <c r="BX4" s="178">
        <v>116</v>
      </c>
      <c r="BY4" s="178">
        <v>117</v>
      </c>
      <c r="BZ4" s="178">
        <v>113</v>
      </c>
      <c r="CA4" s="178">
        <v>116</v>
      </c>
    </row>
    <row r="5" spans="1:79" x14ac:dyDescent="0.25">
      <c r="A5" s="49" t="s">
        <v>126</v>
      </c>
      <c r="B5" s="49" t="str">
        <f>セカンダリ投資分析!B6</f>
        <v>ソレイジア・ファーマ</v>
      </c>
      <c r="C5" s="177">
        <f>株価一覧!E4</f>
        <v>315</v>
      </c>
      <c r="D5" s="105">
        <f ca="1">AVERAGE(OFFSET(A5,0,COUNTA(G5:XFD5)+5,1,-5))</f>
        <v>308.8</v>
      </c>
      <c r="E5" s="177">
        <f t="shared" ca="1" si="1"/>
        <v>321.86666666666667</v>
      </c>
      <c r="F5" s="110">
        <f ca="1">MIN(OFFSET(B5,0,COUNTA(G5:XFD5)+5,1,-15))</f>
        <v>299</v>
      </c>
      <c r="G5" s="178">
        <v>290</v>
      </c>
      <c r="H5" s="178">
        <v>317</v>
      </c>
      <c r="I5" s="178">
        <v>313</v>
      </c>
      <c r="J5" s="178">
        <v>319</v>
      </c>
      <c r="K5" s="178">
        <v>309</v>
      </c>
      <c r="L5" s="178">
        <v>309</v>
      </c>
      <c r="M5" s="178">
        <v>309</v>
      </c>
      <c r="N5" s="178">
        <v>309</v>
      </c>
      <c r="O5" s="178">
        <v>314</v>
      </c>
      <c r="P5" s="178">
        <v>312</v>
      </c>
      <c r="Q5" s="178">
        <v>313</v>
      </c>
      <c r="R5" s="178">
        <v>306</v>
      </c>
      <c r="S5" s="178">
        <v>310</v>
      </c>
      <c r="T5" s="178">
        <v>304</v>
      </c>
      <c r="U5" s="178">
        <v>310</v>
      </c>
      <c r="V5" s="178">
        <v>311</v>
      </c>
      <c r="W5" s="178">
        <v>319</v>
      </c>
      <c r="X5" s="178">
        <v>368</v>
      </c>
      <c r="Y5" s="178">
        <v>380</v>
      </c>
      <c r="Z5" s="178">
        <v>380</v>
      </c>
      <c r="AA5" s="178">
        <v>361</v>
      </c>
      <c r="AB5" s="178">
        <v>375</v>
      </c>
      <c r="AC5" s="178">
        <v>374</v>
      </c>
      <c r="AD5" s="178">
        <v>359</v>
      </c>
      <c r="AE5" s="178">
        <v>367</v>
      </c>
      <c r="AF5" s="178">
        <v>361</v>
      </c>
      <c r="AG5" s="178">
        <v>369</v>
      </c>
      <c r="AH5" s="178">
        <v>391</v>
      </c>
      <c r="AI5" s="178">
        <v>376</v>
      </c>
      <c r="AJ5" s="178">
        <v>366</v>
      </c>
      <c r="AK5" s="178">
        <v>367</v>
      </c>
      <c r="AL5" s="178">
        <v>362</v>
      </c>
      <c r="AM5" s="178">
        <v>354</v>
      </c>
      <c r="AN5" s="178">
        <v>354</v>
      </c>
      <c r="AO5" s="178">
        <v>338</v>
      </c>
      <c r="AP5" s="178">
        <v>332</v>
      </c>
      <c r="AQ5" s="178">
        <v>344</v>
      </c>
      <c r="AR5" s="178">
        <v>335</v>
      </c>
      <c r="AS5" s="178">
        <v>325</v>
      </c>
      <c r="AT5" s="178">
        <v>327</v>
      </c>
      <c r="AU5" s="178">
        <v>324</v>
      </c>
      <c r="AV5" s="178">
        <v>335</v>
      </c>
      <c r="AW5" s="178">
        <v>338</v>
      </c>
      <c r="AX5" s="178">
        <v>343</v>
      </c>
      <c r="AY5" s="178">
        <v>350</v>
      </c>
      <c r="AZ5" s="178">
        <v>342</v>
      </c>
      <c r="BA5" s="178">
        <v>340</v>
      </c>
      <c r="BB5" s="178">
        <v>338</v>
      </c>
      <c r="BC5" s="178">
        <v>338</v>
      </c>
      <c r="BD5" s="178">
        <v>340</v>
      </c>
      <c r="BE5" s="178">
        <v>338</v>
      </c>
      <c r="BF5" s="178">
        <v>336</v>
      </c>
      <c r="BG5" s="178">
        <v>337</v>
      </c>
      <c r="BH5" s="178">
        <v>328</v>
      </c>
      <c r="BI5" s="178">
        <v>341</v>
      </c>
      <c r="BJ5" s="178">
        <v>340</v>
      </c>
      <c r="BK5" s="178">
        <v>337</v>
      </c>
      <c r="BL5" s="178">
        <v>332</v>
      </c>
      <c r="BM5" s="178">
        <v>331</v>
      </c>
      <c r="BN5" s="178">
        <v>332</v>
      </c>
      <c r="BO5" s="178">
        <v>327</v>
      </c>
      <c r="BP5" s="178">
        <v>333</v>
      </c>
      <c r="BQ5" s="178">
        <v>335</v>
      </c>
      <c r="BR5" s="178">
        <v>327</v>
      </c>
      <c r="BS5" s="178">
        <v>325</v>
      </c>
      <c r="BT5" s="178">
        <v>327</v>
      </c>
      <c r="BU5" s="178">
        <v>326</v>
      </c>
      <c r="BV5" s="178">
        <v>321</v>
      </c>
      <c r="BW5" s="178">
        <v>313</v>
      </c>
      <c r="BX5" s="178">
        <v>299</v>
      </c>
      <c r="BY5" s="178">
        <v>308</v>
      </c>
      <c r="BZ5" s="178">
        <v>309</v>
      </c>
      <c r="CA5" s="178">
        <v>315</v>
      </c>
    </row>
    <row r="6" spans="1:79" s="179" customFormat="1" x14ac:dyDescent="0.25">
      <c r="A6" s="49" t="str">
        <f>IPO監視一覧!H3</f>
        <v>A</v>
      </c>
      <c r="B6" s="43" t="str">
        <f>IPO監視一覧!B3</f>
        <v>Ｍマート</v>
      </c>
      <c r="C6" s="177">
        <f>株価一覧!E5</f>
        <v>3685</v>
      </c>
      <c r="D6" s="110">
        <f ca="1">AVERAGE(OFFSET(A6,0,COUNTA(G6:XFD6)+5,1,-5))</f>
        <v>3665</v>
      </c>
      <c r="E6" s="177">
        <f t="shared" ca="1" si="1"/>
        <v>3654</v>
      </c>
      <c r="F6" s="110">
        <f ca="1">MIN(OFFSET(B6,0,COUNTA(G6:XFD6)+5,1,-15))</f>
        <v>3565</v>
      </c>
      <c r="G6" s="179">
        <v>0</v>
      </c>
      <c r="H6" s="179">
        <v>0</v>
      </c>
      <c r="I6" s="179">
        <v>0</v>
      </c>
      <c r="J6" s="179">
        <v>0</v>
      </c>
      <c r="K6" s="179">
        <v>0</v>
      </c>
      <c r="L6" s="179">
        <v>0</v>
      </c>
      <c r="M6" s="179">
        <v>6200</v>
      </c>
      <c r="N6" s="179">
        <v>5860</v>
      </c>
      <c r="O6" s="179">
        <v>5790</v>
      </c>
      <c r="P6" s="179">
        <v>5850</v>
      </c>
      <c r="Q6" s="179">
        <v>5370</v>
      </c>
      <c r="R6" s="179">
        <v>4610</v>
      </c>
      <c r="S6" s="179">
        <v>4485</v>
      </c>
      <c r="T6" s="179">
        <v>4255</v>
      </c>
      <c r="U6" s="179">
        <v>4400</v>
      </c>
      <c r="V6" s="179">
        <v>4450</v>
      </c>
      <c r="W6" s="179">
        <v>4295</v>
      </c>
      <c r="X6" s="179">
        <v>4350</v>
      </c>
      <c r="Y6" s="179">
        <v>4475</v>
      </c>
      <c r="Z6" s="179">
        <v>4515</v>
      </c>
      <c r="AA6" s="179">
        <v>4955</v>
      </c>
      <c r="AB6" s="179">
        <v>4535</v>
      </c>
      <c r="AC6" s="179">
        <v>4100</v>
      </c>
      <c r="AD6" s="179">
        <v>3755</v>
      </c>
      <c r="AE6" s="179">
        <v>3860</v>
      </c>
      <c r="AF6" s="179">
        <v>4070</v>
      </c>
      <c r="AG6" s="179">
        <v>4245</v>
      </c>
      <c r="AH6" s="179">
        <v>4240</v>
      </c>
      <c r="AI6" s="179">
        <v>4175</v>
      </c>
      <c r="AJ6" s="179">
        <v>4265</v>
      </c>
      <c r="AK6" s="179">
        <v>4135</v>
      </c>
      <c r="AL6" s="179">
        <v>3880</v>
      </c>
      <c r="AM6" s="179">
        <v>3985</v>
      </c>
      <c r="AN6" s="179">
        <v>4025</v>
      </c>
      <c r="AO6" s="179">
        <v>3890</v>
      </c>
      <c r="AP6" s="179">
        <v>3815</v>
      </c>
      <c r="AQ6" s="179">
        <v>3820</v>
      </c>
      <c r="AR6" s="179">
        <v>3720</v>
      </c>
      <c r="AS6" s="179">
        <v>3775</v>
      </c>
      <c r="AT6" s="179">
        <v>3830</v>
      </c>
      <c r="AU6" s="179">
        <v>3770</v>
      </c>
      <c r="AV6" s="179">
        <v>3755</v>
      </c>
      <c r="AW6" s="179">
        <v>3690</v>
      </c>
      <c r="AX6" s="179">
        <v>3700</v>
      </c>
      <c r="AY6" s="179">
        <v>3655</v>
      </c>
      <c r="AZ6" s="179">
        <v>3665</v>
      </c>
      <c r="BA6" s="179">
        <v>3590</v>
      </c>
      <c r="BB6" s="179">
        <v>3525</v>
      </c>
      <c r="BC6" s="179">
        <v>3565</v>
      </c>
      <c r="BD6" s="179">
        <v>3580</v>
      </c>
      <c r="BE6" s="179">
        <v>3590</v>
      </c>
      <c r="BF6" s="179">
        <v>3740</v>
      </c>
      <c r="BG6" s="179">
        <v>3870</v>
      </c>
      <c r="BH6" s="179">
        <v>3770</v>
      </c>
      <c r="BI6" s="179">
        <v>3555</v>
      </c>
      <c r="BJ6" s="179">
        <v>3525</v>
      </c>
      <c r="BK6" s="179">
        <v>3565</v>
      </c>
      <c r="BL6" s="179">
        <v>3655</v>
      </c>
      <c r="BM6" s="179">
        <v>3715</v>
      </c>
      <c r="BN6" s="179">
        <v>3625</v>
      </c>
      <c r="BO6" s="179">
        <v>3635</v>
      </c>
      <c r="BP6" s="179">
        <v>3580</v>
      </c>
      <c r="BQ6" s="179">
        <v>3715</v>
      </c>
      <c r="BR6" s="179">
        <v>3650</v>
      </c>
      <c r="BS6" s="179">
        <v>3620</v>
      </c>
      <c r="BT6" s="179">
        <v>3565</v>
      </c>
      <c r="BU6" s="179">
        <v>3660</v>
      </c>
      <c r="BV6" s="179">
        <v>3720</v>
      </c>
      <c r="BW6" s="179">
        <v>3710</v>
      </c>
      <c r="BX6" s="179">
        <v>3600</v>
      </c>
      <c r="BY6" s="179">
        <v>3650</v>
      </c>
      <c r="BZ6" s="179">
        <v>3680</v>
      </c>
      <c r="CA6" s="179">
        <v>3685</v>
      </c>
    </row>
    <row r="7" spans="1:79" x14ac:dyDescent="0.25">
      <c r="A7" s="49" t="str">
        <f>IPO監視一覧!H4</f>
        <v>A</v>
      </c>
      <c r="B7" s="49" t="str">
        <f>IPO監視一覧!B4</f>
        <v>ジェイテックコーポレーション</v>
      </c>
      <c r="C7" s="177">
        <f>株価一覧!E6</f>
        <v>6670</v>
      </c>
      <c r="D7" s="105">
        <f t="shared" ca="1" si="0"/>
        <v>6588</v>
      </c>
      <c r="E7" s="177">
        <f t="shared" ca="1" si="1"/>
        <v>6577.333333333333</v>
      </c>
      <c r="F7" s="110">
        <f t="shared" ref="F7:F33" ca="1" si="2">MIN(OFFSET(B7,0,COUNTA(G7:XFD7)+5,1,-15))</f>
        <v>5900</v>
      </c>
      <c r="G7" s="178">
        <v>0</v>
      </c>
      <c r="H7" s="178">
        <v>0</v>
      </c>
      <c r="I7" s="178">
        <v>0</v>
      </c>
      <c r="J7" s="178">
        <v>0</v>
      </c>
      <c r="K7" s="178">
        <v>0</v>
      </c>
      <c r="L7" s="178">
        <v>0</v>
      </c>
      <c r="M7" s="178">
        <v>0</v>
      </c>
      <c r="N7" s="178">
        <v>0</v>
      </c>
      <c r="O7" s="178">
        <v>0</v>
      </c>
      <c r="P7" s="178">
        <v>11190</v>
      </c>
      <c r="Q7" s="178">
        <v>12520</v>
      </c>
      <c r="R7" s="178">
        <v>11120</v>
      </c>
      <c r="S7" s="178">
        <v>10000</v>
      </c>
      <c r="T7" s="178">
        <v>8900</v>
      </c>
      <c r="U7" s="178">
        <v>10390</v>
      </c>
      <c r="V7" s="178">
        <v>9460</v>
      </c>
      <c r="W7" s="178">
        <v>9690</v>
      </c>
      <c r="X7" s="178">
        <v>10960</v>
      </c>
      <c r="Y7" s="178">
        <v>11170</v>
      </c>
      <c r="Z7" s="178">
        <v>10240</v>
      </c>
      <c r="AA7" s="178">
        <v>10000</v>
      </c>
      <c r="AB7" s="178">
        <v>9450</v>
      </c>
      <c r="AC7" s="178">
        <v>9000</v>
      </c>
      <c r="AD7" s="178">
        <v>8170</v>
      </c>
      <c r="AE7" s="178">
        <v>8370</v>
      </c>
      <c r="AF7" s="178">
        <v>8040</v>
      </c>
      <c r="AG7" s="178">
        <v>7880</v>
      </c>
      <c r="AH7" s="178">
        <v>8060</v>
      </c>
      <c r="AI7" s="178">
        <v>8640</v>
      </c>
      <c r="AJ7" s="178">
        <v>8350</v>
      </c>
      <c r="AK7" s="178">
        <v>8900</v>
      </c>
      <c r="AL7" s="178">
        <v>8400</v>
      </c>
      <c r="AM7" s="178">
        <v>8210</v>
      </c>
      <c r="AN7" s="178">
        <v>8800</v>
      </c>
      <c r="AO7" s="178">
        <v>8740</v>
      </c>
      <c r="AP7" s="178">
        <v>9070</v>
      </c>
      <c r="AQ7" s="178">
        <v>9790</v>
      </c>
      <c r="AR7" s="178">
        <v>9430</v>
      </c>
      <c r="AS7" s="178">
        <v>9390</v>
      </c>
      <c r="AT7" s="178">
        <v>9020</v>
      </c>
      <c r="AU7" s="178">
        <v>8970</v>
      </c>
      <c r="AV7" s="178">
        <v>8790</v>
      </c>
      <c r="AW7" s="178">
        <v>8750</v>
      </c>
      <c r="AX7" s="178">
        <v>9150</v>
      </c>
      <c r="AY7" s="178">
        <v>9020</v>
      </c>
      <c r="AZ7" s="178">
        <v>8640</v>
      </c>
      <c r="BA7" s="178">
        <v>8430</v>
      </c>
      <c r="BB7" s="178">
        <v>8250</v>
      </c>
      <c r="BC7" s="178">
        <v>8160</v>
      </c>
      <c r="BD7" s="178">
        <v>8160</v>
      </c>
      <c r="BE7" s="178">
        <v>8130</v>
      </c>
      <c r="BF7" s="178">
        <v>8160</v>
      </c>
      <c r="BG7" s="178">
        <v>8410</v>
      </c>
      <c r="BH7" s="178">
        <v>7320</v>
      </c>
      <c r="BI7" s="178">
        <v>7080</v>
      </c>
      <c r="BJ7" s="178">
        <v>7300</v>
      </c>
      <c r="BK7" s="178">
        <v>7170</v>
      </c>
      <c r="BL7" s="178">
        <v>7290</v>
      </c>
      <c r="BM7" s="178">
        <v>7120</v>
      </c>
      <c r="BN7" s="178">
        <v>7050</v>
      </c>
      <c r="BO7" s="178">
        <v>6960</v>
      </c>
      <c r="BP7" s="178">
        <v>6840</v>
      </c>
      <c r="BQ7" s="178">
        <v>6580</v>
      </c>
      <c r="BR7" s="178">
        <v>6210</v>
      </c>
      <c r="BS7" s="178">
        <v>6120</v>
      </c>
      <c r="BT7" s="178">
        <v>5900</v>
      </c>
      <c r="BU7" s="178">
        <v>5970</v>
      </c>
      <c r="BV7" s="178">
        <v>6970</v>
      </c>
      <c r="BW7" s="178">
        <v>6400</v>
      </c>
      <c r="BX7" s="178">
        <v>6430</v>
      </c>
      <c r="BY7" s="178">
        <v>6570</v>
      </c>
      <c r="BZ7" s="178">
        <v>6870</v>
      </c>
      <c r="CA7" s="178">
        <v>6670</v>
      </c>
    </row>
    <row r="8" spans="1:79" x14ac:dyDescent="0.25">
      <c r="A8" s="49" t="str">
        <f>IPO監視一覧!H5</f>
        <v>B</v>
      </c>
      <c r="B8" s="49" t="str">
        <f>IPO監視一覧!B5</f>
        <v>ＳＥＲＩＯＨＤ</v>
      </c>
      <c r="C8" s="177">
        <f>株価一覧!E7</f>
        <v>2421</v>
      </c>
      <c r="D8" s="105">
        <f t="shared" ca="1" si="0"/>
        <v>2339.6</v>
      </c>
      <c r="E8" s="177">
        <f t="shared" ca="1" si="1"/>
        <v>2316.1999999999998</v>
      </c>
      <c r="F8" s="110">
        <f t="shared" ca="1" si="2"/>
        <v>2085</v>
      </c>
      <c r="G8" s="178">
        <v>0</v>
      </c>
      <c r="H8" s="178">
        <v>0</v>
      </c>
      <c r="I8" s="178">
        <v>0</v>
      </c>
      <c r="J8" s="178">
        <v>0</v>
      </c>
      <c r="K8" s="178">
        <v>0</v>
      </c>
      <c r="L8" s="178">
        <v>0</v>
      </c>
      <c r="M8" s="178">
        <v>0</v>
      </c>
      <c r="N8" s="178">
        <v>0</v>
      </c>
      <c r="O8" s="178">
        <v>0</v>
      </c>
      <c r="P8" s="178">
        <v>0</v>
      </c>
      <c r="Q8" s="178">
        <v>0</v>
      </c>
      <c r="R8" s="178">
        <v>3400</v>
      </c>
      <c r="S8" s="178">
        <v>3085</v>
      </c>
      <c r="T8" s="178">
        <v>2859</v>
      </c>
      <c r="U8" s="178">
        <v>3020</v>
      </c>
      <c r="V8" s="178">
        <v>2941</v>
      </c>
      <c r="W8" s="178">
        <v>2898</v>
      </c>
      <c r="X8" s="178">
        <v>3095</v>
      </c>
      <c r="Y8" s="178">
        <v>3190</v>
      </c>
      <c r="Z8" s="178">
        <v>3030</v>
      </c>
      <c r="AA8" s="178">
        <v>2911</v>
      </c>
      <c r="AB8" s="178">
        <v>2807</v>
      </c>
      <c r="AC8" s="178">
        <v>2755</v>
      </c>
      <c r="AD8" s="178">
        <v>2574</v>
      </c>
      <c r="AE8" s="178">
        <v>2500</v>
      </c>
      <c r="AF8" s="178">
        <v>2513</v>
      </c>
      <c r="AG8" s="178">
        <v>2450</v>
      </c>
      <c r="AH8" s="178">
        <v>2640</v>
      </c>
      <c r="AI8" s="178">
        <v>2660</v>
      </c>
      <c r="AJ8" s="178">
        <v>2701</v>
      </c>
      <c r="AK8" s="178">
        <v>2619</v>
      </c>
      <c r="AL8" s="178">
        <v>2620</v>
      </c>
      <c r="AM8" s="178">
        <v>2637</v>
      </c>
      <c r="AN8" s="178">
        <v>2552</v>
      </c>
      <c r="AO8" s="178">
        <v>2355</v>
      </c>
      <c r="AP8" s="178">
        <v>2349</v>
      </c>
      <c r="AQ8" s="178">
        <v>2218</v>
      </c>
      <c r="AR8" s="178">
        <v>2002</v>
      </c>
      <c r="AS8" s="178">
        <v>2084</v>
      </c>
      <c r="AT8" s="178">
        <v>2157</v>
      </c>
      <c r="AU8" s="178">
        <v>2135</v>
      </c>
      <c r="AV8" s="178">
        <v>2192</v>
      </c>
      <c r="AW8" s="178">
        <v>2161</v>
      </c>
      <c r="AX8" s="178">
        <v>2157</v>
      </c>
      <c r="AY8" s="178">
        <v>2117</v>
      </c>
      <c r="AZ8" s="178">
        <v>2039</v>
      </c>
      <c r="BA8" s="178">
        <v>2014</v>
      </c>
      <c r="BB8" s="178">
        <v>2008</v>
      </c>
      <c r="BC8" s="178">
        <v>2094</v>
      </c>
      <c r="BD8" s="178">
        <v>2102</v>
      </c>
      <c r="BE8" s="178">
        <v>2110</v>
      </c>
      <c r="BF8" s="178">
        <v>2146</v>
      </c>
      <c r="BG8" s="178">
        <v>2212</v>
      </c>
      <c r="BH8" s="178">
        <v>2076</v>
      </c>
      <c r="BI8" s="178">
        <v>2021</v>
      </c>
      <c r="BJ8" s="178">
        <v>2022</v>
      </c>
      <c r="BK8" s="178">
        <v>2099</v>
      </c>
      <c r="BL8" s="178">
        <v>2179</v>
      </c>
      <c r="BM8" s="178">
        <v>2123</v>
      </c>
      <c r="BN8" s="178">
        <v>2085</v>
      </c>
      <c r="BO8" s="178">
        <v>2174</v>
      </c>
      <c r="BP8" s="178">
        <v>2196</v>
      </c>
      <c r="BQ8" s="178">
        <v>2390</v>
      </c>
      <c r="BR8" s="178">
        <v>2357</v>
      </c>
      <c r="BS8" s="178">
        <v>2292</v>
      </c>
      <c r="BT8" s="178">
        <v>2439</v>
      </c>
      <c r="BU8" s="178">
        <v>2494</v>
      </c>
      <c r="BV8" s="178">
        <v>2495</v>
      </c>
      <c r="BW8" s="178">
        <v>2300</v>
      </c>
      <c r="BX8" s="178">
        <v>2272</v>
      </c>
      <c r="BY8" s="178">
        <v>2286</v>
      </c>
      <c r="BZ8" s="178">
        <v>2419</v>
      </c>
      <c r="CA8" s="178">
        <v>2421</v>
      </c>
    </row>
    <row r="9" spans="1:79" x14ac:dyDescent="0.25">
      <c r="A9" s="49" t="str">
        <f>IPO監視一覧!H6</f>
        <v>C</v>
      </c>
      <c r="B9" s="49" t="str">
        <f>IPO監視一覧!B6</f>
        <v>神戸天然物化学</v>
      </c>
      <c r="C9" s="177">
        <f>株価一覧!E8</f>
        <v>3700</v>
      </c>
      <c r="D9" s="105">
        <f t="shared" ca="1" si="0"/>
        <v>3635</v>
      </c>
      <c r="E9" s="177">
        <f t="shared" ca="1" si="1"/>
        <v>3552.3333333333335</v>
      </c>
      <c r="F9" s="110">
        <f t="shared" ca="1" si="2"/>
        <v>3375</v>
      </c>
      <c r="G9" s="178">
        <v>0</v>
      </c>
      <c r="H9" s="178">
        <v>0</v>
      </c>
      <c r="I9" s="178">
        <v>0</v>
      </c>
      <c r="J9" s="178">
        <v>0</v>
      </c>
      <c r="K9" s="178">
        <v>0</v>
      </c>
      <c r="L9" s="178">
        <v>0</v>
      </c>
      <c r="M9" s="178">
        <v>0</v>
      </c>
      <c r="N9" s="178">
        <v>0</v>
      </c>
      <c r="O9" s="178">
        <v>0</v>
      </c>
      <c r="P9" s="178">
        <v>0</v>
      </c>
      <c r="Q9" s="178">
        <v>0</v>
      </c>
      <c r="R9" s="178">
        <v>0</v>
      </c>
      <c r="S9" s="178">
        <v>0</v>
      </c>
      <c r="T9" s="178">
        <v>0</v>
      </c>
      <c r="U9" s="178">
        <v>0</v>
      </c>
      <c r="V9" s="178">
        <v>0</v>
      </c>
      <c r="W9" s="178">
        <v>0</v>
      </c>
      <c r="X9" s="178">
        <v>0</v>
      </c>
      <c r="Y9" s="178">
        <v>0</v>
      </c>
      <c r="Z9" s="178">
        <v>0</v>
      </c>
      <c r="AA9" s="178">
        <v>3390</v>
      </c>
      <c r="AB9" s="178">
        <v>3770</v>
      </c>
      <c r="AC9" s="178">
        <v>3595</v>
      </c>
      <c r="AD9" s="178">
        <v>3140</v>
      </c>
      <c r="AE9" s="178">
        <v>3350</v>
      </c>
      <c r="AF9" s="178">
        <v>3280</v>
      </c>
      <c r="AG9" s="178">
        <v>3520</v>
      </c>
      <c r="AH9" s="178">
        <v>3610</v>
      </c>
      <c r="AI9" s="178">
        <v>4310</v>
      </c>
      <c r="AJ9" s="178">
        <v>4325</v>
      </c>
      <c r="AK9" s="178">
        <v>4510</v>
      </c>
      <c r="AL9" s="178">
        <v>4260</v>
      </c>
      <c r="AM9" s="178">
        <v>4515</v>
      </c>
      <c r="AN9" s="178">
        <v>4415</v>
      </c>
      <c r="AO9" s="178">
        <v>4080</v>
      </c>
      <c r="AP9" s="178">
        <v>4015</v>
      </c>
      <c r="AQ9" s="178">
        <v>4075</v>
      </c>
      <c r="AR9" s="178">
        <v>3835</v>
      </c>
      <c r="AS9" s="178">
        <v>3885</v>
      </c>
      <c r="AT9" s="178">
        <v>3905</v>
      </c>
      <c r="AU9" s="178">
        <v>3770</v>
      </c>
      <c r="AV9" s="178">
        <v>3750</v>
      </c>
      <c r="AW9" s="178">
        <v>3550</v>
      </c>
      <c r="AX9" s="178">
        <v>3630</v>
      </c>
      <c r="AY9" s="178">
        <v>3855</v>
      </c>
      <c r="AZ9" s="178">
        <v>3675</v>
      </c>
      <c r="BA9" s="178">
        <v>3590</v>
      </c>
      <c r="BB9" s="178">
        <v>3590</v>
      </c>
      <c r="BC9" s="178">
        <v>3530</v>
      </c>
      <c r="BD9" s="178">
        <v>3490</v>
      </c>
      <c r="BE9" s="178">
        <v>3555</v>
      </c>
      <c r="BF9" s="178">
        <v>3455</v>
      </c>
      <c r="BG9" s="178">
        <v>3635</v>
      </c>
      <c r="BH9" s="178">
        <v>3350</v>
      </c>
      <c r="BI9" s="178">
        <v>3225</v>
      </c>
      <c r="BJ9" s="178">
        <v>3385</v>
      </c>
      <c r="BK9" s="178">
        <v>3315</v>
      </c>
      <c r="BL9" s="178">
        <v>3400</v>
      </c>
      <c r="BM9" s="178">
        <v>3365</v>
      </c>
      <c r="BN9" s="178">
        <v>3385</v>
      </c>
      <c r="BO9" s="178">
        <v>3375</v>
      </c>
      <c r="BP9" s="178">
        <v>3445</v>
      </c>
      <c r="BQ9" s="178">
        <v>3485</v>
      </c>
      <c r="BR9" s="178">
        <v>3670</v>
      </c>
      <c r="BS9" s="178">
        <v>3585</v>
      </c>
      <c r="BT9" s="178">
        <v>3440</v>
      </c>
      <c r="BU9" s="178">
        <v>3590</v>
      </c>
      <c r="BV9" s="178">
        <v>3770</v>
      </c>
      <c r="BW9" s="178">
        <v>3630</v>
      </c>
      <c r="BX9" s="178">
        <v>3600</v>
      </c>
      <c r="BY9" s="178">
        <v>3555</v>
      </c>
      <c r="BZ9" s="178">
        <v>3690</v>
      </c>
      <c r="CA9" s="178">
        <v>3700</v>
      </c>
    </row>
    <row r="10" spans="1:79" x14ac:dyDescent="0.25">
      <c r="A10" s="49" t="str">
        <f>IPO監視一覧!H7</f>
        <v>D</v>
      </c>
      <c r="B10" s="54" t="str">
        <f>IPO監視一覧!B7</f>
        <v>日総工産</v>
      </c>
      <c r="C10" s="177">
        <f>株価一覧!E9</f>
        <v>5620</v>
      </c>
      <c r="D10" s="105">
        <f t="shared" ca="1" si="0"/>
        <v>5530</v>
      </c>
      <c r="E10" s="177">
        <f t="shared" ca="1" si="1"/>
        <v>5296.333333333333</v>
      </c>
      <c r="F10" s="110">
        <f t="shared" ca="1" si="2"/>
        <v>4870</v>
      </c>
      <c r="G10" s="178">
        <v>0</v>
      </c>
      <c r="H10" s="178">
        <v>0</v>
      </c>
      <c r="I10" s="178">
        <v>0</v>
      </c>
      <c r="J10" s="178">
        <v>0</v>
      </c>
      <c r="K10" s="178">
        <v>0</v>
      </c>
      <c r="L10" s="178">
        <v>0</v>
      </c>
      <c r="M10" s="178">
        <v>0</v>
      </c>
      <c r="N10" s="178">
        <v>0</v>
      </c>
      <c r="O10" s="178">
        <v>0</v>
      </c>
      <c r="P10" s="178">
        <v>0</v>
      </c>
      <c r="Q10" s="178">
        <v>0</v>
      </c>
      <c r="R10" s="178">
        <v>0</v>
      </c>
      <c r="S10" s="178">
        <v>0</v>
      </c>
      <c r="T10" s="178">
        <v>0</v>
      </c>
      <c r="U10" s="178">
        <v>0</v>
      </c>
      <c r="V10" s="178">
        <v>0</v>
      </c>
      <c r="W10" s="178">
        <v>0</v>
      </c>
      <c r="X10" s="178">
        <v>0</v>
      </c>
      <c r="Y10" s="178">
        <v>0</v>
      </c>
      <c r="Z10" s="178">
        <v>0</v>
      </c>
      <c r="AA10" s="178">
        <v>4000</v>
      </c>
      <c r="AB10" s="178">
        <v>3880</v>
      </c>
      <c r="AC10" s="178">
        <v>4175</v>
      </c>
      <c r="AD10" s="178">
        <v>4065</v>
      </c>
      <c r="AE10" s="178">
        <v>3970</v>
      </c>
      <c r="AF10" s="178">
        <v>4035</v>
      </c>
      <c r="AG10" s="178">
        <v>4030</v>
      </c>
      <c r="AH10" s="178">
        <v>4345</v>
      </c>
      <c r="AI10" s="178">
        <v>4350</v>
      </c>
      <c r="AJ10" s="178">
        <v>4560</v>
      </c>
      <c r="AK10" s="178">
        <v>4550</v>
      </c>
      <c r="AL10" s="178">
        <v>4870</v>
      </c>
      <c r="AM10" s="178">
        <v>4885</v>
      </c>
      <c r="AN10" s="178">
        <v>4890</v>
      </c>
      <c r="AO10" s="178">
        <v>4550</v>
      </c>
      <c r="AP10" s="178">
        <v>4835</v>
      </c>
      <c r="AQ10" s="178">
        <v>4805</v>
      </c>
      <c r="AR10" s="178">
        <v>4400</v>
      </c>
      <c r="AS10" s="178">
        <v>4485</v>
      </c>
      <c r="AT10" s="178">
        <v>4535</v>
      </c>
      <c r="AU10" s="178">
        <v>4350</v>
      </c>
      <c r="AV10" s="178">
        <v>4520</v>
      </c>
      <c r="AW10" s="178">
        <v>4490</v>
      </c>
      <c r="AX10" s="178">
        <v>4345</v>
      </c>
      <c r="AY10" s="178">
        <v>4370</v>
      </c>
      <c r="AZ10" s="178">
        <v>4185</v>
      </c>
      <c r="BA10" s="178">
        <v>3930</v>
      </c>
      <c r="BB10" s="178">
        <v>4300</v>
      </c>
      <c r="BC10" s="178">
        <v>4140</v>
      </c>
      <c r="BD10" s="178">
        <v>4100</v>
      </c>
      <c r="BE10" s="178">
        <v>4650</v>
      </c>
      <c r="BF10" s="178">
        <v>4565</v>
      </c>
      <c r="BG10" s="178">
        <v>4795</v>
      </c>
      <c r="BH10" s="178">
        <v>4865</v>
      </c>
      <c r="BI10" s="178">
        <v>4860</v>
      </c>
      <c r="BJ10" s="178">
        <v>4895</v>
      </c>
      <c r="BK10" s="178">
        <v>4835</v>
      </c>
      <c r="BL10" s="178">
        <v>5090</v>
      </c>
      <c r="BM10" s="178">
        <v>4905</v>
      </c>
      <c r="BN10" s="178">
        <v>4870</v>
      </c>
      <c r="BO10" s="178">
        <v>5080</v>
      </c>
      <c r="BP10" s="178">
        <v>5110</v>
      </c>
      <c r="BQ10" s="178">
        <v>5070</v>
      </c>
      <c r="BR10" s="178">
        <v>5290</v>
      </c>
      <c r="BS10" s="178">
        <v>5130</v>
      </c>
      <c r="BT10" s="178">
        <v>5470</v>
      </c>
      <c r="BU10" s="178">
        <v>5290</v>
      </c>
      <c r="BV10" s="178">
        <v>5580</v>
      </c>
      <c r="BW10" s="178">
        <v>5460</v>
      </c>
      <c r="BX10" s="178">
        <v>5550</v>
      </c>
      <c r="BY10" s="178">
        <v>5260</v>
      </c>
      <c r="BZ10" s="178">
        <v>5760</v>
      </c>
      <c r="CA10" s="178">
        <v>5620</v>
      </c>
    </row>
    <row r="11" spans="1:79" x14ac:dyDescent="0.25">
      <c r="A11" s="49" t="str">
        <f>IPO監視一覧!H8</f>
        <v>B</v>
      </c>
      <c r="B11" s="49" t="str">
        <f>IPO監視一覧!B8</f>
        <v>フェイスネットワーク</v>
      </c>
      <c r="C11" s="177">
        <f>株価一覧!E10</f>
        <v>2224</v>
      </c>
      <c r="D11" s="105">
        <f t="shared" ca="1" si="0"/>
        <v>2145.4</v>
      </c>
      <c r="E11" s="177">
        <f t="shared" ca="1" si="1"/>
        <v>2198.6666666666665</v>
      </c>
      <c r="F11" s="110">
        <f t="shared" ca="1" si="2"/>
        <v>2081</v>
      </c>
      <c r="G11" s="178">
        <v>0</v>
      </c>
      <c r="H11" s="178">
        <v>0</v>
      </c>
      <c r="I11" s="178">
        <v>0</v>
      </c>
      <c r="J11" s="178">
        <v>0</v>
      </c>
      <c r="K11" s="178">
        <v>0</v>
      </c>
      <c r="L11" s="178">
        <v>0</v>
      </c>
      <c r="M11" s="178">
        <v>0</v>
      </c>
      <c r="N11" s="178">
        <v>0</v>
      </c>
      <c r="O11" s="178">
        <v>0</v>
      </c>
      <c r="P11" s="178">
        <v>0</v>
      </c>
      <c r="Q11" s="178">
        <v>0</v>
      </c>
      <c r="R11" s="178">
        <v>0</v>
      </c>
      <c r="S11" s="178">
        <v>0</v>
      </c>
      <c r="T11" s="178">
        <v>0</v>
      </c>
      <c r="U11" s="178">
        <v>0</v>
      </c>
      <c r="V11" s="178">
        <v>0</v>
      </c>
      <c r="W11" s="178">
        <v>0</v>
      </c>
      <c r="X11" s="178">
        <v>0</v>
      </c>
      <c r="Y11" s="178">
        <v>0</v>
      </c>
      <c r="Z11" s="178">
        <v>0</v>
      </c>
      <c r="AA11" s="178">
        <v>2500</v>
      </c>
      <c r="AB11" s="178">
        <v>2187</v>
      </c>
      <c r="AC11" s="178">
        <v>2216</v>
      </c>
      <c r="AD11" s="178">
        <v>1967</v>
      </c>
      <c r="AE11" s="178">
        <v>2005</v>
      </c>
      <c r="AF11" s="178">
        <v>1931</v>
      </c>
      <c r="AG11" s="178">
        <v>1890</v>
      </c>
      <c r="AH11" s="178">
        <v>1884</v>
      </c>
      <c r="AI11" s="178">
        <v>2095</v>
      </c>
      <c r="AJ11" s="178">
        <v>2250</v>
      </c>
      <c r="AK11" s="178">
        <v>2182</v>
      </c>
      <c r="AL11" s="178">
        <v>2087</v>
      </c>
      <c r="AM11" s="178">
        <v>1997</v>
      </c>
      <c r="AN11" s="178">
        <v>1960</v>
      </c>
      <c r="AO11" s="178">
        <v>2024</v>
      </c>
      <c r="AP11" s="178">
        <v>2001</v>
      </c>
      <c r="AQ11" s="178">
        <v>1981</v>
      </c>
      <c r="AR11" s="178">
        <v>1968</v>
      </c>
      <c r="AS11" s="178">
        <v>1935</v>
      </c>
      <c r="AT11" s="178">
        <v>1924</v>
      </c>
      <c r="AU11" s="178">
        <v>1939</v>
      </c>
      <c r="AV11" s="178">
        <v>1910</v>
      </c>
      <c r="AW11" s="178">
        <v>1919</v>
      </c>
      <c r="AX11" s="178">
        <v>1911</v>
      </c>
      <c r="AY11" s="178">
        <v>1908</v>
      </c>
      <c r="AZ11" s="178">
        <v>1871</v>
      </c>
      <c r="BA11" s="178">
        <v>1826</v>
      </c>
      <c r="BB11" s="178">
        <v>1794</v>
      </c>
      <c r="BC11" s="178">
        <v>1879</v>
      </c>
      <c r="BD11" s="178">
        <v>1903</v>
      </c>
      <c r="BE11" s="178">
        <v>1903</v>
      </c>
      <c r="BF11" s="178">
        <v>1917</v>
      </c>
      <c r="BG11" s="178">
        <v>2018</v>
      </c>
      <c r="BH11" s="178">
        <v>2105</v>
      </c>
      <c r="BI11" s="178">
        <v>2033</v>
      </c>
      <c r="BJ11" s="178">
        <v>2086</v>
      </c>
      <c r="BK11" s="178">
        <v>2230</v>
      </c>
      <c r="BL11" s="178">
        <v>2337</v>
      </c>
      <c r="BM11" s="178">
        <v>2297</v>
      </c>
      <c r="BN11" s="178">
        <v>2231</v>
      </c>
      <c r="BO11" s="178">
        <v>2240</v>
      </c>
      <c r="BP11" s="178">
        <v>2220</v>
      </c>
      <c r="BQ11" s="178">
        <v>2370</v>
      </c>
      <c r="BR11" s="178">
        <v>2270</v>
      </c>
      <c r="BS11" s="178">
        <v>2199</v>
      </c>
      <c r="BT11" s="178">
        <v>2184</v>
      </c>
      <c r="BU11" s="178">
        <v>2126</v>
      </c>
      <c r="BV11" s="178">
        <v>2116</v>
      </c>
      <c r="BW11" s="178">
        <v>2082</v>
      </c>
      <c r="BX11" s="178">
        <v>2081</v>
      </c>
      <c r="BY11" s="178">
        <v>2150</v>
      </c>
      <c r="BZ11" s="178">
        <v>2190</v>
      </c>
      <c r="CA11" s="178">
        <v>2224</v>
      </c>
    </row>
    <row r="12" spans="1:79" x14ac:dyDescent="0.25">
      <c r="A12" s="49" t="str">
        <f>IPO監視一覧!H9</f>
        <v>C</v>
      </c>
      <c r="B12" s="49" t="str">
        <f>IPO監視一覧!B9</f>
        <v>共和コーポレーション</v>
      </c>
      <c r="C12" s="177">
        <f>株価一覧!E11</f>
        <v>1698</v>
      </c>
      <c r="D12" s="105">
        <f t="shared" ref="D12" ca="1" si="3">AVERAGE(OFFSET(A12,0,COUNTA(G12:XFD12)+5,1,-5))</f>
        <v>1678.6</v>
      </c>
      <c r="E12" s="177">
        <f t="shared" ca="1" si="1"/>
        <v>1676.8</v>
      </c>
      <c r="F12" s="110">
        <f t="shared" ca="1" si="2"/>
        <v>1620</v>
      </c>
      <c r="G12" s="178">
        <v>0</v>
      </c>
      <c r="H12" s="178">
        <v>0</v>
      </c>
      <c r="I12" s="178">
        <v>0</v>
      </c>
      <c r="J12" s="178">
        <v>0</v>
      </c>
      <c r="K12" s="178">
        <v>0</v>
      </c>
      <c r="L12" s="178">
        <v>0</v>
      </c>
      <c r="M12" s="178">
        <v>0</v>
      </c>
      <c r="N12" s="178">
        <v>0</v>
      </c>
      <c r="O12" s="178">
        <v>0</v>
      </c>
      <c r="P12" s="178">
        <v>0</v>
      </c>
      <c r="Q12" s="178">
        <v>0</v>
      </c>
      <c r="R12" s="178">
        <v>0</v>
      </c>
      <c r="S12" s="178">
        <v>0</v>
      </c>
      <c r="T12" s="178">
        <v>0</v>
      </c>
      <c r="U12" s="178">
        <v>0</v>
      </c>
      <c r="V12" s="178">
        <v>0</v>
      </c>
      <c r="W12" s="178">
        <v>0</v>
      </c>
      <c r="X12" s="178">
        <v>0</v>
      </c>
      <c r="Y12" s="178">
        <v>0</v>
      </c>
      <c r="Z12" s="178">
        <v>0</v>
      </c>
      <c r="AA12" s="178">
        <v>0</v>
      </c>
      <c r="AB12" s="178">
        <v>2116</v>
      </c>
      <c r="AC12" s="178">
        <v>1905</v>
      </c>
      <c r="AD12" s="178">
        <v>1822</v>
      </c>
      <c r="AE12" s="178">
        <v>2009</v>
      </c>
      <c r="AF12" s="178">
        <v>1980</v>
      </c>
      <c r="AG12" s="178">
        <v>2016</v>
      </c>
      <c r="AH12" s="178">
        <v>2001</v>
      </c>
      <c r="AI12" s="178">
        <v>1986</v>
      </c>
      <c r="AJ12" s="178">
        <v>1986</v>
      </c>
      <c r="AK12" s="178">
        <v>1910</v>
      </c>
      <c r="AL12" s="178">
        <v>1920</v>
      </c>
      <c r="AM12" s="178">
        <v>1970</v>
      </c>
      <c r="AN12" s="178">
        <v>2061</v>
      </c>
      <c r="AO12" s="178">
        <v>2023</v>
      </c>
      <c r="AP12" s="178">
        <v>1992</v>
      </c>
      <c r="AQ12" s="178">
        <v>1970</v>
      </c>
      <c r="AR12" s="178">
        <v>1970</v>
      </c>
      <c r="AS12" s="178">
        <v>1902</v>
      </c>
      <c r="AT12" s="178">
        <v>1916</v>
      </c>
      <c r="AU12" s="178">
        <v>1981</v>
      </c>
      <c r="AV12" s="178">
        <v>1959</v>
      </c>
      <c r="AW12" s="178">
        <v>1955</v>
      </c>
      <c r="AX12" s="178">
        <v>1959</v>
      </c>
      <c r="AY12" s="178">
        <v>1925</v>
      </c>
      <c r="AZ12" s="178">
        <v>1934</v>
      </c>
      <c r="BA12" s="178">
        <v>1920</v>
      </c>
      <c r="BB12" s="178">
        <v>2045</v>
      </c>
      <c r="BC12" s="178">
        <v>2071</v>
      </c>
      <c r="BD12" s="178">
        <v>2094</v>
      </c>
      <c r="BE12" s="178">
        <v>2069</v>
      </c>
      <c r="BF12" s="178">
        <v>2047</v>
      </c>
      <c r="BG12" s="178">
        <v>2018</v>
      </c>
      <c r="BH12" s="178">
        <v>1799</v>
      </c>
      <c r="BI12" s="178">
        <v>1702</v>
      </c>
      <c r="BJ12" s="178">
        <v>1764</v>
      </c>
      <c r="BK12" s="178">
        <v>1775</v>
      </c>
      <c r="BL12" s="178">
        <v>1783</v>
      </c>
      <c r="BM12" s="178">
        <v>1735</v>
      </c>
      <c r="BN12" s="178">
        <v>1735</v>
      </c>
      <c r="BO12" s="178">
        <v>1726</v>
      </c>
      <c r="BP12" s="178">
        <v>1699</v>
      </c>
      <c r="BQ12" s="178">
        <v>1680</v>
      </c>
      <c r="BR12" s="178">
        <v>1656</v>
      </c>
      <c r="BS12" s="178">
        <v>1625</v>
      </c>
      <c r="BT12" s="178">
        <v>1623</v>
      </c>
      <c r="BU12" s="178">
        <v>1620</v>
      </c>
      <c r="BV12" s="178">
        <v>1660</v>
      </c>
      <c r="BW12" s="178">
        <v>1670</v>
      </c>
      <c r="BX12" s="178">
        <v>1681</v>
      </c>
      <c r="BY12" s="178">
        <v>1699</v>
      </c>
      <c r="BZ12" s="178">
        <v>1645</v>
      </c>
      <c r="CA12" s="178">
        <v>1698</v>
      </c>
    </row>
    <row r="13" spans="1:79" x14ac:dyDescent="0.25">
      <c r="A13" s="49" t="str">
        <f>IPO監視一覧!H10</f>
        <v>D</v>
      </c>
      <c r="B13" s="49" t="str">
        <f>IPO監視一覧!B10</f>
        <v>信和</v>
      </c>
      <c r="C13" s="177">
        <f>株価一覧!E12</f>
        <v>1144</v>
      </c>
      <c r="D13" s="105">
        <f t="shared" ref="D13:D33" ca="1" si="4">AVERAGE(OFFSET(A13,0,COUNTA(G13:XFD13)+5,1,-5))</f>
        <v>1109</v>
      </c>
      <c r="E13" s="177">
        <f t="shared" ca="1" si="1"/>
        <v>1125.9333333333334</v>
      </c>
      <c r="F13" s="110">
        <f t="shared" ca="1" si="2"/>
        <v>1094</v>
      </c>
      <c r="G13" s="178">
        <v>0</v>
      </c>
      <c r="H13" s="178">
        <v>0</v>
      </c>
      <c r="I13" s="178">
        <v>0</v>
      </c>
      <c r="J13" s="178">
        <v>0</v>
      </c>
      <c r="K13" s="178">
        <v>0</v>
      </c>
      <c r="L13" s="178">
        <v>0</v>
      </c>
      <c r="M13" s="178">
        <v>0</v>
      </c>
      <c r="N13" s="178">
        <v>0</v>
      </c>
      <c r="O13" s="178">
        <v>0</v>
      </c>
      <c r="P13" s="178">
        <v>0</v>
      </c>
      <c r="Q13" s="178">
        <v>0</v>
      </c>
      <c r="R13" s="178">
        <v>0</v>
      </c>
      <c r="S13" s="178">
        <v>0</v>
      </c>
      <c r="T13" s="178">
        <v>0</v>
      </c>
      <c r="U13" s="178">
        <v>0</v>
      </c>
      <c r="V13" s="178">
        <v>0</v>
      </c>
      <c r="W13" s="178">
        <v>0</v>
      </c>
      <c r="X13" s="178">
        <v>0</v>
      </c>
      <c r="Y13" s="178">
        <v>0</v>
      </c>
      <c r="Z13" s="178">
        <v>0</v>
      </c>
      <c r="AA13" s="178">
        <v>0</v>
      </c>
      <c r="AB13" s="178">
        <v>0</v>
      </c>
      <c r="AC13" s="178">
        <v>1140</v>
      </c>
      <c r="AD13" s="178">
        <v>1118</v>
      </c>
      <c r="AE13" s="178">
        <v>1110</v>
      </c>
      <c r="AF13" s="178">
        <v>1133</v>
      </c>
      <c r="AG13" s="178">
        <v>1081</v>
      </c>
      <c r="AH13" s="178">
        <v>1056</v>
      </c>
      <c r="AI13" s="178">
        <v>1041</v>
      </c>
      <c r="AJ13" s="178">
        <v>1077</v>
      </c>
      <c r="AK13" s="178">
        <v>1067</v>
      </c>
      <c r="AL13" s="178">
        <v>1101</v>
      </c>
      <c r="AM13" s="178">
        <v>1133</v>
      </c>
      <c r="AN13" s="178">
        <v>1140</v>
      </c>
      <c r="AO13" s="178">
        <v>1105</v>
      </c>
      <c r="AP13" s="178">
        <v>1093</v>
      </c>
      <c r="AQ13" s="178">
        <v>1099</v>
      </c>
      <c r="AR13" s="178">
        <v>1094</v>
      </c>
      <c r="AS13" s="178">
        <v>1086</v>
      </c>
      <c r="AT13" s="178">
        <v>1095</v>
      </c>
      <c r="AU13" s="178">
        <v>1095</v>
      </c>
      <c r="AV13" s="178">
        <v>1106</v>
      </c>
      <c r="AW13" s="178">
        <v>1096</v>
      </c>
      <c r="AX13" s="178">
        <v>1100</v>
      </c>
      <c r="AY13" s="178">
        <v>1100</v>
      </c>
      <c r="AZ13" s="178">
        <v>1105</v>
      </c>
      <c r="BA13" s="178">
        <v>1101</v>
      </c>
      <c r="BB13" s="178">
        <v>1117</v>
      </c>
      <c r="BC13" s="178">
        <v>1121</v>
      </c>
      <c r="BD13" s="178">
        <v>1140</v>
      </c>
      <c r="BE13" s="178">
        <v>1165</v>
      </c>
      <c r="BF13" s="178">
        <v>1158</v>
      </c>
      <c r="BG13" s="178">
        <v>1163</v>
      </c>
      <c r="BH13" s="178">
        <v>1170</v>
      </c>
      <c r="BI13" s="178">
        <v>1154</v>
      </c>
      <c r="BJ13" s="178">
        <v>1138</v>
      </c>
      <c r="BK13" s="178">
        <v>1137</v>
      </c>
      <c r="BL13" s="178">
        <v>1145</v>
      </c>
      <c r="BM13" s="178">
        <v>1145</v>
      </c>
      <c r="BN13" s="178">
        <v>1143</v>
      </c>
      <c r="BO13" s="178">
        <v>1143</v>
      </c>
      <c r="BP13" s="178">
        <v>1141</v>
      </c>
      <c r="BQ13" s="178">
        <v>1145</v>
      </c>
      <c r="BR13" s="178">
        <v>1143</v>
      </c>
      <c r="BS13" s="178">
        <v>1126</v>
      </c>
      <c r="BT13" s="178">
        <v>1123</v>
      </c>
      <c r="BU13" s="178">
        <v>1119</v>
      </c>
      <c r="BV13" s="178">
        <v>1116</v>
      </c>
      <c r="BW13" s="178">
        <v>1112</v>
      </c>
      <c r="BX13" s="178">
        <v>1094</v>
      </c>
      <c r="BY13" s="178">
        <v>1101</v>
      </c>
      <c r="BZ13" s="178">
        <v>1094</v>
      </c>
      <c r="CA13" s="178">
        <v>1144</v>
      </c>
    </row>
    <row r="14" spans="1:79" x14ac:dyDescent="0.25">
      <c r="A14" s="49" t="str">
        <f>IPO監視一覧!H11</f>
        <v>D</v>
      </c>
      <c r="B14" s="49" t="str">
        <f>IPO監視一覧!B11</f>
        <v>ＳＯＵ</v>
      </c>
      <c r="C14" s="177">
        <f>株価一覧!E13</f>
        <v>6230</v>
      </c>
      <c r="D14" s="105">
        <f t="shared" ca="1" si="4"/>
        <v>5856</v>
      </c>
      <c r="E14" s="177">
        <f t="shared" ca="1" si="1"/>
        <v>5682.666666666667</v>
      </c>
      <c r="F14" s="110">
        <f t="shared" ca="1" si="2"/>
        <v>5400</v>
      </c>
      <c r="G14" s="178">
        <v>0</v>
      </c>
      <c r="H14" s="178">
        <v>0</v>
      </c>
      <c r="I14" s="178">
        <v>0</v>
      </c>
      <c r="J14" s="178">
        <v>0</v>
      </c>
      <c r="K14" s="178">
        <v>0</v>
      </c>
      <c r="L14" s="178">
        <v>0</v>
      </c>
      <c r="M14" s="178">
        <v>0</v>
      </c>
      <c r="N14" s="178">
        <v>0</v>
      </c>
      <c r="O14" s="178">
        <v>0</v>
      </c>
      <c r="P14" s="178">
        <v>0</v>
      </c>
      <c r="Q14" s="178">
        <v>0</v>
      </c>
      <c r="R14" s="178">
        <v>0</v>
      </c>
      <c r="S14" s="178">
        <v>0</v>
      </c>
      <c r="T14" s="178">
        <v>0</v>
      </c>
      <c r="U14" s="178">
        <v>0</v>
      </c>
      <c r="V14" s="178">
        <v>0</v>
      </c>
      <c r="W14" s="178">
        <v>0</v>
      </c>
      <c r="X14" s="178">
        <v>0</v>
      </c>
      <c r="Y14" s="178">
        <v>0</v>
      </c>
      <c r="Z14" s="178">
        <v>0</v>
      </c>
      <c r="AA14" s="178">
        <v>0</v>
      </c>
      <c r="AB14" s="178">
        <v>0</v>
      </c>
      <c r="AC14" s="178">
        <v>3900</v>
      </c>
      <c r="AD14" s="178">
        <v>3980</v>
      </c>
      <c r="AE14" s="178">
        <v>4680</v>
      </c>
      <c r="AF14" s="178">
        <v>4335</v>
      </c>
      <c r="AG14" s="178">
        <v>4590</v>
      </c>
      <c r="AH14" s="178">
        <v>5290</v>
      </c>
      <c r="AI14" s="178">
        <v>6000</v>
      </c>
      <c r="AJ14" s="178">
        <v>6350</v>
      </c>
      <c r="AK14" s="178">
        <v>6870</v>
      </c>
      <c r="AL14" s="178">
        <v>7520</v>
      </c>
      <c r="AM14" s="178">
        <v>6940</v>
      </c>
      <c r="AN14" s="178">
        <v>6000</v>
      </c>
      <c r="AO14" s="178">
        <v>5800</v>
      </c>
      <c r="AP14" s="178">
        <v>5800</v>
      </c>
      <c r="AQ14" s="178">
        <v>5860</v>
      </c>
      <c r="AR14" s="178">
        <v>6650</v>
      </c>
      <c r="AS14" s="178">
        <v>7110</v>
      </c>
      <c r="AT14" s="178">
        <v>6870</v>
      </c>
      <c r="AU14" s="178">
        <v>6100</v>
      </c>
      <c r="AV14" s="178">
        <v>6170</v>
      </c>
      <c r="AW14" s="178">
        <v>5900</v>
      </c>
      <c r="AX14" s="178">
        <v>5700</v>
      </c>
      <c r="AY14" s="178">
        <v>5630</v>
      </c>
      <c r="AZ14" s="178">
        <v>5500</v>
      </c>
      <c r="BA14" s="178">
        <v>5190</v>
      </c>
      <c r="BB14" s="178">
        <v>5930</v>
      </c>
      <c r="BC14" s="178">
        <v>5810</v>
      </c>
      <c r="BD14" s="178">
        <v>5610</v>
      </c>
      <c r="BE14" s="178">
        <v>5650</v>
      </c>
      <c r="BF14" s="178">
        <v>5450</v>
      </c>
      <c r="BG14" s="178">
        <v>5160</v>
      </c>
      <c r="BH14" s="178">
        <v>5170</v>
      </c>
      <c r="BI14" s="178">
        <v>4900</v>
      </c>
      <c r="BJ14" s="178">
        <v>5570</v>
      </c>
      <c r="BK14" s="178">
        <v>5400</v>
      </c>
      <c r="BL14" s="178">
        <v>5870</v>
      </c>
      <c r="BM14" s="178">
        <v>5680</v>
      </c>
      <c r="BN14" s="178">
        <v>5630</v>
      </c>
      <c r="BO14" s="178">
        <v>5460</v>
      </c>
      <c r="BP14" s="178">
        <v>5570</v>
      </c>
      <c r="BQ14" s="178">
        <v>5400</v>
      </c>
      <c r="BR14" s="178">
        <v>5650</v>
      </c>
      <c r="BS14" s="178">
        <v>5440</v>
      </c>
      <c r="BT14" s="178">
        <v>5710</v>
      </c>
      <c r="BU14" s="178">
        <v>5640</v>
      </c>
      <c r="BV14" s="178">
        <v>5780</v>
      </c>
      <c r="BW14" s="178">
        <v>5570</v>
      </c>
      <c r="BX14" s="178">
        <v>5800</v>
      </c>
      <c r="BY14" s="178">
        <v>5720</v>
      </c>
      <c r="BZ14" s="178">
        <v>5960</v>
      </c>
      <c r="CA14" s="178">
        <v>6230</v>
      </c>
    </row>
    <row r="15" spans="1:79" x14ac:dyDescent="0.25">
      <c r="A15" s="49" t="str">
        <f>IPO監視一覧!H12</f>
        <v>D</v>
      </c>
      <c r="B15" s="49" t="str">
        <f>IPO監視一覧!B12</f>
        <v>キュービーネットHD</v>
      </c>
      <c r="C15" s="177">
        <f>株価一覧!E14</f>
        <v>1815</v>
      </c>
      <c r="D15" s="105">
        <f t="shared" ca="1" si="4"/>
        <v>1818.8</v>
      </c>
      <c r="E15" s="177">
        <f t="shared" ca="1" si="1"/>
        <v>1777.4</v>
      </c>
      <c r="F15" s="110">
        <f t="shared" ca="1" si="2"/>
        <v>1677</v>
      </c>
      <c r="G15" s="178">
        <v>0</v>
      </c>
      <c r="H15" s="178">
        <v>0</v>
      </c>
      <c r="I15" s="178">
        <v>0</v>
      </c>
      <c r="J15" s="178">
        <v>0</v>
      </c>
      <c r="K15" s="178">
        <v>0</v>
      </c>
      <c r="L15" s="178">
        <v>0</v>
      </c>
      <c r="M15" s="178">
        <v>0</v>
      </c>
      <c r="N15" s="178">
        <v>0</v>
      </c>
      <c r="O15" s="178">
        <v>0</v>
      </c>
      <c r="P15" s="178">
        <v>0</v>
      </c>
      <c r="Q15" s="178">
        <v>0</v>
      </c>
      <c r="R15" s="178">
        <v>0</v>
      </c>
      <c r="S15" s="178">
        <v>0</v>
      </c>
      <c r="T15" s="178">
        <v>0</v>
      </c>
      <c r="U15" s="178">
        <v>0</v>
      </c>
      <c r="V15" s="178">
        <v>0</v>
      </c>
      <c r="W15" s="178">
        <v>0</v>
      </c>
      <c r="X15" s="178">
        <v>0</v>
      </c>
      <c r="Y15" s="178">
        <v>0</v>
      </c>
      <c r="Z15" s="178">
        <v>0</v>
      </c>
      <c r="AA15" s="178">
        <v>0</v>
      </c>
      <c r="AB15" s="178">
        <v>0</v>
      </c>
      <c r="AC15" s="178">
        <v>0</v>
      </c>
      <c r="AD15" s="178">
        <v>2225</v>
      </c>
      <c r="AE15" s="178">
        <v>2220</v>
      </c>
      <c r="AF15" s="178">
        <v>2140</v>
      </c>
      <c r="AG15" s="178">
        <v>2011</v>
      </c>
      <c r="AH15" s="178">
        <v>1980</v>
      </c>
      <c r="AI15" s="178">
        <v>2080</v>
      </c>
      <c r="AJ15" s="178">
        <v>2113</v>
      </c>
      <c r="AK15" s="178">
        <v>2160</v>
      </c>
      <c r="AL15" s="178">
        <v>2160</v>
      </c>
      <c r="AM15" s="178">
        <v>2119</v>
      </c>
      <c r="AN15" s="178">
        <v>2219</v>
      </c>
      <c r="AO15" s="178">
        <v>2225</v>
      </c>
      <c r="AP15" s="178">
        <v>2210</v>
      </c>
      <c r="AQ15" s="178">
        <v>2241</v>
      </c>
      <c r="AR15" s="178">
        <v>2207</v>
      </c>
      <c r="AS15" s="178">
        <v>2195</v>
      </c>
      <c r="AT15" s="178">
        <v>2216</v>
      </c>
      <c r="AU15" s="178">
        <v>2193</v>
      </c>
      <c r="AV15" s="178">
        <v>2187</v>
      </c>
      <c r="AW15" s="178">
        <v>2140</v>
      </c>
      <c r="AX15" s="178">
        <v>2105</v>
      </c>
      <c r="AY15" s="178">
        <v>2104</v>
      </c>
      <c r="AZ15" s="178">
        <v>2054</v>
      </c>
      <c r="BA15" s="178">
        <v>1957</v>
      </c>
      <c r="BB15" s="178">
        <v>1876</v>
      </c>
      <c r="BC15" s="178">
        <v>1934</v>
      </c>
      <c r="BD15" s="178">
        <v>1951</v>
      </c>
      <c r="BE15" s="178">
        <v>1952</v>
      </c>
      <c r="BF15" s="178">
        <v>1947</v>
      </c>
      <c r="BG15" s="178">
        <v>1924</v>
      </c>
      <c r="BH15" s="178">
        <v>1963</v>
      </c>
      <c r="BI15" s="178">
        <v>1896</v>
      </c>
      <c r="BJ15" s="178">
        <v>1829</v>
      </c>
      <c r="BK15" s="178">
        <v>1830</v>
      </c>
      <c r="BL15" s="178">
        <v>1828</v>
      </c>
      <c r="BM15" s="178">
        <v>1821</v>
      </c>
      <c r="BN15" s="178">
        <v>1800</v>
      </c>
      <c r="BO15" s="178">
        <v>1805</v>
      </c>
      <c r="BP15" s="178">
        <v>1778</v>
      </c>
      <c r="BQ15" s="178">
        <v>1700</v>
      </c>
      <c r="BR15" s="178">
        <v>1677</v>
      </c>
      <c r="BS15" s="178">
        <v>1736</v>
      </c>
      <c r="BT15" s="178">
        <v>1785</v>
      </c>
      <c r="BU15" s="178">
        <v>1733</v>
      </c>
      <c r="BV15" s="178">
        <v>1732</v>
      </c>
      <c r="BW15" s="178">
        <v>1824</v>
      </c>
      <c r="BX15" s="178">
        <v>1804</v>
      </c>
      <c r="BY15" s="178">
        <v>1843</v>
      </c>
      <c r="BZ15" s="178">
        <v>1808</v>
      </c>
      <c r="CA15" s="178">
        <v>1815</v>
      </c>
    </row>
    <row r="16" spans="1:79" x14ac:dyDescent="0.25">
      <c r="A16" s="49" t="str">
        <f>IPO監視一覧!H13</f>
        <v>B</v>
      </c>
      <c r="B16" s="49" t="str">
        <f>IPO監視一覧!B13</f>
        <v>ファイバーゲート</v>
      </c>
      <c r="C16" s="177">
        <f>株価一覧!E15</f>
        <v>3595</v>
      </c>
      <c r="D16" s="105">
        <f t="shared" ca="1" si="4"/>
        <v>3545</v>
      </c>
      <c r="E16" s="177">
        <f t="shared" ca="1" si="1"/>
        <v>3371</v>
      </c>
      <c r="F16" s="110">
        <f t="shared" ca="1" si="2"/>
        <v>3110</v>
      </c>
      <c r="G16" s="178">
        <v>0</v>
      </c>
      <c r="H16" s="178">
        <v>0</v>
      </c>
      <c r="I16" s="178">
        <v>0</v>
      </c>
      <c r="J16" s="178">
        <v>0</v>
      </c>
      <c r="K16" s="178">
        <v>0</v>
      </c>
      <c r="L16" s="178">
        <v>0</v>
      </c>
      <c r="M16" s="178">
        <v>0</v>
      </c>
      <c r="N16" s="178">
        <v>0</v>
      </c>
      <c r="O16" s="178">
        <v>0</v>
      </c>
      <c r="P16" s="178">
        <v>0</v>
      </c>
      <c r="Q16" s="178">
        <v>0</v>
      </c>
      <c r="R16" s="178">
        <v>0</v>
      </c>
      <c r="S16" s="178">
        <v>0</v>
      </c>
      <c r="T16" s="178">
        <v>0</v>
      </c>
      <c r="U16" s="178">
        <v>0</v>
      </c>
      <c r="V16" s="178">
        <v>0</v>
      </c>
      <c r="W16" s="178">
        <v>0</v>
      </c>
      <c r="X16" s="178">
        <v>0</v>
      </c>
      <c r="Y16" s="178">
        <v>0</v>
      </c>
      <c r="Z16" s="178">
        <v>0</v>
      </c>
      <c r="AA16" s="178">
        <v>0</v>
      </c>
      <c r="AB16" s="178">
        <v>0</v>
      </c>
      <c r="AC16" s="178">
        <v>0</v>
      </c>
      <c r="AD16" s="178">
        <v>0</v>
      </c>
      <c r="AE16" s="178">
        <v>2221</v>
      </c>
      <c r="AF16" s="178">
        <v>2721</v>
      </c>
      <c r="AG16" s="178">
        <v>2480</v>
      </c>
      <c r="AH16" s="178">
        <v>2513</v>
      </c>
      <c r="AI16" s="178">
        <v>3005</v>
      </c>
      <c r="AJ16" s="178">
        <v>2871</v>
      </c>
      <c r="AK16" s="178">
        <v>3150</v>
      </c>
      <c r="AL16" s="178">
        <v>3195</v>
      </c>
      <c r="AM16" s="178">
        <v>3175</v>
      </c>
      <c r="AN16" s="178">
        <v>2700</v>
      </c>
      <c r="AO16" s="178">
        <v>2452</v>
      </c>
      <c r="AP16" s="178">
        <v>2309</v>
      </c>
      <c r="AQ16" s="178">
        <v>2372</v>
      </c>
      <c r="AR16" s="178">
        <v>2210</v>
      </c>
      <c r="AS16" s="178">
        <v>2223</v>
      </c>
      <c r="AT16" s="178">
        <v>2366</v>
      </c>
      <c r="AU16" s="178">
        <v>2441</v>
      </c>
      <c r="AV16" s="178">
        <v>2433</v>
      </c>
      <c r="AW16" s="178">
        <v>2363</v>
      </c>
      <c r="AX16" s="178">
        <v>2287</v>
      </c>
      <c r="AY16" s="178">
        <v>2217</v>
      </c>
      <c r="AZ16" s="178">
        <v>2231</v>
      </c>
      <c r="BA16" s="178">
        <v>2210</v>
      </c>
      <c r="BB16" s="178">
        <v>2355</v>
      </c>
      <c r="BC16" s="178">
        <v>2390</v>
      </c>
      <c r="BD16" s="178">
        <v>2508</v>
      </c>
      <c r="BE16" s="178">
        <v>2614</v>
      </c>
      <c r="BF16" s="178">
        <v>2384</v>
      </c>
      <c r="BG16" s="178">
        <v>2370</v>
      </c>
      <c r="BH16" s="178">
        <v>2448</v>
      </c>
      <c r="BI16" s="178">
        <v>2749</v>
      </c>
      <c r="BJ16" s="178">
        <v>2835</v>
      </c>
      <c r="BK16" s="178">
        <v>2698</v>
      </c>
      <c r="BL16" s="178">
        <v>3090</v>
      </c>
      <c r="BM16" s="178">
        <v>3050</v>
      </c>
      <c r="BN16" s="178">
        <v>3175</v>
      </c>
      <c r="BO16" s="178">
        <v>3240</v>
      </c>
      <c r="BP16" s="178">
        <v>3305</v>
      </c>
      <c r="BQ16" s="178">
        <v>3175</v>
      </c>
      <c r="BR16" s="178">
        <v>3110</v>
      </c>
      <c r="BS16" s="178">
        <v>3180</v>
      </c>
      <c r="BT16" s="178">
        <v>3440</v>
      </c>
      <c r="BU16" s="178">
        <v>3425</v>
      </c>
      <c r="BV16" s="178">
        <v>3740</v>
      </c>
      <c r="BW16" s="178">
        <v>3515</v>
      </c>
      <c r="BX16" s="178">
        <v>3675</v>
      </c>
      <c r="BY16" s="178">
        <v>3500</v>
      </c>
      <c r="BZ16" s="178">
        <v>3440</v>
      </c>
      <c r="CA16" s="178">
        <v>3595</v>
      </c>
    </row>
    <row r="17" spans="1:79" x14ac:dyDescent="0.25">
      <c r="A17" s="49" t="str">
        <f>IPO監視一覧!H14</f>
        <v>B</v>
      </c>
      <c r="B17" s="49" t="str">
        <f>IPO監視一覧!B14</f>
        <v>ＲＰＡHD</v>
      </c>
      <c r="C17" s="177">
        <f>株価一覧!E16</f>
        <v>14000</v>
      </c>
      <c r="D17" s="105">
        <f t="shared" ca="1" si="4"/>
        <v>13976</v>
      </c>
      <c r="E17" s="177">
        <f t="shared" ca="1" si="1"/>
        <v>14644</v>
      </c>
      <c r="F17" s="110">
        <f t="shared" ca="1" si="2"/>
        <v>13760</v>
      </c>
      <c r="G17" s="178">
        <v>0</v>
      </c>
      <c r="H17" s="178">
        <v>0</v>
      </c>
      <c r="I17" s="178">
        <v>0</v>
      </c>
      <c r="J17" s="178">
        <v>0</v>
      </c>
      <c r="K17" s="178">
        <v>0</v>
      </c>
      <c r="L17" s="178">
        <v>0</v>
      </c>
      <c r="M17" s="178">
        <v>0</v>
      </c>
      <c r="N17" s="178">
        <v>0</v>
      </c>
      <c r="O17" s="178">
        <v>0</v>
      </c>
      <c r="P17" s="178">
        <v>0</v>
      </c>
      <c r="Q17" s="178">
        <v>0</v>
      </c>
      <c r="R17" s="178">
        <v>0</v>
      </c>
      <c r="S17" s="178">
        <v>0</v>
      </c>
      <c r="T17" s="178">
        <v>0</v>
      </c>
      <c r="U17" s="178">
        <v>0</v>
      </c>
      <c r="V17" s="178">
        <v>0</v>
      </c>
      <c r="W17" s="178">
        <v>0</v>
      </c>
      <c r="X17" s="178">
        <v>0</v>
      </c>
      <c r="Y17" s="178">
        <v>0</v>
      </c>
      <c r="Z17" s="178">
        <v>0</v>
      </c>
      <c r="AA17" s="178">
        <v>0</v>
      </c>
      <c r="AB17" s="178">
        <v>0</v>
      </c>
      <c r="AC17" s="178">
        <v>0</v>
      </c>
      <c r="AD17" s="178">
        <v>0</v>
      </c>
      <c r="AE17" s="178">
        <v>0</v>
      </c>
      <c r="AF17" s="178">
        <v>0</v>
      </c>
      <c r="AG17" s="178">
        <v>16440</v>
      </c>
      <c r="AH17" s="178">
        <v>15300</v>
      </c>
      <c r="AI17" s="178">
        <v>15390</v>
      </c>
      <c r="AJ17" s="178">
        <v>15930</v>
      </c>
      <c r="AK17" s="178">
        <v>18670</v>
      </c>
      <c r="AL17" s="178">
        <v>18500</v>
      </c>
      <c r="AM17" s="178">
        <v>19950</v>
      </c>
      <c r="AN17" s="178">
        <v>18630</v>
      </c>
      <c r="AO17" s="178">
        <v>17270</v>
      </c>
      <c r="AP17" s="178">
        <v>16780</v>
      </c>
      <c r="AQ17" s="178">
        <v>16810</v>
      </c>
      <c r="AR17" s="178">
        <v>16000</v>
      </c>
      <c r="AS17" s="178">
        <v>16110</v>
      </c>
      <c r="AT17" s="178">
        <v>17600</v>
      </c>
      <c r="AU17" s="178">
        <v>17400</v>
      </c>
      <c r="AV17" s="178">
        <v>16620</v>
      </c>
      <c r="AW17" s="178">
        <v>16300</v>
      </c>
      <c r="AX17" s="178">
        <v>17500</v>
      </c>
      <c r="AY17" s="178">
        <v>17170</v>
      </c>
      <c r="AZ17" s="178">
        <v>16420</v>
      </c>
      <c r="BA17" s="178">
        <v>16210</v>
      </c>
      <c r="BB17" s="178">
        <v>16100</v>
      </c>
      <c r="BC17" s="178">
        <v>15700</v>
      </c>
      <c r="BD17" s="178">
        <v>15040</v>
      </c>
      <c r="BE17" s="178">
        <v>14380</v>
      </c>
      <c r="BF17" s="178">
        <v>14450</v>
      </c>
      <c r="BG17" s="178">
        <v>14020</v>
      </c>
      <c r="BH17" s="178">
        <v>14050</v>
      </c>
      <c r="BI17" s="178">
        <v>14170</v>
      </c>
      <c r="BJ17" s="178">
        <v>15460</v>
      </c>
      <c r="BK17" s="178">
        <v>15800</v>
      </c>
      <c r="BL17" s="178">
        <v>15520</v>
      </c>
      <c r="BM17" s="178">
        <v>16110</v>
      </c>
      <c r="BN17" s="178">
        <v>15700</v>
      </c>
      <c r="BO17" s="178">
        <v>15290</v>
      </c>
      <c r="BP17" s="178">
        <v>15220</v>
      </c>
      <c r="BQ17" s="178">
        <v>15170</v>
      </c>
      <c r="BR17" s="178">
        <v>14430</v>
      </c>
      <c r="BS17" s="178">
        <v>14390</v>
      </c>
      <c r="BT17" s="178">
        <v>14760</v>
      </c>
      <c r="BU17" s="178">
        <v>14560</v>
      </c>
      <c r="BV17" s="178">
        <v>14150</v>
      </c>
      <c r="BW17" s="178">
        <v>14070</v>
      </c>
      <c r="BX17" s="178">
        <v>13760</v>
      </c>
      <c r="BY17" s="178">
        <v>13800</v>
      </c>
      <c r="BZ17" s="178">
        <v>14250</v>
      </c>
      <c r="CA17" s="178">
        <v>14000</v>
      </c>
    </row>
    <row r="18" spans="1:79" x14ac:dyDescent="0.25">
      <c r="A18" s="49" t="str">
        <f>IPO監視一覧!H15</f>
        <v>A</v>
      </c>
      <c r="B18" s="49" t="str">
        <f>IPO監視一覧!B15</f>
        <v>アジャイルメディア・ネットワーク</v>
      </c>
      <c r="C18" s="177">
        <f>株価一覧!E17</f>
        <v>10080</v>
      </c>
      <c r="D18" s="105">
        <f t="shared" ca="1" si="4"/>
        <v>9710</v>
      </c>
      <c r="E18" s="177">
        <f t="shared" ca="1" si="1"/>
        <v>9926</v>
      </c>
      <c r="F18" s="110">
        <f t="shared" ca="1" si="2"/>
        <v>8910</v>
      </c>
      <c r="G18" s="178">
        <v>0</v>
      </c>
      <c r="H18" s="178">
        <v>0</v>
      </c>
      <c r="I18" s="178">
        <v>0</v>
      </c>
      <c r="J18" s="178">
        <v>0</v>
      </c>
      <c r="K18" s="178">
        <v>0</v>
      </c>
      <c r="L18" s="178">
        <v>0</v>
      </c>
      <c r="M18" s="178">
        <v>0</v>
      </c>
      <c r="N18" s="178">
        <v>0</v>
      </c>
      <c r="O18" s="178">
        <v>0</v>
      </c>
      <c r="P18" s="178">
        <v>0</v>
      </c>
      <c r="Q18" s="178">
        <v>0</v>
      </c>
      <c r="R18" s="178">
        <v>0</v>
      </c>
      <c r="S18" s="178">
        <v>0</v>
      </c>
      <c r="T18" s="178">
        <v>0</v>
      </c>
      <c r="U18" s="178">
        <v>0</v>
      </c>
      <c r="V18" s="178">
        <v>0</v>
      </c>
      <c r="W18" s="178">
        <v>0</v>
      </c>
      <c r="X18" s="178">
        <v>0</v>
      </c>
      <c r="Y18" s="178">
        <v>0</v>
      </c>
      <c r="Z18" s="178">
        <v>0</v>
      </c>
      <c r="AA18" s="178">
        <v>0</v>
      </c>
      <c r="AB18" s="178">
        <v>0</v>
      </c>
      <c r="AC18" s="178">
        <v>0</v>
      </c>
      <c r="AD18" s="178">
        <v>0</v>
      </c>
      <c r="AE18" s="178">
        <v>0</v>
      </c>
      <c r="AF18" s="178">
        <v>0</v>
      </c>
      <c r="AG18" s="178">
        <v>0</v>
      </c>
      <c r="AH18" s="178">
        <v>0</v>
      </c>
      <c r="AI18" s="178">
        <v>14550</v>
      </c>
      <c r="AJ18" s="178">
        <v>15110</v>
      </c>
      <c r="AK18" s="178">
        <v>14890</v>
      </c>
      <c r="AL18" s="178">
        <v>15000</v>
      </c>
      <c r="AM18" s="178">
        <v>16400</v>
      </c>
      <c r="AN18" s="178">
        <v>13990</v>
      </c>
      <c r="AO18" s="178">
        <v>14000</v>
      </c>
      <c r="AP18" s="178">
        <v>13270</v>
      </c>
      <c r="AQ18" s="178">
        <v>11580</v>
      </c>
      <c r="AR18" s="178">
        <v>10000</v>
      </c>
      <c r="AS18" s="178">
        <v>11770</v>
      </c>
      <c r="AT18" s="178">
        <v>11400</v>
      </c>
      <c r="AU18" s="178">
        <v>10800</v>
      </c>
      <c r="AV18" s="178">
        <v>11260</v>
      </c>
      <c r="AW18" s="178">
        <v>10820</v>
      </c>
      <c r="AX18" s="178">
        <v>10900</v>
      </c>
      <c r="AY18" s="178">
        <v>10030</v>
      </c>
      <c r="AZ18" s="178">
        <v>9150</v>
      </c>
      <c r="BA18" s="178">
        <v>9020</v>
      </c>
      <c r="BB18" s="178">
        <v>9530</v>
      </c>
      <c r="BC18" s="178">
        <v>8860</v>
      </c>
      <c r="BD18" s="178">
        <v>8460</v>
      </c>
      <c r="BE18" s="178">
        <v>8240</v>
      </c>
      <c r="BF18" s="178">
        <v>7870</v>
      </c>
      <c r="BG18" s="178">
        <v>7380</v>
      </c>
      <c r="BH18" s="178">
        <v>7800</v>
      </c>
      <c r="BI18" s="178">
        <v>8700</v>
      </c>
      <c r="BJ18" s="178">
        <v>8820</v>
      </c>
      <c r="BK18" s="178">
        <v>9050</v>
      </c>
      <c r="BL18" s="178">
        <v>9130</v>
      </c>
      <c r="BM18" s="178">
        <v>9310</v>
      </c>
      <c r="BN18" s="178">
        <v>9090</v>
      </c>
      <c r="BO18" s="178">
        <v>8910</v>
      </c>
      <c r="BP18" s="178">
        <v>9370</v>
      </c>
      <c r="BQ18" s="178">
        <v>10800</v>
      </c>
      <c r="BR18" s="178">
        <v>10650</v>
      </c>
      <c r="BS18" s="178">
        <v>10520</v>
      </c>
      <c r="BT18" s="178">
        <v>10950</v>
      </c>
      <c r="BU18" s="178">
        <v>10680</v>
      </c>
      <c r="BV18" s="178">
        <v>10060</v>
      </c>
      <c r="BW18" s="178">
        <v>9520</v>
      </c>
      <c r="BX18" s="178">
        <v>9630</v>
      </c>
      <c r="BY18" s="178">
        <v>9460</v>
      </c>
      <c r="BZ18" s="178">
        <v>9860</v>
      </c>
      <c r="CA18" s="178">
        <v>10080</v>
      </c>
    </row>
    <row r="19" spans="1:79" x14ac:dyDescent="0.25">
      <c r="A19" s="49" t="str">
        <f>IPO監視一覧!H16</f>
        <v>B</v>
      </c>
      <c r="B19" s="49" t="str">
        <f>IPO監視一覧!B16</f>
        <v>アズ企画設計</v>
      </c>
      <c r="C19" s="177">
        <f>株価一覧!E18</f>
        <v>4120</v>
      </c>
      <c r="D19" s="105">
        <f t="shared" ca="1" si="4"/>
        <v>3832</v>
      </c>
      <c r="E19" s="177">
        <f t="shared" ca="1" si="1"/>
        <v>3968</v>
      </c>
      <c r="F19" s="110">
        <f t="shared" ca="1" si="2"/>
        <v>3625</v>
      </c>
      <c r="G19" s="178">
        <v>0</v>
      </c>
      <c r="H19" s="178">
        <v>0</v>
      </c>
      <c r="I19" s="178">
        <v>0</v>
      </c>
      <c r="J19" s="178">
        <v>0</v>
      </c>
      <c r="K19" s="178">
        <v>0</v>
      </c>
      <c r="L19" s="178">
        <v>0</v>
      </c>
      <c r="M19" s="178">
        <v>0</v>
      </c>
      <c r="N19" s="178">
        <v>0</v>
      </c>
      <c r="O19" s="178">
        <v>0</v>
      </c>
      <c r="P19" s="178">
        <v>0</v>
      </c>
      <c r="Q19" s="178">
        <v>0</v>
      </c>
      <c r="R19" s="178">
        <v>0</v>
      </c>
      <c r="S19" s="178">
        <v>0</v>
      </c>
      <c r="T19" s="178">
        <v>0</v>
      </c>
      <c r="U19" s="178">
        <v>0</v>
      </c>
      <c r="V19" s="178">
        <v>0</v>
      </c>
      <c r="W19" s="178">
        <v>0</v>
      </c>
      <c r="X19" s="178">
        <v>0</v>
      </c>
      <c r="Y19" s="178">
        <v>0</v>
      </c>
      <c r="Z19" s="178">
        <v>0</v>
      </c>
      <c r="AA19" s="178">
        <v>0</v>
      </c>
      <c r="AB19" s="178">
        <v>0</v>
      </c>
      <c r="AC19" s="178">
        <v>0</v>
      </c>
      <c r="AD19" s="178">
        <v>0</v>
      </c>
      <c r="AE19" s="178">
        <v>0</v>
      </c>
      <c r="AF19" s="178">
        <v>0</v>
      </c>
      <c r="AG19" s="178">
        <v>0</v>
      </c>
      <c r="AH19" s="178">
        <v>4670</v>
      </c>
      <c r="AI19" s="178">
        <v>4850</v>
      </c>
      <c r="AJ19" s="178">
        <v>4575</v>
      </c>
      <c r="AK19" s="178">
        <v>4420</v>
      </c>
      <c r="AL19" s="178">
        <v>4265</v>
      </c>
      <c r="AM19" s="178">
        <v>4365</v>
      </c>
      <c r="AN19" s="178">
        <v>4200</v>
      </c>
      <c r="AO19" s="178">
        <v>4010</v>
      </c>
      <c r="AP19" s="178">
        <v>3940</v>
      </c>
      <c r="AQ19" s="178">
        <v>4110</v>
      </c>
      <c r="AR19" s="178">
        <v>3410</v>
      </c>
      <c r="AS19" s="178">
        <v>3305</v>
      </c>
      <c r="AT19" s="178">
        <v>3590</v>
      </c>
      <c r="AU19" s="178">
        <v>3515</v>
      </c>
      <c r="AV19" s="178">
        <v>3625</v>
      </c>
      <c r="AW19" s="178">
        <v>3400</v>
      </c>
      <c r="AX19" s="178">
        <v>3275</v>
      </c>
      <c r="AY19" s="178">
        <v>3205</v>
      </c>
      <c r="AZ19" s="178">
        <v>3195</v>
      </c>
      <c r="BA19" s="178">
        <v>3170</v>
      </c>
      <c r="BB19" s="178">
        <v>3460</v>
      </c>
      <c r="BC19" s="178">
        <v>3300</v>
      </c>
      <c r="BD19" s="178">
        <v>3235</v>
      </c>
      <c r="BE19" s="178">
        <v>3130</v>
      </c>
      <c r="BF19" s="178">
        <v>3305</v>
      </c>
      <c r="BG19" s="178">
        <v>3355</v>
      </c>
      <c r="BH19" s="178">
        <v>3260</v>
      </c>
      <c r="BI19" s="178">
        <v>3185</v>
      </c>
      <c r="BJ19" s="178">
        <v>3300</v>
      </c>
      <c r="BK19" s="178">
        <v>3465</v>
      </c>
      <c r="BL19" s="178">
        <v>3690</v>
      </c>
      <c r="BM19" s="178">
        <v>3865</v>
      </c>
      <c r="BN19" s="178">
        <v>4070</v>
      </c>
      <c r="BO19" s="178">
        <v>4230</v>
      </c>
      <c r="BP19" s="178">
        <v>4205</v>
      </c>
      <c r="BQ19" s="178">
        <v>3980</v>
      </c>
      <c r="BR19" s="178">
        <v>4130</v>
      </c>
      <c r="BS19" s="178">
        <v>3925</v>
      </c>
      <c r="BT19" s="178">
        <v>4000</v>
      </c>
      <c r="BU19" s="178">
        <v>4030</v>
      </c>
      <c r="BV19" s="178">
        <v>3925</v>
      </c>
      <c r="BW19" s="178">
        <v>3825</v>
      </c>
      <c r="BX19" s="178">
        <v>3625</v>
      </c>
      <c r="BY19" s="178">
        <v>3790</v>
      </c>
      <c r="BZ19" s="178">
        <v>3800</v>
      </c>
      <c r="CA19" s="178">
        <v>4120</v>
      </c>
    </row>
    <row r="20" spans="1:79" x14ac:dyDescent="0.25">
      <c r="A20" s="49" t="str">
        <f>IPO監視一覧!H17</f>
        <v>A</v>
      </c>
      <c r="B20" s="49" t="str">
        <f>IPO監視一覧!B17</f>
        <v>和心</v>
      </c>
      <c r="C20" s="177">
        <f>株価一覧!E19</f>
        <v>3240</v>
      </c>
      <c r="D20" s="105">
        <f t="shared" ca="1" si="4"/>
        <v>3024.8</v>
      </c>
      <c r="E20" s="177">
        <f t="shared" ca="1" si="1"/>
        <v>2919.2666666666669</v>
      </c>
      <c r="F20" s="110">
        <f t="shared" ca="1" si="2"/>
        <v>2708</v>
      </c>
      <c r="G20" s="178">
        <v>0</v>
      </c>
      <c r="H20" s="178">
        <v>0</v>
      </c>
      <c r="I20" s="178">
        <v>0</v>
      </c>
      <c r="J20" s="178">
        <v>0</v>
      </c>
      <c r="K20" s="178">
        <v>0</v>
      </c>
      <c r="L20" s="178">
        <v>0</v>
      </c>
      <c r="M20" s="178">
        <v>0</v>
      </c>
      <c r="N20" s="178">
        <v>0</v>
      </c>
      <c r="O20" s="178">
        <v>0</v>
      </c>
      <c r="P20" s="178">
        <v>0</v>
      </c>
      <c r="Q20" s="178">
        <v>0</v>
      </c>
      <c r="R20" s="178">
        <v>0</v>
      </c>
      <c r="S20" s="178">
        <v>0</v>
      </c>
      <c r="T20" s="178">
        <v>0</v>
      </c>
      <c r="U20" s="178">
        <v>0</v>
      </c>
      <c r="V20" s="178">
        <v>0</v>
      </c>
      <c r="W20" s="178">
        <v>0</v>
      </c>
      <c r="X20" s="178">
        <v>0</v>
      </c>
      <c r="Y20" s="178">
        <v>0</v>
      </c>
      <c r="Z20" s="178">
        <v>0</v>
      </c>
      <c r="AA20" s="178">
        <v>0</v>
      </c>
      <c r="AB20" s="178">
        <v>0</v>
      </c>
      <c r="AC20" s="178">
        <v>0</v>
      </c>
      <c r="AD20" s="178">
        <v>0</v>
      </c>
      <c r="AE20" s="178">
        <v>0</v>
      </c>
      <c r="AF20" s="178">
        <v>0</v>
      </c>
      <c r="AG20" s="178">
        <v>0</v>
      </c>
      <c r="AH20" s="178">
        <v>0</v>
      </c>
      <c r="AI20" s="178">
        <v>4545</v>
      </c>
      <c r="AJ20" s="178">
        <v>4150</v>
      </c>
      <c r="AK20" s="178">
        <v>4265</v>
      </c>
      <c r="AL20" s="178">
        <v>3965</v>
      </c>
      <c r="AM20" s="178">
        <v>3655</v>
      </c>
      <c r="AN20" s="178">
        <v>4000</v>
      </c>
      <c r="AO20" s="178">
        <v>3725</v>
      </c>
      <c r="AP20" s="178">
        <v>3425</v>
      </c>
      <c r="AQ20" s="178">
        <v>3440</v>
      </c>
      <c r="AR20" s="178">
        <v>3170</v>
      </c>
      <c r="AS20" s="178">
        <v>3585</v>
      </c>
      <c r="AT20" s="178">
        <v>3655</v>
      </c>
      <c r="AU20" s="178">
        <v>3680</v>
      </c>
      <c r="AV20" s="178">
        <v>3530</v>
      </c>
      <c r="AW20" s="178">
        <v>3450</v>
      </c>
      <c r="AX20" s="178">
        <v>3420</v>
      </c>
      <c r="AY20" s="178">
        <v>3375</v>
      </c>
      <c r="AZ20" s="178">
        <v>3290</v>
      </c>
      <c r="BA20" s="178">
        <v>3300</v>
      </c>
      <c r="BB20" s="178">
        <v>3530</v>
      </c>
      <c r="BC20" s="178">
        <v>3675</v>
      </c>
      <c r="BD20" s="178">
        <v>3760</v>
      </c>
      <c r="BE20" s="178">
        <v>3820</v>
      </c>
      <c r="BF20" s="178">
        <v>3725</v>
      </c>
      <c r="BG20" s="178">
        <v>3820</v>
      </c>
      <c r="BH20" s="178">
        <v>3380</v>
      </c>
      <c r="BI20" s="178">
        <v>2691</v>
      </c>
      <c r="BJ20" s="178">
        <v>2619</v>
      </c>
      <c r="BK20" s="178">
        <v>2780</v>
      </c>
      <c r="BL20" s="178">
        <v>2973</v>
      </c>
      <c r="BM20" s="178">
        <v>3065</v>
      </c>
      <c r="BN20" s="178">
        <v>2949</v>
      </c>
      <c r="BO20" s="178">
        <v>2788</v>
      </c>
      <c r="BP20" s="178">
        <v>2792</v>
      </c>
      <c r="BQ20" s="178">
        <v>2830</v>
      </c>
      <c r="BR20" s="178">
        <v>2708</v>
      </c>
      <c r="BS20" s="178">
        <v>2756</v>
      </c>
      <c r="BT20" s="178">
        <v>2810</v>
      </c>
      <c r="BU20" s="178">
        <v>2999</v>
      </c>
      <c r="BV20" s="178">
        <v>2968</v>
      </c>
      <c r="BW20" s="178">
        <v>3025</v>
      </c>
      <c r="BX20" s="178">
        <v>2889</v>
      </c>
      <c r="BY20" s="178">
        <v>2935</v>
      </c>
      <c r="BZ20" s="178">
        <v>3035</v>
      </c>
      <c r="CA20" s="178">
        <v>3240</v>
      </c>
    </row>
    <row r="21" spans="1:79" x14ac:dyDescent="0.25">
      <c r="A21" s="49" t="str">
        <f>IPO監視一覧!H18</f>
        <v>A</v>
      </c>
      <c r="B21" s="49" t="str">
        <f>IPO監視一覧!B18</f>
        <v>日本リビング保証</v>
      </c>
      <c r="C21" s="177">
        <f>株価一覧!E20</f>
        <v>3575</v>
      </c>
      <c r="D21" s="105">
        <f t="shared" ca="1" si="4"/>
        <v>3414</v>
      </c>
      <c r="E21" s="177">
        <f t="shared" ca="1" si="1"/>
        <v>3614</v>
      </c>
      <c r="F21" s="110">
        <f t="shared" ca="1" si="2"/>
        <v>3250</v>
      </c>
      <c r="G21" s="178">
        <v>0</v>
      </c>
      <c r="H21" s="178">
        <v>0</v>
      </c>
      <c r="I21" s="178">
        <v>0</v>
      </c>
      <c r="J21" s="178">
        <v>0</v>
      </c>
      <c r="K21" s="178">
        <v>0</v>
      </c>
      <c r="L21" s="178">
        <v>0</v>
      </c>
      <c r="M21" s="178">
        <v>0</v>
      </c>
      <c r="N21" s="178">
        <v>0</v>
      </c>
      <c r="O21" s="178">
        <v>0</v>
      </c>
      <c r="P21" s="178">
        <v>0</v>
      </c>
      <c r="Q21" s="178">
        <v>0</v>
      </c>
      <c r="R21" s="178">
        <v>0</v>
      </c>
      <c r="S21" s="178">
        <v>0</v>
      </c>
      <c r="T21" s="178">
        <v>0</v>
      </c>
      <c r="U21" s="178">
        <v>0</v>
      </c>
      <c r="V21" s="178">
        <v>0</v>
      </c>
      <c r="W21" s="178">
        <v>0</v>
      </c>
      <c r="X21" s="178">
        <v>0</v>
      </c>
      <c r="Y21" s="178">
        <v>0</v>
      </c>
      <c r="Z21" s="178">
        <v>0</v>
      </c>
      <c r="AA21" s="178">
        <v>0</v>
      </c>
      <c r="AB21" s="178">
        <v>0</v>
      </c>
      <c r="AC21" s="178">
        <v>0</v>
      </c>
      <c r="AD21" s="178">
        <v>0</v>
      </c>
      <c r="AE21" s="178">
        <v>0</v>
      </c>
      <c r="AF21" s="178">
        <v>0</v>
      </c>
      <c r="AG21" s="178">
        <v>0</v>
      </c>
      <c r="AH21" s="178">
        <v>0</v>
      </c>
      <c r="AI21" s="178">
        <v>0</v>
      </c>
      <c r="AJ21" s="178">
        <v>5300</v>
      </c>
      <c r="AK21" s="178">
        <v>4630</v>
      </c>
      <c r="AL21" s="178">
        <v>4295</v>
      </c>
      <c r="AM21" s="178">
        <v>4325</v>
      </c>
      <c r="AN21" s="178">
        <v>4295</v>
      </c>
      <c r="AO21" s="178">
        <v>4015</v>
      </c>
      <c r="AP21" s="178">
        <v>3910</v>
      </c>
      <c r="AQ21" s="178">
        <v>3745</v>
      </c>
      <c r="AR21" s="178">
        <v>3250</v>
      </c>
      <c r="AS21" s="178">
        <v>3190</v>
      </c>
      <c r="AT21" s="178">
        <v>3310</v>
      </c>
      <c r="AU21" s="178">
        <v>3550</v>
      </c>
      <c r="AV21" s="178">
        <v>3805</v>
      </c>
      <c r="AW21" s="178">
        <v>3580</v>
      </c>
      <c r="AX21" s="178">
        <v>3485</v>
      </c>
      <c r="AY21" s="178">
        <v>3350</v>
      </c>
      <c r="AZ21" s="178">
        <v>3440</v>
      </c>
      <c r="BA21" s="178">
        <v>3245</v>
      </c>
      <c r="BB21" s="178">
        <v>3190</v>
      </c>
      <c r="BC21" s="178">
        <v>3170</v>
      </c>
      <c r="BD21" s="178">
        <v>3235</v>
      </c>
      <c r="BE21" s="178">
        <v>3340</v>
      </c>
      <c r="BF21" s="178">
        <v>3340</v>
      </c>
      <c r="BG21" s="178">
        <v>3510</v>
      </c>
      <c r="BH21" s="178">
        <v>3530</v>
      </c>
      <c r="BI21" s="178">
        <v>3215</v>
      </c>
      <c r="BJ21" s="178">
        <v>3210</v>
      </c>
      <c r="BK21" s="178">
        <v>3185</v>
      </c>
      <c r="BL21" s="178">
        <v>3275</v>
      </c>
      <c r="BM21" s="178">
        <v>3785</v>
      </c>
      <c r="BN21" s="178">
        <v>3600</v>
      </c>
      <c r="BO21" s="178">
        <v>3755</v>
      </c>
      <c r="BP21" s="178">
        <v>3790</v>
      </c>
      <c r="BQ21" s="178">
        <v>3870</v>
      </c>
      <c r="BR21" s="178">
        <v>3965</v>
      </c>
      <c r="BS21" s="178">
        <v>3800</v>
      </c>
      <c r="BT21" s="178">
        <v>3670</v>
      </c>
      <c r="BU21" s="178">
        <v>3500</v>
      </c>
      <c r="BV21" s="178">
        <v>3405</v>
      </c>
      <c r="BW21" s="178">
        <v>3340</v>
      </c>
      <c r="BX21" s="178">
        <v>3250</v>
      </c>
      <c r="BY21" s="178">
        <v>3360</v>
      </c>
      <c r="BZ21" s="178">
        <v>3545</v>
      </c>
      <c r="CA21" s="178">
        <v>3575</v>
      </c>
    </row>
    <row r="22" spans="1:79" x14ac:dyDescent="0.25">
      <c r="A22" s="49" t="str">
        <f>IPO監視一覧!H19</f>
        <v>A</v>
      </c>
      <c r="B22" s="49" t="str">
        <f>IPO監視一覧!B19</f>
        <v>ブティックス</v>
      </c>
      <c r="C22" s="177">
        <f>株価一覧!E21</f>
        <v>4085</v>
      </c>
      <c r="D22" s="105">
        <f t="shared" ca="1" si="4"/>
        <v>4109</v>
      </c>
      <c r="E22" s="177">
        <f t="shared" ca="1" si="1"/>
        <v>4221.666666666667</v>
      </c>
      <c r="F22" s="110">
        <f t="shared" ca="1" si="2"/>
        <v>3960</v>
      </c>
      <c r="G22" s="178">
        <v>0</v>
      </c>
      <c r="H22" s="178">
        <v>0</v>
      </c>
      <c r="I22" s="178">
        <v>0</v>
      </c>
      <c r="J22" s="178">
        <v>0</v>
      </c>
      <c r="K22" s="178">
        <v>0</v>
      </c>
      <c r="L22" s="178">
        <v>0</v>
      </c>
      <c r="M22" s="178">
        <v>0</v>
      </c>
      <c r="N22" s="178">
        <v>0</v>
      </c>
      <c r="O22" s="178">
        <v>0</v>
      </c>
      <c r="P22" s="178">
        <v>0</v>
      </c>
      <c r="Q22" s="178">
        <v>0</v>
      </c>
      <c r="R22" s="178">
        <v>0</v>
      </c>
      <c r="S22" s="178">
        <v>0</v>
      </c>
      <c r="T22" s="178">
        <v>0</v>
      </c>
      <c r="U22" s="178">
        <v>0</v>
      </c>
      <c r="V22" s="178">
        <v>0</v>
      </c>
      <c r="W22" s="178">
        <v>0</v>
      </c>
      <c r="X22" s="178">
        <v>0</v>
      </c>
      <c r="Y22" s="178">
        <v>0</v>
      </c>
      <c r="Z22" s="178">
        <v>0</v>
      </c>
      <c r="AA22" s="178">
        <v>0</v>
      </c>
      <c r="AB22" s="178">
        <v>0</v>
      </c>
      <c r="AC22" s="178">
        <v>0</v>
      </c>
      <c r="AD22" s="178">
        <v>0</v>
      </c>
      <c r="AE22" s="178">
        <v>0</v>
      </c>
      <c r="AF22" s="178">
        <v>0</v>
      </c>
      <c r="AG22" s="178">
        <v>0</v>
      </c>
      <c r="AH22" s="178">
        <v>0</v>
      </c>
      <c r="AI22" s="178">
        <v>0</v>
      </c>
      <c r="AJ22" s="178">
        <v>0</v>
      </c>
      <c r="AK22" s="178">
        <v>0</v>
      </c>
      <c r="AL22" s="178">
        <v>3420</v>
      </c>
      <c r="AM22" s="178">
        <v>4120</v>
      </c>
      <c r="AN22" s="178">
        <v>5130</v>
      </c>
      <c r="AO22" s="178">
        <v>4485</v>
      </c>
      <c r="AP22" s="178">
        <v>4000</v>
      </c>
      <c r="AQ22" s="178">
        <v>4140</v>
      </c>
      <c r="AR22" s="178">
        <v>3460</v>
      </c>
      <c r="AS22" s="178">
        <v>3720</v>
      </c>
      <c r="AT22" s="178">
        <v>3910</v>
      </c>
      <c r="AU22" s="178">
        <v>3720</v>
      </c>
      <c r="AV22" s="178">
        <v>3515</v>
      </c>
      <c r="AW22" s="178">
        <v>3510</v>
      </c>
      <c r="AX22" s="178">
        <v>3680</v>
      </c>
      <c r="AY22" s="178">
        <v>3595</v>
      </c>
      <c r="AZ22" s="178">
        <v>3430</v>
      </c>
      <c r="BA22" s="178">
        <v>3205</v>
      </c>
      <c r="BB22" s="178">
        <v>3305</v>
      </c>
      <c r="BC22" s="178">
        <v>3305</v>
      </c>
      <c r="BD22" s="178">
        <v>3140</v>
      </c>
      <c r="BE22" s="178">
        <v>2947</v>
      </c>
      <c r="BF22" s="178">
        <v>2963</v>
      </c>
      <c r="BG22" s="178">
        <v>3090</v>
      </c>
      <c r="BH22" s="178">
        <v>3250</v>
      </c>
      <c r="BI22" s="178">
        <v>3685</v>
      </c>
      <c r="BJ22" s="178">
        <v>3800</v>
      </c>
      <c r="BK22" s="178">
        <v>3740</v>
      </c>
      <c r="BL22" s="178">
        <v>4115</v>
      </c>
      <c r="BM22" s="178">
        <v>4070</v>
      </c>
      <c r="BN22" s="178">
        <v>4000</v>
      </c>
      <c r="BO22" s="178">
        <v>4160</v>
      </c>
      <c r="BP22" s="178">
        <v>4495</v>
      </c>
      <c r="BQ22" s="178">
        <v>4425</v>
      </c>
      <c r="BR22" s="178">
        <v>4450</v>
      </c>
      <c r="BS22" s="178">
        <v>4495</v>
      </c>
      <c r="BT22" s="178">
        <v>4405</v>
      </c>
      <c r="BU22" s="178">
        <v>4140</v>
      </c>
      <c r="BV22" s="178">
        <v>4140</v>
      </c>
      <c r="BW22" s="178">
        <v>3960</v>
      </c>
      <c r="BX22" s="178">
        <v>4220</v>
      </c>
      <c r="BY22" s="178">
        <v>4205</v>
      </c>
      <c r="BZ22" s="178">
        <v>4075</v>
      </c>
      <c r="CA22" s="178">
        <v>4085</v>
      </c>
    </row>
    <row r="23" spans="1:79" x14ac:dyDescent="0.25">
      <c r="A23" s="49" t="str">
        <f>IPO監視一覧!H20</f>
        <v>A</v>
      </c>
      <c r="B23" s="49" t="str">
        <f>IPO監視一覧!B20</f>
        <v>ビープラッツ</v>
      </c>
      <c r="C23" s="177">
        <f>株価一覧!E22</f>
        <v>9950</v>
      </c>
      <c r="D23" s="105">
        <f t="shared" ca="1" si="4"/>
        <v>9680</v>
      </c>
      <c r="E23" s="177">
        <f t="shared" ca="1" si="1"/>
        <v>9046</v>
      </c>
      <c r="F23" s="110">
        <f t="shared" ca="1" si="2"/>
        <v>7880</v>
      </c>
      <c r="G23" s="178">
        <v>0</v>
      </c>
      <c r="H23" s="178">
        <v>0</v>
      </c>
      <c r="I23" s="178">
        <v>0</v>
      </c>
      <c r="J23" s="178">
        <v>0</v>
      </c>
      <c r="K23" s="178">
        <v>0</v>
      </c>
      <c r="L23" s="178">
        <v>0</v>
      </c>
      <c r="M23" s="178">
        <v>0</v>
      </c>
      <c r="N23" s="178">
        <v>0</v>
      </c>
      <c r="O23" s="178">
        <v>0</v>
      </c>
      <c r="P23" s="178">
        <v>0</v>
      </c>
      <c r="Q23" s="178">
        <v>0</v>
      </c>
      <c r="R23" s="178">
        <v>0</v>
      </c>
      <c r="S23" s="178">
        <v>0</v>
      </c>
      <c r="T23" s="178">
        <v>0</v>
      </c>
      <c r="U23" s="178">
        <v>0</v>
      </c>
      <c r="V23" s="178">
        <v>0</v>
      </c>
      <c r="W23" s="178">
        <v>0</v>
      </c>
      <c r="X23" s="178">
        <v>0</v>
      </c>
      <c r="Y23" s="178">
        <v>0</v>
      </c>
      <c r="Z23" s="178">
        <v>0</v>
      </c>
      <c r="AA23" s="178">
        <v>0</v>
      </c>
      <c r="AB23" s="178">
        <v>0</v>
      </c>
      <c r="AC23" s="178">
        <v>0</v>
      </c>
      <c r="AD23" s="178">
        <v>0</v>
      </c>
      <c r="AE23" s="178">
        <v>0</v>
      </c>
      <c r="AF23" s="178">
        <v>0</v>
      </c>
      <c r="AG23" s="178">
        <v>0</v>
      </c>
      <c r="AH23" s="178">
        <v>0</v>
      </c>
      <c r="AI23" s="178">
        <v>0</v>
      </c>
      <c r="AJ23" s="178">
        <v>0</v>
      </c>
      <c r="AK23" s="178">
        <v>0</v>
      </c>
      <c r="AL23" s="178">
        <v>0</v>
      </c>
      <c r="AM23" s="178">
        <v>0</v>
      </c>
      <c r="AN23" s="178">
        <v>8440</v>
      </c>
      <c r="AO23" s="178">
        <v>7050</v>
      </c>
      <c r="AP23" s="178">
        <v>6580</v>
      </c>
      <c r="AQ23" s="178">
        <v>6350</v>
      </c>
      <c r="AR23" s="178">
        <v>5580</v>
      </c>
      <c r="AS23" s="178">
        <v>5970</v>
      </c>
      <c r="AT23" s="178">
        <v>6650</v>
      </c>
      <c r="AU23" s="178">
        <v>6320</v>
      </c>
      <c r="AV23" s="178">
        <v>6060</v>
      </c>
      <c r="AW23" s="178">
        <v>6600</v>
      </c>
      <c r="AX23" s="178">
        <v>6330</v>
      </c>
      <c r="AY23" s="178">
        <v>6240</v>
      </c>
      <c r="AZ23" s="178">
        <v>5770</v>
      </c>
      <c r="BA23" s="178">
        <v>5680</v>
      </c>
      <c r="BB23" s="178">
        <v>5660</v>
      </c>
      <c r="BC23" s="178">
        <v>5490</v>
      </c>
      <c r="BD23" s="178">
        <v>5630</v>
      </c>
      <c r="BE23" s="178">
        <v>5700</v>
      </c>
      <c r="BF23" s="178">
        <v>5670</v>
      </c>
      <c r="BG23" s="178">
        <v>6670</v>
      </c>
      <c r="BH23" s="178">
        <v>7670</v>
      </c>
      <c r="BI23" s="178">
        <v>7300</v>
      </c>
      <c r="BJ23" s="178">
        <v>7300</v>
      </c>
      <c r="BK23" s="178">
        <v>6940</v>
      </c>
      <c r="BL23" s="178">
        <v>7940</v>
      </c>
      <c r="BM23" s="178">
        <v>8100</v>
      </c>
      <c r="BN23" s="178">
        <v>7880</v>
      </c>
      <c r="BO23" s="178">
        <v>8710</v>
      </c>
      <c r="BP23" s="178">
        <v>9150</v>
      </c>
      <c r="BQ23" s="178">
        <v>8960</v>
      </c>
      <c r="BR23" s="178">
        <v>8540</v>
      </c>
      <c r="BS23" s="178">
        <v>8080</v>
      </c>
      <c r="BT23" s="178">
        <v>8700</v>
      </c>
      <c r="BU23" s="178">
        <v>9520</v>
      </c>
      <c r="BV23" s="178">
        <v>9650</v>
      </c>
      <c r="BW23" s="178">
        <v>9950</v>
      </c>
      <c r="BX23" s="178">
        <v>8820</v>
      </c>
      <c r="BY23" s="178">
        <v>9470</v>
      </c>
      <c r="BZ23" s="178">
        <v>10210</v>
      </c>
      <c r="CA23" s="178">
        <v>9950</v>
      </c>
    </row>
    <row r="24" spans="1:79" x14ac:dyDescent="0.25">
      <c r="A24" s="49" t="str">
        <f>IPO監視一覧!H21</f>
        <v>A</v>
      </c>
      <c r="B24" s="49" t="str">
        <f>IPO監視一覧!B21</f>
        <v>ヒューマン・アソシエイツ・HD</v>
      </c>
      <c r="C24" s="177">
        <f>株価一覧!E23</f>
        <v>2976</v>
      </c>
      <c r="D24" s="105">
        <f t="shared" ca="1" si="4"/>
        <v>2961.2</v>
      </c>
      <c r="E24" s="177">
        <f t="shared" ca="1" si="1"/>
        <v>2638.3333333333335</v>
      </c>
      <c r="F24" s="110">
        <f t="shared" ca="1" si="2"/>
        <v>2289</v>
      </c>
      <c r="G24" s="178">
        <v>0</v>
      </c>
      <c r="H24" s="178">
        <v>0</v>
      </c>
      <c r="I24" s="178">
        <v>0</v>
      </c>
      <c r="J24" s="178">
        <v>0</v>
      </c>
      <c r="K24" s="178">
        <v>0</v>
      </c>
      <c r="L24" s="178">
        <v>0</v>
      </c>
      <c r="M24" s="178">
        <v>0</v>
      </c>
      <c r="N24" s="178">
        <v>0</v>
      </c>
      <c r="O24" s="178">
        <v>0</v>
      </c>
      <c r="P24" s="178">
        <v>0</v>
      </c>
      <c r="Q24" s="178">
        <v>0</v>
      </c>
      <c r="R24" s="178">
        <v>0</v>
      </c>
      <c r="S24" s="178">
        <v>0</v>
      </c>
      <c r="T24" s="178">
        <v>0</v>
      </c>
      <c r="U24" s="178">
        <v>0</v>
      </c>
      <c r="V24" s="178">
        <v>0</v>
      </c>
      <c r="W24" s="178">
        <v>0</v>
      </c>
      <c r="X24" s="178">
        <v>0</v>
      </c>
      <c r="Y24" s="178">
        <v>0</v>
      </c>
      <c r="Z24" s="178">
        <v>0</v>
      </c>
      <c r="AA24" s="178">
        <v>0</v>
      </c>
      <c r="AB24" s="178">
        <v>0</v>
      </c>
      <c r="AC24" s="178">
        <v>0</v>
      </c>
      <c r="AD24" s="178">
        <v>0</v>
      </c>
      <c r="AE24" s="178">
        <v>0</v>
      </c>
      <c r="AF24" s="178">
        <v>0</v>
      </c>
      <c r="AG24" s="178">
        <v>0</v>
      </c>
      <c r="AH24" s="178">
        <v>0</v>
      </c>
      <c r="AI24" s="178">
        <v>0</v>
      </c>
      <c r="AJ24" s="178">
        <v>0</v>
      </c>
      <c r="AK24" s="178">
        <v>0</v>
      </c>
      <c r="AL24" s="178">
        <v>0</v>
      </c>
      <c r="AM24" s="178">
        <v>0</v>
      </c>
      <c r="AN24" s="178">
        <v>0</v>
      </c>
      <c r="AO24" s="178">
        <v>4300</v>
      </c>
      <c r="AP24" s="178">
        <v>3600</v>
      </c>
      <c r="AQ24" s="178">
        <v>3290</v>
      </c>
      <c r="AR24" s="178">
        <v>2758</v>
      </c>
      <c r="AS24" s="178">
        <v>3040</v>
      </c>
      <c r="AT24" s="178">
        <v>2898</v>
      </c>
      <c r="AU24" s="178">
        <v>2706</v>
      </c>
      <c r="AV24" s="178">
        <v>2727</v>
      </c>
      <c r="AW24" s="178">
        <v>2632</v>
      </c>
      <c r="AX24" s="178">
        <v>2605</v>
      </c>
      <c r="AY24" s="178">
        <v>2515</v>
      </c>
      <c r="AZ24" s="178">
        <v>2372</v>
      </c>
      <c r="BA24" s="178">
        <v>2387</v>
      </c>
      <c r="BB24" s="178">
        <v>2557</v>
      </c>
      <c r="BC24" s="178">
        <v>2491</v>
      </c>
      <c r="BD24" s="178">
        <v>2505</v>
      </c>
      <c r="BE24" s="178">
        <v>2536</v>
      </c>
      <c r="BF24" s="178">
        <v>2558</v>
      </c>
      <c r="BG24" s="178">
        <v>2632</v>
      </c>
      <c r="BH24" s="178">
        <v>2430</v>
      </c>
      <c r="BI24" s="178">
        <v>2255</v>
      </c>
      <c r="BJ24" s="178">
        <v>2280</v>
      </c>
      <c r="BK24" s="178">
        <v>2281</v>
      </c>
      <c r="BL24" s="178">
        <v>2323</v>
      </c>
      <c r="BM24" s="178">
        <v>2332</v>
      </c>
      <c r="BN24" s="178">
        <v>2449</v>
      </c>
      <c r="BO24" s="178">
        <v>2468</v>
      </c>
      <c r="BP24" s="178">
        <v>2475</v>
      </c>
      <c r="BQ24" s="178">
        <v>2432</v>
      </c>
      <c r="BR24" s="178">
        <v>2330</v>
      </c>
      <c r="BS24" s="178">
        <v>2289</v>
      </c>
      <c r="BT24" s="178">
        <v>2418</v>
      </c>
      <c r="BU24" s="178">
        <v>2727</v>
      </c>
      <c r="BV24" s="178">
        <v>2849</v>
      </c>
      <c r="BW24" s="178">
        <v>2889</v>
      </c>
      <c r="BX24" s="178">
        <v>2871</v>
      </c>
      <c r="BY24" s="178">
        <v>2920</v>
      </c>
      <c r="BZ24" s="178">
        <v>3150</v>
      </c>
      <c r="CA24" s="178">
        <v>2976</v>
      </c>
    </row>
    <row r="25" spans="1:79" x14ac:dyDescent="0.25">
      <c r="A25" s="49" t="str">
        <f>IPO監視一覧!H22</f>
        <v>B</v>
      </c>
      <c r="B25" s="49" t="str">
        <f>IPO監視一覧!B22</f>
        <v>コンヴァノ</v>
      </c>
      <c r="C25" s="177">
        <f>株価一覧!E24</f>
        <v>2172</v>
      </c>
      <c r="D25" s="105">
        <f t="shared" ca="1" si="4"/>
        <v>2168.6</v>
      </c>
      <c r="E25" s="177">
        <f t="shared" ca="1" si="1"/>
        <v>2102.4666666666667</v>
      </c>
      <c r="F25" s="110">
        <f t="shared" ca="1" si="2"/>
        <v>1890</v>
      </c>
      <c r="G25" s="178">
        <v>0</v>
      </c>
      <c r="H25" s="178">
        <v>0</v>
      </c>
      <c r="I25" s="178">
        <v>0</v>
      </c>
      <c r="J25" s="178">
        <v>0</v>
      </c>
      <c r="K25" s="178">
        <v>0</v>
      </c>
      <c r="L25" s="178">
        <v>0</v>
      </c>
      <c r="M25" s="178">
        <v>0</v>
      </c>
      <c r="N25" s="178">
        <v>0</v>
      </c>
      <c r="O25" s="178">
        <v>0</v>
      </c>
      <c r="P25" s="178">
        <v>0</v>
      </c>
      <c r="Q25" s="178">
        <v>0</v>
      </c>
      <c r="R25" s="178">
        <v>0</v>
      </c>
      <c r="S25" s="178">
        <v>0</v>
      </c>
      <c r="T25" s="178">
        <v>0</v>
      </c>
      <c r="U25" s="178">
        <v>0</v>
      </c>
      <c r="V25" s="178">
        <v>0</v>
      </c>
      <c r="W25" s="178">
        <v>0</v>
      </c>
      <c r="X25" s="178">
        <v>0</v>
      </c>
      <c r="Y25" s="178">
        <v>0</v>
      </c>
      <c r="Z25" s="178">
        <v>0</v>
      </c>
      <c r="AA25" s="178">
        <v>0</v>
      </c>
      <c r="AB25" s="178">
        <v>0</v>
      </c>
      <c r="AC25" s="178">
        <v>0</v>
      </c>
      <c r="AD25" s="178">
        <v>0</v>
      </c>
      <c r="AE25" s="178">
        <v>0</v>
      </c>
      <c r="AF25" s="178">
        <v>0</v>
      </c>
      <c r="AG25" s="178">
        <v>0</v>
      </c>
      <c r="AH25" s="178">
        <v>0</v>
      </c>
      <c r="AI25" s="178">
        <v>0</v>
      </c>
      <c r="AJ25" s="178">
        <v>0</v>
      </c>
      <c r="AK25" s="178">
        <v>0</v>
      </c>
      <c r="AL25" s="178">
        <v>0</v>
      </c>
      <c r="AM25" s="178">
        <v>0</v>
      </c>
      <c r="AN25" s="178">
        <v>0</v>
      </c>
      <c r="AO25" s="178">
        <v>2230</v>
      </c>
      <c r="AP25" s="178">
        <v>1834</v>
      </c>
      <c r="AQ25" s="178">
        <v>1629</v>
      </c>
      <c r="AR25" s="178">
        <v>1590</v>
      </c>
      <c r="AS25" s="178">
        <v>1525</v>
      </c>
      <c r="AT25" s="178">
        <v>1627</v>
      </c>
      <c r="AU25" s="178">
        <v>1628</v>
      </c>
      <c r="AV25" s="178">
        <v>1552</v>
      </c>
      <c r="AW25" s="178">
        <v>1521</v>
      </c>
      <c r="AX25" s="178">
        <v>1500</v>
      </c>
      <c r="AY25" s="178">
        <v>1499</v>
      </c>
      <c r="AZ25" s="178">
        <v>1470</v>
      </c>
      <c r="BA25" s="178">
        <v>1396</v>
      </c>
      <c r="BB25" s="178">
        <v>1612</v>
      </c>
      <c r="BC25" s="178">
        <v>1679</v>
      </c>
      <c r="BD25" s="178">
        <v>1670</v>
      </c>
      <c r="BE25" s="178">
        <v>1794</v>
      </c>
      <c r="BF25" s="178">
        <v>1626</v>
      </c>
      <c r="BG25" s="178">
        <v>1646</v>
      </c>
      <c r="BH25" s="178">
        <v>1691</v>
      </c>
      <c r="BI25" s="178">
        <v>1780</v>
      </c>
      <c r="BJ25" s="178">
        <v>2055</v>
      </c>
      <c r="BK25" s="178">
        <v>2083</v>
      </c>
      <c r="BL25" s="178">
        <v>2120</v>
      </c>
      <c r="BM25" s="178">
        <v>2090</v>
      </c>
      <c r="BN25" s="178">
        <v>1995</v>
      </c>
      <c r="BO25" s="178">
        <v>1890</v>
      </c>
      <c r="BP25" s="178">
        <v>1970</v>
      </c>
      <c r="BQ25" s="178">
        <v>2149</v>
      </c>
      <c r="BR25" s="178">
        <v>2000</v>
      </c>
      <c r="BS25" s="178">
        <v>1998</v>
      </c>
      <c r="BT25" s="178">
        <v>2109</v>
      </c>
      <c r="BU25" s="178">
        <v>2145</v>
      </c>
      <c r="BV25" s="178">
        <v>2348</v>
      </c>
      <c r="BW25" s="178">
        <v>2204</v>
      </c>
      <c r="BX25" s="178">
        <v>2078</v>
      </c>
      <c r="BY25" s="178">
        <v>2138</v>
      </c>
      <c r="BZ25" s="178">
        <v>2251</v>
      </c>
      <c r="CA25" s="178">
        <v>2172</v>
      </c>
    </row>
    <row r="26" spans="1:79" x14ac:dyDescent="0.25">
      <c r="A26" s="49" t="str">
        <f>IPO監視一覧!H23</f>
        <v>A</v>
      </c>
      <c r="B26" s="49" t="str">
        <f>IPO監視一覧!B23</f>
        <v>ＨＥＲＯＺ</v>
      </c>
      <c r="C26" s="177">
        <f>株価一覧!E25</f>
        <v>20410</v>
      </c>
      <c r="D26" s="105">
        <f t="shared" ca="1" si="4"/>
        <v>21124</v>
      </c>
      <c r="E26" s="177">
        <f t="shared" ca="1" si="1"/>
        <v>22240</v>
      </c>
      <c r="F26" s="110">
        <f t="shared" ca="1" si="2"/>
        <v>20410</v>
      </c>
      <c r="G26" s="178">
        <v>0</v>
      </c>
      <c r="H26" s="178">
        <v>0</v>
      </c>
      <c r="I26" s="178">
        <v>0</v>
      </c>
      <c r="J26" s="178">
        <v>0</v>
      </c>
      <c r="K26" s="178">
        <v>0</v>
      </c>
      <c r="L26" s="178">
        <v>0</v>
      </c>
      <c r="M26" s="178">
        <v>0</v>
      </c>
      <c r="N26" s="178">
        <v>0</v>
      </c>
      <c r="O26" s="178">
        <v>0</v>
      </c>
      <c r="P26" s="178">
        <v>0</v>
      </c>
      <c r="Q26" s="178">
        <v>0</v>
      </c>
      <c r="R26" s="178">
        <v>0</v>
      </c>
      <c r="S26" s="178">
        <v>0</v>
      </c>
      <c r="T26" s="178">
        <v>0</v>
      </c>
      <c r="U26" s="178">
        <v>0</v>
      </c>
      <c r="V26" s="178">
        <v>0</v>
      </c>
      <c r="W26" s="178">
        <v>0</v>
      </c>
      <c r="X26" s="178">
        <v>0</v>
      </c>
      <c r="Y26" s="178">
        <v>0</v>
      </c>
      <c r="Z26" s="178">
        <v>0</v>
      </c>
      <c r="AA26" s="178">
        <v>0</v>
      </c>
      <c r="AB26" s="178">
        <v>0</v>
      </c>
      <c r="AC26" s="178">
        <v>0</v>
      </c>
      <c r="AD26" s="178">
        <v>0</v>
      </c>
      <c r="AE26" s="178">
        <v>0</v>
      </c>
      <c r="AF26" s="178">
        <v>0</v>
      </c>
      <c r="AG26" s="178">
        <v>0</v>
      </c>
      <c r="AH26" s="178">
        <v>0</v>
      </c>
      <c r="AI26" s="178">
        <v>0</v>
      </c>
      <c r="AJ26" s="178">
        <v>0</v>
      </c>
      <c r="AK26" s="178">
        <v>0</v>
      </c>
      <c r="AL26" s="178">
        <v>0</v>
      </c>
      <c r="AM26" s="178">
        <v>0</v>
      </c>
      <c r="AN26" s="178">
        <v>0</v>
      </c>
      <c r="AO26" s="178">
        <v>0</v>
      </c>
      <c r="AP26" s="178">
        <v>0</v>
      </c>
      <c r="AQ26" s="178">
        <v>0</v>
      </c>
      <c r="AR26" s="178">
        <v>0</v>
      </c>
      <c r="AS26" s="178">
        <v>0</v>
      </c>
      <c r="AT26" s="178">
        <v>0</v>
      </c>
      <c r="AU26" s="178">
        <v>0</v>
      </c>
      <c r="AV26" s="178">
        <v>0</v>
      </c>
      <c r="AW26" s="178">
        <v>0</v>
      </c>
      <c r="AX26" s="178">
        <v>42000</v>
      </c>
      <c r="AY26" s="178">
        <v>35000</v>
      </c>
      <c r="AZ26" s="178">
        <v>28900</v>
      </c>
      <c r="BA26" s="178">
        <v>26600</v>
      </c>
      <c r="BB26" s="178">
        <v>25360</v>
      </c>
      <c r="BC26" s="178">
        <v>23860</v>
      </c>
      <c r="BD26" s="178">
        <v>23250</v>
      </c>
      <c r="BE26" s="178">
        <v>20870</v>
      </c>
      <c r="BF26" s="178">
        <v>21940</v>
      </c>
      <c r="BG26" s="178">
        <v>22310</v>
      </c>
      <c r="BH26" s="178">
        <v>20100</v>
      </c>
      <c r="BI26" s="178">
        <v>20960</v>
      </c>
      <c r="BJ26" s="178">
        <v>23700</v>
      </c>
      <c r="BK26" s="178">
        <v>23790</v>
      </c>
      <c r="BL26" s="178">
        <v>24100</v>
      </c>
      <c r="BM26" s="178">
        <v>24280</v>
      </c>
      <c r="BN26" s="178">
        <v>24580</v>
      </c>
      <c r="BO26" s="178">
        <v>24010</v>
      </c>
      <c r="BP26" s="178">
        <v>23020</v>
      </c>
      <c r="BQ26" s="178">
        <v>21860</v>
      </c>
      <c r="BR26" s="178">
        <v>21350</v>
      </c>
      <c r="BS26" s="178">
        <v>22420</v>
      </c>
      <c r="BT26" s="178">
        <v>22470</v>
      </c>
      <c r="BU26" s="178">
        <v>22470</v>
      </c>
      <c r="BV26" s="178">
        <v>21520</v>
      </c>
      <c r="BW26" s="178">
        <v>21020</v>
      </c>
      <c r="BX26" s="178">
        <v>21910</v>
      </c>
      <c r="BY26" s="178">
        <v>21760</v>
      </c>
      <c r="BZ26" s="178">
        <v>20520</v>
      </c>
      <c r="CA26" s="178">
        <v>20410</v>
      </c>
    </row>
    <row r="27" spans="1:79" x14ac:dyDescent="0.25">
      <c r="A27" s="49" t="str">
        <f>IPO監視一覧!H24</f>
        <v>A</v>
      </c>
      <c r="B27" s="49" t="str">
        <f>IPO監視一覧!B24</f>
        <v>ベストワンドットコム</v>
      </c>
      <c r="C27" s="177">
        <f>株価一覧!E26</f>
        <v>12530</v>
      </c>
      <c r="D27" s="105">
        <f t="shared" ca="1" si="4"/>
        <v>11244</v>
      </c>
      <c r="E27" s="177">
        <f t="shared" ca="1" si="1"/>
        <v>10833.333333333334</v>
      </c>
      <c r="F27" s="110">
        <f t="shared" ca="1" si="2"/>
        <v>9500</v>
      </c>
      <c r="G27" s="178">
        <v>0</v>
      </c>
      <c r="H27" s="178">
        <v>0</v>
      </c>
      <c r="I27" s="178">
        <v>0</v>
      </c>
      <c r="J27" s="178">
        <v>0</v>
      </c>
      <c r="K27" s="178">
        <v>0</v>
      </c>
      <c r="L27" s="178">
        <v>0</v>
      </c>
      <c r="M27" s="178">
        <v>0</v>
      </c>
      <c r="N27" s="178">
        <v>0</v>
      </c>
      <c r="O27" s="178">
        <v>0</v>
      </c>
      <c r="P27" s="178">
        <v>0</v>
      </c>
      <c r="Q27" s="178">
        <v>0</v>
      </c>
      <c r="R27" s="178">
        <v>0</v>
      </c>
      <c r="S27" s="178">
        <v>0</v>
      </c>
      <c r="T27" s="178">
        <v>0</v>
      </c>
      <c r="U27" s="178">
        <v>0</v>
      </c>
      <c r="V27" s="178">
        <v>0</v>
      </c>
      <c r="W27" s="178">
        <v>0</v>
      </c>
      <c r="X27" s="178">
        <v>0</v>
      </c>
      <c r="Y27" s="178">
        <v>0</v>
      </c>
      <c r="Z27" s="178">
        <v>0</v>
      </c>
      <c r="AA27" s="178">
        <v>0</v>
      </c>
      <c r="AB27" s="178">
        <v>0</v>
      </c>
      <c r="AC27" s="178">
        <v>0</v>
      </c>
      <c r="AD27" s="178">
        <v>0</v>
      </c>
      <c r="AE27" s="178">
        <v>0</v>
      </c>
      <c r="AF27" s="178">
        <v>0</v>
      </c>
      <c r="AG27" s="178">
        <v>0</v>
      </c>
      <c r="AH27" s="178">
        <v>0</v>
      </c>
      <c r="AI27" s="178">
        <v>0</v>
      </c>
      <c r="AJ27" s="178">
        <v>0</v>
      </c>
      <c r="AK27" s="178">
        <v>0</v>
      </c>
      <c r="AL27" s="178">
        <v>0</v>
      </c>
      <c r="AM27" s="178">
        <v>0</v>
      </c>
      <c r="AN27" s="178">
        <v>0</v>
      </c>
      <c r="AO27" s="178">
        <v>0</v>
      </c>
      <c r="AP27" s="178">
        <v>0</v>
      </c>
      <c r="AQ27" s="178">
        <v>0</v>
      </c>
      <c r="AR27" s="178">
        <v>0</v>
      </c>
      <c r="AS27" s="178">
        <v>0</v>
      </c>
      <c r="AT27" s="178">
        <v>0</v>
      </c>
      <c r="AU27" s="178">
        <v>0</v>
      </c>
      <c r="AV27" s="178">
        <v>0</v>
      </c>
      <c r="AW27" s="178">
        <v>0</v>
      </c>
      <c r="AX27" s="178">
        <v>0</v>
      </c>
      <c r="AY27" s="178">
        <v>0</v>
      </c>
      <c r="AZ27" s="178">
        <v>15100</v>
      </c>
      <c r="BA27" s="178">
        <v>11260</v>
      </c>
      <c r="BB27" s="178">
        <v>11730</v>
      </c>
      <c r="BC27" s="178">
        <v>11970</v>
      </c>
      <c r="BD27" s="178">
        <v>13010</v>
      </c>
      <c r="BE27" s="178">
        <v>12200</v>
      </c>
      <c r="BF27" s="178">
        <v>11850</v>
      </c>
      <c r="BG27" s="178">
        <v>11370</v>
      </c>
      <c r="BH27" s="178">
        <v>10660</v>
      </c>
      <c r="BI27" s="178">
        <v>11290</v>
      </c>
      <c r="BJ27" s="178">
        <v>11220</v>
      </c>
      <c r="BK27" s="178">
        <v>10380</v>
      </c>
      <c r="BL27" s="178">
        <v>10000</v>
      </c>
      <c r="BM27" s="178">
        <v>9670</v>
      </c>
      <c r="BN27" s="178">
        <v>9500</v>
      </c>
      <c r="BO27" s="178">
        <v>9740</v>
      </c>
      <c r="BP27" s="178">
        <v>10620</v>
      </c>
      <c r="BQ27" s="178">
        <v>10500</v>
      </c>
      <c r="BR27" s="178">
        <v>10940</v>
      </c>
      <c r="BS27" s="178">
        <v>11240</v>
      </c>
      <c r="BT27" s="178">
        <v>11380</v>
      </c>
      <c r="BU27" s="178">
        <v>11550</v>
      </c>
      <c r="BV27" s="178">
        <v>11140</v>
      </c>
      <c r="BW27" s="178">
        <v>10350</v>
      </c>
      <c r="BX27" s="178">
        <v>10780</v>
      </c>
      <c r="BY27" s="178">
        <v>10560</v>
      </c>
      <c r="BZ27" s="178">
        <v>12000</v>
      </c>
      <c r="CA27" s="178">
        <v>12530</v>
      </c>
    </row>
    <row r="28" spans="1:79" x14ac:dyDescent="0.25">
      <c r="A28" s="49" t="str">
        <f>IPO監視一覧!H25</f>
        <v>B</v>
      </c>
      <c r="B28" s="49" t="str">
        <f>IPO監視一覧!B25</f>
        <v>アイペット損害保険</v>
      </c>
      <c r="C28" s="177">
        <f>株価一覧!E27</f>
        <v>3815</v>
      </c>
      <c r="D28" s="105">
        <f t="shared" ca="1" si="4"/>
        <v>3750</v>
      </c>
      <c r="E28" s="177">
        <f t="shared" ca="1" si="1"/>
        <v>3730.6666666666665</v>
      </c>
      <c r="F28" s="110">
        <f t="shared" ca="1" si="2"/>
        <v>3585</v>
      </c>
      <c r="G28" s="178">
        <v>0</v>
      </c>
      <c r="H28" s="178">
        <v>0</v>
      </c>
      <c r="I28" s="178">
        <v>0</v>
      </c>
      <c r="J28" s="178">
        <v>0</v>
      </c>
      <c r="K28" s="178">
        <v>0</v>
      </c>
      <c r="L28" s="178">
        <v>0</v>
      </c>
      <c r="M28" s="178">
        <v>0</v>
      </c>
      <c r="N28" s="178">
        <v>0</v>
      </c>
      <c r="O28" s="178">
        <v>0</v>
      </c>
      <c r="P28" s="178">
        <v>0</v>
      </c>
      <c r="Q28" s="178">
        <v>0</v>
      </c>
      <c r="R28" s="178">
        <v>0</v>
      </c>
      <c r="S28" s="178">
        <v>0</v>
      </c>
      <c r="T28" s="178">
        <v>0</v>
      </c>
      <c r="U28" s="178">
        <v>0</v>
      </c>
      <c r="V28" s="178">
        <v>0</v>
      </c>
      <c r="W28" s="178">
        <v>0</v>
      </c>
      <c r="X28" s="178">
        <v>0</v>
      </c>
      <c r="Y28" s="178">
        <v>0</v>
      </c>
      <c r="Z28" s="178">
        <v>0</v>
      </c>
      <c r="AA28" s="178">
        <v>0</v>
      </c>
      <c r="AB28" s="178">
        <v>0</v>
      </c>
      <c r="AC28" s="178">
        <v>0</v>
      </c>
      <c r="AD28" s="178">
        <v>0</v>
      </c>
      <c r="AE28" s="178">
        <v>0</v>
      </c>
      <c r="AF28" s="178">
        <v>0</v>
      </c>
      <c r="AG28" s="178">
        <v>0</v>
      </c>
      <c r="AH28" s="178">
        <v>0</v>
      </c>
      <c r="AI28" s="178">
        <v>0</v>
      </c>
      <c r="AJ28" s="178">
        <v>0</v>
      </c>
      <c r="AK28" s="178">
        <v>0</v>
      </c>
      <c r="AL28" s="178">
        <v>0</v>
      </c>
      <c r="AM28" s="178">
        <v>0</v>
      </c>
      <c r="AN28" s="178">
        <v>0</v>
      </c>
      <c r="AO28" s="178">
        <v>0</v>
      </c>
      <c r="AP28" s="178">
        <v>0</v>
      </c>
      <c r="AQ28" s="178">
        <v>0</v>
      </c>
      <c r="AR28" s="178">
        <v>0</v>
      </c>
      <c r="AS28" s="178">
        <v>0</v>
      </c>
      <c r="AT28" s="178">
        <v>0</v>
      </c>
      <c r="AU28" s="178">
        <v>0</v>
      </c>
      <c r="AV28" s="178">
        <v>0</v>
      </c>
      <c r="AW28" s="178">
        <v>0</v>
      </c>
      <c r="AX28" s="178">
        <v>0</v>
      </c>
      <c r="AY28" s="178">
        <v>4040</v>
      </c>
      <c r="AZ28" s="178">
        <v>3570</v>
      </c>
      <c r="BA28" s="178">
        <v>3890</v>
      </c>
      <c r="BB28" s="178">
        <v>3870</v>
      </c>
      <c r="BC28" s="178">
        <v>3675</v>
      </c>
      <c r="BD28" s="178">
        <v>3560</v>
      </c>
      <c r="BE28" s="178">
        <v>3525</v>
      </c>
      <c r="BF28" s="178">
        <v>3950</v>
      </c>
      <c r="BG28" s="178">
        <v>4040</v>
      </c>
      <c r="BH28" s="178">
        <v>3980</v>
      </c>
      <c r="BI28" s="178">
        <v>3720</v>
      </c>
      <c r="BJ28" s="178">
        <v>3720</v>
      </c>
      <c r="BK28" s="178">
        <v>3790</v>
      </c>
      <c r="BL28" s="178">
        <v>3840</v>
      </c>
      <c r="BM28" s="178">
        <v>3755</v>
      </c>
      <c r="BN28" s="178">
        <v>3690</v>
      </c>
      <c r="BO28" s="178">
        <v>3780</v>
      </c>
      <c r="BP28" s="178">
        <v>3755</v>
      </c>
      <c r="BQ28" s="178">
        <v>3735</v>
      </c>
      <c r="BR28" s="178">
        <v>3585</v>
      </c>
      <c r="BS28" s="178">
        <v>3670</v>
      </c>
      <c r="BT28" s="178">
        <v>3750</v>
      </c>
      <c r="BU28" s="178">
        <v>3805</v>
      </c>
      <c r="BV28" s="178">
        <v>3685</v>
      </c>
      <c r="BW28" s="178">
        <v>3730</v>
      </c>
      <c r="BX28" s="178">
        <v>3600</v>
      </c>
      <c r="BY28" s="178">
        <v>3785</v>
      </c>
      <c r="BZ28" s="178">
        <v>3820</v>
      </c>
      <c r="CA28" s="178">
        <v>3815</v>
      </c>
    </row>
    <row r="29" spans="1:79" x14ac:dyDescent="0.25">
      <c r="A29" s="49" t="str">
        <f>IPO監視一覧!H26</f>
        <v>B</v>
      </c>
      <c r="B29" s="49" t="str">
        <f>IPO監視一覧!B26</f>
        <v>エヌリンクス</v>
      </c>
      <c r="C29" s="177">
        <f>株価一覧!E28</f>
        <v>2481</v>
      </c>
      <c r="D29" s="105">
        <f t="shared" ca="1" si="4"/>
        <v>2469.8000000000002</v>
      </c>
      <c r="E29" s="177">
        <f t="shared" ca="1" si="1"/>
        <v>2521.2666666666669</v>
      </c>
      <c r="F29" s="110">
        <f t="shared" ca="1" si="2"/>
        <v>2403</v>
      </c>
      <c r="G29" s="178">
        <v>0</v>
      </c>
      <c r="H29" s="178">
        <v>0</v>
      </c>
      <c r="I29" s="178">
        <v>0</v>
      </c>
      <c r="J29" s="178">
        <v>0</v>
      </c>
      <c r="K29" s="178">
        <v>0</v>
      </c>
      <c r="L29" s="178">
        <v>0</v>
      </c>
      <c r="M29" s="178">
        <v>0</v>
      </c>
      <c r="N29" s="178">
        <v>0</v>
      </c>
      <c r="O29" s="178">
        <v>0</v>
      </c>
      <c r="P29" s="178">
        <v>0</v>
      </c>
      <c r="Q29" s="178">
        <v>0</v>
      </c>
      <c r="R29" s="178">
        <v>0</v>
      </c>
      <c r="S29" s="178">
        <v>0</v>
      </c>
      <c r="T29" s="178">
        <v>0</v>
      </c>
      <c r="U29" s="178">
        <v>0</v>
      </c>
      <c r="V29" s="178">
        <v>0</v>
      </c>
      <c r="W29" s="178">
        <v>0</v>
      </c>
      <c r="X29" s="178">
        <v>0</v>
      </c>
      <c r="Y29" s="178">
        <v>0</v>
      </c>
      <c r="Z29" s="178">
        <v>0</v>
      </c>
      <c r="AA29" s="178">
        <v>0</v>
      </c>
      <c r="AB29" s="178">
        <v>0</v>
      </c>
      <c r="AC29" s="178">
        <v>0</v>
      </c>
      <c r="AD29" s="178">
        <v>0</v>
      </c>
      <c r="AE29" s="178">
        <v>0</v>
      </c>
      <c r="AF29" s="178">
        <v>0</v>
      </c>
      <c r="AG29" s="178">
        <v>0</v>
      </c>
      <c r="AH29" s="178">
        <v>0</v>
      </c>
      <c r="AI29" s="178">
        <v>0</v>
      </c>
      <c r="AJ29" s="178">
        <v>0</v>
      </c>
      <c r="AK29" s="178">
        <v>0</v>
      </c>
      <c r="AL29" s="178">
        <v>0</v>
      </c>
      <c r="AM29" s="178">
        <v>0</v>
      </c>
      <c r="AN29" s="178">
        <v>0</v>
      </c>
      <c r="AO29" s="178">
        <v>0</v>
      </c>
      <c r="AP29" s="178">
        <v>0</v>
      </c>
      <c r="AQ29" s="178">
        <v>0</v>
      </c>
      <c r="AR29" s="178">
        <v>0</v>
      </c>
      <c r="AS29" s="178">
        <v>0</v>
      </c>
      <c r="AT29" s="178">
        <v>0</v>
      </c>
      <c r="AU29" s="178">
        <v>0</v>
      </c>
      <c r="AV29" s="178">
        <v>0</v>
      </c>
      <c r="AW29" s="178">
        <v>0</v>
      </c>
      <c r="AX29" s="178">
        <v>0</v>
      </c>
      <c r="AY29" s="178">
        <v>0</v>
      </c>
      <c r="AZ29" s="178">
        <v>0</v>
      </c>
      <c r="BA29" s="178">
        <v>3080</v>
      </c>
      <c r="BB29" s="178">
        <v>2705</v>
      </c>
      <c r="BC29" s="178">
        <v>2602</v>
      </c>
      <c r="BD29" s="178">
        <v>2632</v>
      </c>
      <c r="BE29" s="178">
        <v>2565</v>
      </c>
      <c r="BF29" s="178">
        <v>2521</v>
      </c>
      <c r="BG29" s="178">
        <v>2576</v>
      </c>
      <c r="BH29" s="178">
        <v>2540</v>
      </c>
      <c r="BI29" s="178">
        <v>2409</v>
      </c>
      <c r="BJ29" s="178">
        <v>2450</v>
      </c>
      <c r="BK29" s="178">
        <v>2549</v>
      </c>
      <c r="BL29" s="178">
        <v>2520</v>
      </c>
      <c r="BM29" s="178">
        <v>2502</v>
      </c>
      <c r="BN29" s="178">
        <v>2480</v>
      </c>
      <c r="BO29" s="178">
        <v>2474</v>
      </c>
      <c r="BP29" s="178">
        <v>2495</v>
      </c>
      <c r="BQ29" s="178">
        <v>2530</v>
      </c>
      <c r="BR29" s="178">
        <v>2695</v>
      </c>
      <c r="BS29" s="178">
        <v>2660</v>
      </c>
      <c r="BT29" s="178">
        <v>2646</v>
      </c>
      <c r="BU29" s="178">
        <v>2530</v>
      </c>
      <c r="BV29" s="178">
        <v>2458</v>
      </c>
      <c r="BW29" s="178">
        <v>2449</v>
      </c>
      <c r="BX29" s="178">
        <v>2403</v>
      </c>
      <c r="BY29" s="178">
        <v>2459</v>
      </c>
      <c r="BZ29" s="178">
        <v>2557</v>
      </c>
      <c r="CA29" s="178">
        <v>2481</v>
      </c>
    </row>
    <row r="30" spans="1:79" x14ac:dyDescent="0.25">
      <c r="A30" s="49" t="str">
        <f>IPO監視一覧!H27</f>
        <v>D</v>
      </c>
      <c r="B30" s="49" t="str">
        <f>IPO監視一覧!B27</f>
        <v>ラクスル</v>
      </c>
      <c r="C30" s="177">
        <f>株価一覧!E29</f>
        <v>2073</v>
      </c>
      <c r="D30" s="105">
        <f t="shared" ca="1" si="4"/>
        <v>2105</v>
      </c>
      <c r="E30" s="177">
        <f t="shared" ca="1" si="1"/>
        <v>0</v>
      </c>
      <c r="F30" s="110">
        <f t="shared" ca="1" si="2"/>
        <v>0</v>
      </c>
      <c r="G30" s="178">
        <v>0</v>
      </c>
      <c r="H30" s="178">
        <v>0</v>
      </c>
      <c r="I30" s="178">
        <v>0</v>
      </c>
      <c r="J30" s="178">
        <v>0</v>
      </c>
      <c r="K30" s="178">
        <v>0</v>
      </c>
      <c r="L30" s="178">
        <v>0</v>
      </c>
      <c r="M30" s="178">
        <v>0</v>
      </c>
      <c r="N30" s="178">
        <v>0</v>
      </c>
      <c r="O30" s="178">
        <v>0</v>
      </c>
      <c r="P30" s="178">
        <v>0</v>
      </c>
      <c r="Q30" s="178">
        <v>0</v>
      </c>
      <c r="R30" s="178">
        <v>0</v>
      </c>
      <c r="S30" s="178">
        <v>0</v>
      </c>
      <c r="T30" s="178">
        <v>0</v>
      </c>
      <c r="U30" s="178">
        <v>0</v>
      </c>
      <c r="V30" s="178">
        <v>0</v>
      </c>
      <c r="W30" s="178">
        <v>0</v>
      </c>
      <c r="X30" s="178">
        <v>0</v>
      </c>
      <c r="Y30" s="178">
        <v>0</v>
      </c>
      <c r="Z30" s="178">
        <v>0</v>
      </c>
      <c r="AA30" s="178">
        <v>0</v>
      </c>
      <c r="AB30" s="178">
        <v>0</v>
      </c>
      <c r="AC30" s="178">
        <v>0</v>
      </c>
      <c r="AD30" s="178">
        <v>0</v>
      </c>
      <c r="AE30" s="178">
        <v>0</v>
      </c>
      <c r="AF30" s="178">
        <v>0</v>
      </c>
      <c r="AG30" s="178">
        <v>0</v>
      </c>
      <c r="AH30" s="178">
        <v>0</v>
      </c>
      <c r="AI30" s="178">
        <v>0</v>
      </c>
      <c r="AJ30" s="178">
        <v>0</v>
      </c>
      <c r="AK30" s="178">
        <v>0</v>
      </c>
      <c r="AL30" s="178">
        <v>0</v>
      </c>
      <c r="AM30" s="178">
        <v>0</v>
      </c>
      <c r="AN30" s="178">
        <v>0</v>
      </c>
      <c r="AO30" s="178">
        <v>0</v>
      </c>
      <c r="AP30" s="178">
        <v>0</v>
      </c>
      <c r="AQ30" s="178">
        <v>0</v>
      </c>
      <c r="AR30" s="178">
        <v>0</v>
      </c>
      <c r="AS30" s="178">
        <v>0</v>
      </c>
      <c r="AT30" s="178">
        <v>0</v>
      </c>
      <c r="AU30" s="178">
        <v>0</v>
      </c>
      <c r="AV30" s="178">
        <v>0</v>
      </c>
      <c r="AW30" s="178">
        <v>0</v>
      </c>
      <c r="AX30" s="178">
        <v>0</v>
      </c>
      <c r="AY30" s="178">
        <v>0</v>
      </c>
      <c r="AZ30" s="178">
        <v>0</v>
      </c>
      <c r="BA30" s="178">
        <v>0</v>
      </c>
      <c r="BB30" s="178">
        <v>0</v>
      </c>
      <c r="BC30" s="178">
        <v>0</v>
      </c>
      <c r="BD30" s="178">
        <v>0</v>
      </c>
      <c r="BE30" s="178">
        <v>0</v>
      </c>
      <c r="BF30" s="178">
        <v>0</v>
      </c>
      <c r="BG30" s="178">
        <v>0</v>
      </c>
      <c r="BH30" s="178">
        <v>0</v>
      </c>
      <c r="BI30" s="178">
        <v>0</v>
      </c>
      <c r="BJ30" s="178">
        <v>0</v>
      </c>
      <c r="BK30" s="178">
        <v>0</v>
      </c>
      <c r="BL30" s="178">
        <v>0</v>
      </c>
      <c r="BM30" s="178">
        <v>0</v>
      </c>
      <c r="BN30" s="178">
        <v>0</v>
      </c>
      <c r="BO30" s="178">
        <v>0</v>
      </c>
      <c r="BP30" s="178">
        <v>0</v>
      </c>
      <c r="BQ30" s="178">
        <v>0</v>
      </c>
      <c r="BR30" s="178">
        <v>0</v>
      </c>
      <c r="BS30" s="178">
        <v>0</v>
      </c>
      <c r="BT30" s="178">
        <v>1999</v>
      </c>
      <c r="BU30" s="178">
        <v>2222</v>
      </c>
      <c r="BV30" s="178">
        <v>2065</v>
      </c>
      <c r="BW30" s="178">
        <v>2230</v>
      </c>
      <c r="BX30" s="178">
        <v>2063</v>
      </c>
      <c r="BY30" s="178">
        <v>2104</v>
      </c>
      <c r="BZ30" s="178">
        <v>2055</v>
      </c>
      <c r="CA30" s="178">
        <v>2073</v>
      </c>
    </row>
    <row r="31" spans="1:79" x14ac:dyDescent="0.25">
      <c r="A31" s="49" t="str">
        <f>IPO監視一覧!H28</f>
        <v>B</v>
      </c>
      <c r="B31" s="49" t="str">
        <f>IPO監視一覧!B28</f>
        <v>メルカリ</v>
      </c>
      <c r="C31" s="177">
        <f>株価一覧!E30</f>
        <v>0</v>
      </c>
      <c r="D31" s="105">
        <f t="shared" ca="1" si="4"/>
        <v>0</v>
      </c>
      <c r="E31" s="177">
        <f t="shared" ca="1" si="1"/>
        <v>0</v>
      </c>
      <c r="F31" s="110">
        <f t="shared" ca="1" si="2"/>
        <v>0</v>
      </c>
      <c r="G31" s="178">
        <v>0</v>
      </c>
      <c r="H31" s="178">
        <v>0</v>
      </c>
      <c r="I31" s="178">
        <v>0</v>
      </c>
      <c r="J31" s="178">
        <v>0</v>
      </c>
      <c r="K31" s="178">
        <v>0</v>
      </c>
      <c r="L31" s="178">
        <v>0</v>
      </c>
      <c r="M31" s="178">
        <v>0</v>
      </c>
      <c r="N31" s="178">
        <v>0</v>
      </c>
      <c r="O31" s="178">
        <v>0</v>
      </c>
      <c r="P31" s="178">
        <v>0</v>
      </c>
      <c r="Q31" s="178">
        <v>0</v>
      </c>
      <c r="R31" s="178">
        <v>0</v>
      </c>
      <c r="S31" s="178">
        <v>0</v>
      </c>
      <c r="T31" s="178">
        <v>0</v>
      </c>
      <c r="U31" s="178">
        <v>0</v>
      </c>
      <c r="V31" s="178">
        <v>0</v>
      </c>
      <c r="W31" s="178">
        <v>0</v>
      </c>
      <c r="X31" s="178">
        <v>0</v>
      </c>
      <c r="Y31" s="178">
        <v>0</v>
      </c>
      <c r="Z31" s="178">
        <v>0</v>
      </c>
      <c r="AA31" s="178">
        <v>0</v>
      </c>
      <c r="AB31" s="178">
        <v>0</v>
      </c>
      <c r="AC31" s="178">
        <v>0</v>
      </c>
      <c r="AD31" s="178">
        <v>0</v>
      </c>
      <c r="AE31" s="178">
        <v>0</v>
      </c>
      <c r="AF31" s="178">
        <v>0</v>
      </c>
      <c r="AG31" s="178">
        <v>0</v>
      </c>
      <c r="AH31" s="178">
        <v>0</v>
      </c>
      <c r="AI31" s="178">
        <v>0</v>
      </c>
      <c r="AJ31" s="178">
        <v>0</v>
      </c>
      <c r="AK31" s="178">
        <v>0</v>
      </c>
      <c r="AL31" s="178">
        <v>0</v>
      </c>
      <c r="AM31" s="178">
        <v>0</v>
      </c>
      <c r="AN31" s="178">
        <v>0</v>
      </c>
      <c r="AO31" s="178">
        <v>0</v>
      </c>
      <c r="AP31" s="178">
        <v>0</v>
      </c>
      <c r="AQ31" s="178">
        <v>0</v>
      </c>
      <c r="AR31" s="178">
        <v>0</v>
      </c>
      <c r="AS31" s="178">
        <v>0</v>
      </c>
      <c r="AT31" s="178">
        <v>0</v>
      </c>
      <c r="AU31" s="178">
        <v>0</v>
      </c>
      <c r="AV31" s="178">
        <v>0</v>
      </c>
      <c r="AW31" s="178">
        <v>0</v>
      </c>
      <c r="AX31" s="178">
        <v>0</v>
      </c>
      <c r="AY31" s="178">
        <v>0</v>
      </c>
      <c r="AZ31" s="178">
        <v>0</v>
      </c>
      <c r="BA31" s="178">
        <v>0</v>
      </c>
      <c r="BB31" s="178">
        <v>0</v>
      </c>
      <c r="BC31" s="178">
        <v>0</v>
      </c>
      <c r="BD31" s="178">
        <v>0</v>
      </c>
      <c r="BE31" s="178">
        <v>0</v>
      </c>
      <c r="BF31" s="178">
        <v>0</v>
      </c>
      <c r="BG31" s="178">
        <v>0</v>
      </c>
      <c r="BH31" s="178">
        <v>0</v>
      </c>
      <c r="BI31" s="178">
        <v>0</v>
      </c>
      <c r="BJ31" s="178">
        <v>0</v>
      </c>
      <c r="BK31" s="178">
        <v>0</v>
      </c>
      <c r="BL31" s="178">
        <v>0</v>
      </c>
      <c r="BM31" s="178">
        <v>0</v>
      </c>
      <c r="BN31" s="178">
        <v>0</v>
      </c>
      <c r="BO31" s="178">
        <v>0</v>
      </c>
      <c r="BP31" s="178">
        <v>0</v>
      </c>
      <c r="BQ31" s="178">
        <v>0</v>
      </c>
      <c r="BR31" s="178">
        <v>0</v>
      </c>
      <c r="BS31" s="178">
        <v>0</v>
      </c>
      <c r="BT31" s="178">
        <v>0</v>
      </c>
      <c r="BU31" s="178">
        <v>0</v>
      </c>
      <c r="BV31" s="178">
        <v>0</v>
      </c>
      <c r="BW31" s="178">
        <v>0</v>
      </c>
      <c r="BX31" s="178">
        <v>0</v>
      </c>
      <c r="BY31" s="178">
        <v>0</v>
      </c>
      <c r="BZ31" s="178">
        <v>0</v>
      </c>
      <c r="CA31" s="178">
        <v>0</v>
      </c>
    </row>
    <row r="32" spans="1:79" x14ac:dyDescent="0.25">
      <c r="A32" s="49" t="str">
        <f>IPO監視一覧!H29</f>
        <v>A</v>
      </c>
      <c r="B32" s="49" t="str">
        <f>IPO監視一覧!B29</f>
        <v>ログリー</v>
      </c>
      <c r="C32" s="177">
        <f>株価一覧!E31</f>
        <v>0</v>
      </c>
      <c r="D32" s="105">
        <f t="shared" ca="1" si="4"/>
        <v>0</v>
      </c>
      <c r="E32" s="177">
        <f t="shared" ca="1" si="1"/>
        <v>0</v>
      </c>
      <c r="F32" s="110">
        <f t="shared" ca="1" si="2"/>
        <v>0</v>
      </c>
      <c r="G32" s="178">
        <v>0</v>
      </c>
      <c r="H32" s="178">
        <v>0</v>
      </c>
      <c r="I32" s="178">
        <v>0</v>
      </c>
      <c r="J32" s="178">
        <v>0</v>
      </c>
      <c r="K32" s="178">
        <v>0</v>
      </c>
      <c r="L32" s="178">
        <v>0</v>
      </c>
      <c r="M32" s="178">
        <v>0</v>
      </c>
      <c r="N32" s="178">
        <v>0</v>
      </c>
      <c r="O32" s="178">
        <v>0</v>
      </c>
      <c r="P32" s="178">
        <v>0</v>
      </c>
      <c r="Q32" s="178">
        <v>0</v>
      </c>
      <c r="R32" s="178">
        <v>0</v>
      </c>
      <c r="S32" s="178">
        <v>0</v>
      </c>
      <c r="T32" s="178">
        <v>0</v>
      </c>
      <c r="U32" s="178">
        <v>0</v>
      </c>
      <c r="V32" s="178">
        <v>0</v>
      </c>
      <c r="W32" s="178">
        <v>0</v>
      </c>
      <c r="X32" s="178">
        <v>0</v>
      </c>
      <c r="Y32" s="178">
        <v>0</v>
      </c>
      <c r="Z32" s="178">
        <v>0</v>
      </c>
      <c r="AA32" s="178">
        <v>0</v>
      </c>
      <c r="AB32" s="178">
        <v>0</v>
      </c>
      <c r="AC32" s="178">
        <v>0</v>
      </c>
      <c r="AD32" s="178">
        <v>0</v>
      </c>
      <c r="AE32" s="178">
        <v>0</v>
      </c>
      <c r="AF32" s="178">
        <v>0</v>
      </c>
      <c r="AG32" s="178">
        <v>0</v>
      </c>
      <c r="AH32" s="178">
        <v>0</v>
      </c>
      <c r="AI32" s="178">
        <v>0</v>
      </c>
      <c r="AJ32" s="178">
        <v>0</v>
      </c>
      <c r="AK32" s="178">
        <v>0</v>
      </c>
      <c r="AL32" s="178">
        <v>0</v>
      </c>
      <c r="AM32" s="178">
        <v>0</v>
      </c>
      <c r="AN32" s="178">
        <v>0</v>
      </c>
      <c r="AO32" s="178">
        <v>0</v>
      </c>
      <c r="AP32" s="178">
        <v>0</v>
      </c>
      <c r="AQ32" s="178">
        <v>0</v>
      </c>
      <c r="AR32" s="178">
        <v>0</v>
      </c>
      <c r="AS32" s="178">
        <v>0</v>
      </c>
      <c r="AT32" s="178">
        <v>0</v>
      </c>
      <c r="AU32" s="178">
        <v>0</v>
      </c>
      <c r="AV32" s="178">
        <v>0</v>
      </c>
      <c r="AW32" s="178">
        <v>0</v>
      </c>
      <c r="AX32" s="178">
        <v>0</v>
      </c>
      <c r="AY32" s="178">
        <v>0</v>
      </c>
      <c r="AZ32" s="178">
        <v>0</v>
      </c>
      <c r="BA32" s="178">
        <v>0</v>
      </c>
      <c r="BB32" s="178">
        <v>0</v>
      </c>
      <c r="BC32" s="178">
        <v>0</v>
      </c>
      <c r="BD32" s="178">
        <v>0</v>
      </c>
      <c r="BE32" s="178">
        <v>0</v>
      </c>
      <c r="BF32" s="178">
        <v>0</v>
      </c>
      <c r="BG32" s="178">
        <v>0</v>
      </c>
      <c r="BH32" s="178">
        <v>0</v>
      </c>
      <c r="BI32" s="178">
        <v>0</v>
      </c>
      <c r="BJ32" s="178">
        <v>0</v>
      </c>
      <c r="BK32" s="178">
        <v>0</v>
      </c>
      <c r="BL32" s="178">
        <v>0</v>
      </c>
      <c r="BM32" s="178">
        <v>0</v>
      </c>
      <c r="BN32" s="178">
        <v>0</v>
      </c>
      <c r="BO32" s="178">
        <v>0</v>
      </c>
      <c r="BP32" s="178">
        <v>0</v>
      </c>
      <c r="BQ32" s="178">
        <v>0</v>
      </c>
      <c r="BR32" s="178">
        <v>0</v>
      </c>
      <c r="BS32" s="178">
        <v>0</v>
      </c>
      <c r="BT32" s="178">
        <v>0</v>
      </c>
      <c r="BU32" s="178">
        <v>0</v>
      </c>
      <c r="BV32" s="178">
        <v>0</v>
      </c>
      <c r="BW32" s="178">
        <v>0</v>
      </c>
      <c r="BX32" s="178">
        <v>0</v>
      </c>
      <c r="BY32" s="178">
        <v>0</v>
      </c>
      <c r="BZ32" s="178">
        <v>0</v>
      </c>
      <c r="CA32" s="178">
        <v>0</v>
      </c>
    </row>
    <row r="33" spans="1:79" x14ac:dyDescent="0.25">
      <c r="A33" s="49" t="str">
        <f>IPO監視一覧!H30</f>
        <v>A</v>
      </c>
      <c r="B33" s="49" t="str">
        <f>IPO監視一覧!B30</f>
        <v>ＳＩＧ</v>
      </c>
      <c r="C33" s="177">
        <f>株価一覧!E32</f>
        <v>0</v>
      </c>
      <c r="D33" s="105">
        <f t="shared" ca="1" si="4"/>
        <v>0</v>
      </c>
      <c r="E33" s="177">
        <f t="shared" ca="1" si="1"/>
        <v>0</v>
      </c>
      <c r="F33" s="110">
        <f t="shared" ca="1" si="2"/>
        <v>0</v>
      </c>
      <c r="G33" s="178">
        <v>0</v>
      </c>
      <c r="H33" s="178">
        <v>0</v>
      </c>
      <c r="I33" s="178">
        <v>0</v>
      </c>
      <c r="J33" s="178">
        <v>0</v>
      </c>
      <c r="K33" s="178">
        <v>0</v>
      </c>
      <c r="L33" s="178">
        <v>0</v>
      </c>
      <c r="M33" s="178">
        <v>0</v>
      </c>
      <c r="N33" s="178">
        <v>0</v>
      </c>
      <c r="O33" s="178">
        <v>0</v>
      </c>
      <c r="P33" s="178">
        <v>0</v>
      </c>
      <c r="Q33" s="178">
        <v>0</v>
      </c>
      <c r="R33" s="178">
        <v>0</v>
      </c>
      <c r="S33" s="178">
        <v>0</v>
      </c>
      <c r="T33" s="178">
        <v>0</v>
      </c>
      <c r="U33" s="178">
        <v>0</v>
      </c>
      <c r="V33" s="178">
        <v>0</v>
      </c>
      <c r="W33" s="178">
        <v>0</v>
      </c>
      <c r="X33" s="178">
        <v>0</v>
      </c>
      <c r="Y33" s="178">
        <v>0</v>
      </c>
      <c r="Z33" s="178">
        <v>0</v>
      </c>
      <c r="AA33" s="178">
        <v>0</v>
      </c>
      <c r="AB33" s="178">
        <v>0</v>
      </c>
      <c r="AC33" s="178">
        <v>0</v>
      </c>
      <c r="AD33" s="178">
        <v>0</v>
      </c>
      <c r="AE33" s="178">
        <v>0</v>
      </c>
      <c r="AF33" s="178">
        <v>0</v>
      </c>
      <c r="AG33" s="178">
        <v>0</v>
      </c>
      <c r="AH33" s="178">
        <v>0</v>
      </c>
      <c r="AI33" s="178">
        <v>0</v>
      </c>
      <c r="AJ33" s="178">
        <v>0</v>
      </c>
      <c r="AK33" s="178">
        <v>0</v>
      </c>
      <c r="AL33" s="178">
        <v>0</v>
      </c>
      <c r="AM33" s="178">
        <v>0</v>
      </c>
      <c r="AN33" s="178">
        <v>0</v>
      </c>
      <c r="AO33" s="178">
        <v>0</v>
      </c>
      <c r="AP33" s="178">
        <v>0</v>
      </c>
      <c r="AQ33" s="178">
        <v>0</v>
      </c>
      <c r="AR33" s="178">
        <v>0</v>
      </c>
      <c r="AS33" s="178">
        <v>0</v>
      </c>
      <c r="AT33" s="178">
        <v>0</v>
      </c>
      <c r="AU33" s="178">
        <v>0</v>
      </c>
      <c r="AV33" s="178">
        <v>0</v>
      </c>
      <c r="AW33" s="178">
        <v>0</v>
      </c>
      <c r="AX33" s="178">
        <v>0</v>
      </c>
      <c r="AY33" s="178">
        <v>0</v>
      </c>
      <c r="AZ33" s="178">
        <v>0</v>
      </c>
      <c r="BA33" s="178">
        <v>0</v>
      </c>
      <c r="BB33" s="178">
        <v>0</v>
      </c>
      <c r="BC33" s="178">
        <v>0</v>
      </c>
      <c r="BD33" s="178">
        <v>0</v>
      </c>
      <c r="BE33" s="178">
        <v>0</v>
      </c>
      <c r="BF33" s="178">
        <v>0</v>
      </c>
      <c r="BG33" s="178">
        <v>0</v>
      </c>
      <c r="BH33" s="178">
        <v>0</v>
      </c>
      <c r="BI33" s="178">
        <v>0</v>
      </c>
      <c r="BJ33" s="178">
        <v>0</v>
      </c>
      <c r="BK33" s="178">
        <v>0</v>
      </c>
      <c r="BL33" s="178">
        <v>0</v>
      </c>
      <c r="BM33" s="178">
        <v>0</v>
      </c>
      <c r="BN33" s="178">
        <v>0</v>
      </c>
      <c r="BO33" s="178">
        <v>0</v>
      </c>
      <c r="BP33" s="178">
        <v>0</v>
      </c>
      <c r="BQ33" s="178">
        <v>0</v>
      </c>
      <c r="BR33" s="178">
        <v>0</v>
      </c>
      <c r="BS33" s="178">
        <v>0</v>
      </c>
      <c r="BT33" s="178">
        <v>0</v>
      </c>
      <c r="BU33" s="178">
        <v>0</v>
      </c>
      <c r="BV33" s="178">
        <v>0</v>
      </c>
      <c r="BW33" s="178">
        <v>0</v>
      </c>
      <c r="BX33" s="178">
        <v>0</v>
      </c>
      <c r="BY33" s="178">
        <v>0</v>
      </c>
      <c r="BZ33" s="178">
        <v>0</v>
      </c>
      <c r="CA33" s="178">
        <v>0</v>
      </c>
    </row>
    <row r="34" spans="1:79" x14ac:dyDescent="0.25">
      <c r="A34" s="49" t="str">
        <f>IPO監視一覧!H31</f>
        <v>C</v>
      </c>
      <c r="B34" s="49" t="str">
        <f>IPO監視一覧!B31</f>
        <v>コーア商事HD</v>
      </c>
      <c r="C34" s="177">
        <f>株価一覧!E33</f>
        <v>0</v>
      </c>
      <c r="D34" s="105">
        <f t="shared" ref="D34:D41" ca="1" si="5">AVERAGE(OFFSET(A34,0,COUNTA(G34:XFD34)+5,1,-5))</f>
        <v>0</v>
      </c>
      <c r="E34" s="177">
        <f t="shared" ref="E34:E41" ca="1" si="6">IF(F34=0,0,AVERAGE(OFFSET(A34,0,COUNTA(G34:XFD34)+5,1,-15)))</f>
        <v>0</v>
      </c>
      <c r="F34" s="110">
        <f t="shared" ref="F34:F41" ca="1" si="7">MIN(OFFSET(B34,0,COUNTA(G34:XFD34)+5,1,-15))</f>
        <v>0</v>
      </c>
      <c r="G34" s="178">
        <v>0</v>
      </c>
      <c r="H34" s="178">
        <v>0</v>
      </c>
      <c r="I34" s="178">
        <v>0</v>
      </c>
      <c r="J34" s="178">
        <v>0</v>
      </c>
      <c r="K34" s="178">
        <v>0</v>
      </c>
      <c r="L34" s="178">
        <v>0</v>
      </c>
      <c r="M34" s="178">
        <v>0</v>
      </c>
      <c r="N34" s="178">
        <v>0</v>
      </c>
      <c r="O34" s="178">
        <v>0</v>
      </c>
      <c r="P34" s="178">
        <v>0</v>
      </c>
      <c r="Q34" s="178">
        <v>0</v>
      </c>
      <c r="R34" s="178">
        <v>0</v>
      </c>
      <c r="S34" s="178">
        <v>0</v>
      </c>
      <c r="T34" s="178">
        <v>0</v>
      </c>
      <c r="U34" s="178">
        <v>0</v>
      </c>
      <c r="V34" s="178">
        <v>0</v>
      </c>
      <c r="W34" s="178">
        <v>0</v>
      </c>
      <c r="X34" s="178">
        <v>0</v>
      </c>
      <c r="Y34" s="178">
        <v>0</v>
      </c>
      <c r="Z34" s="178">
        <v>0</v>
      </c>
      <c r="AA34" s="178">
        <v>0</v>
      </c>
      <c r="AB34" s="178">
        <v>0</v>
      </c>
      <c r="AC34" s="178">
        <v>0</v>
      </c>
      <c r="AD34" s="178">
        <v>0</v>
      </c>
      <c r="AE34" s="178">
        <v>0</v>
      </c>
      <c r="AF34" s="178">
        <v>0</v>
      </c>
      <c r="AG34" s="178">
        <v>0</v>
      </c>
      <c r="AH34" s="178">
        <v>0</v>
      </c>
      <c r="AI34" s="178">
        <v>0</v>
      </c>
      <c r="AJ34" s="178">
        <v>0</v>
      </c>
      <c r="AK34" s="178">
        <v>0</v>
      </c>
      <c r="AL34" s="178">
        <v>0</v>
      </c>
      <c r="AM34" s="178">
        <v>0</v>
      </c>
      <c r="AN34" s="178">
        <v>0</v>
      </c>
      <c r="AO34" s="178">
        <v>0</v>
      </c>
      <c r="AP34" s="178">
        <v>0</v>
      </c>
      <c r="AQ34" s="178">
        <v>0</v>
      </c>
      <c r="AR34" s="178">
        <v>0</v>
      </c>
      <c r="AS34" s="178">
        <v>0</v>
      </c>
      <c r="AT34" s="178">
        <v>0</v>
      </c>
      <c r="AU34" s="178">
        <v>0</v>
      </c>
      <c r="AV34" s="178">
        <v>0</v>
      </c>
      <c r="AW34" s="178">
        <v>0</v>
      </c>
      <c r="AX34" s="178">
        <v>0</v>
      </c>
      <c r="AY34" s="178">
        <v>0</v>
      </c>
      <c r="AZ34" s="178">
        <v>0</v>
      </c>
      <c r="BA34" s="178">
        <v>0</v>
      </c>
      <c r="BB34" s="178">
        <v>0</v>
      </c>
      <c r="BC34" s="178">
        <v>0</v>
      </c>
      <c r="BD34" s="178">
        <v>0</v>
      </c>
      <c r="BE34" s="178">
        <v>0</v>
      </c>
      <c r="BF34" s="178">
        <v>0</v>
      </c>
      <c r="BG34" s="178">
        <v>0</v>
      </c>
      <c r="BH34" s="178">
        <v>0</v>
      </c>
      <c r="BI34" s="178">
        <v>0</v>
      </c>
      <c r="BJ34" s="178">
        <v>0</v>
      </c>
      <c r="BK34" s="178">
        <v>0</v>
      </c>
      <c r="BL34" s="178">
        <v>0</v>
      </c>
      <c r="BM34" s="178">
        <v>0</v>
      </c>
      <c r="BN34" s="178">
        <v>0</v>
      </c>
      <c r="BO34" s="178">
        <v>0</v>
      </c>
      <c r="BP34" s="178">
        <v>0</v>
      </c>
      <c r="BQ34" s="178">
        <v>0</v>
      </c>
      <c r="BR34" s="178">
        <v>0</v>
      </c>
      <c r="BS34" s="178">
        <v>0</v>
      </c>
      <c r="BT34" s="178">
        <v>0</v>
      </c>
      <c r="BU34" s="178">
        <v>0</v>
      </c>
      <c r="BV34" s="178">
        <v>0</v>
      </c>
      <c r="BW34" s="178">
        <v>0</v>
      </c>
      <c r="BX34" s="178">
        <v>0</v>
      </c>
      <c r="BY34" s="178">
        <v>0</v>
      </c>
      <c r="BZ34" s="178">
        <v>0</v>
      </c>
      <c r="CA34" s="178">
        <v>0</v>
      </c>
    </row>
    <row r="35" spans="1:79" x14ac:dyDescent="0.25">
      <c r="A35" s="49" t="str">
        <f>IPO監視一覧!H32</f>
        <v>A</v>
      </c>
      <c r="B35" s="49" t="str">
        <f>IPO監視一覧!B32</f>
        <v>ZUU</v>
      </c>
      <c r="C35" s="177">
        <f>株価一覧!E34</f>
        <v>0</v>
      </c>
      <c r="D35" s="105">
        <f t="shared" ca="1" si="5"/>
        <v>0</v>
      </c>
      <c r="E35" s="177">
        <f t="shared" ca="1" si="6"/>
        <v>0</v>
      </c>
      <c r="F35" s="110">
        <f t="shared" ca="1" si="7"/>
        <v>0</v>
      </c>
      <c r="G35" s="178">
        <v>0</v>
      </c>
      <c r="H35" s="178">
        <v>0</v>
      </c>
      <c r="I35" s="178">
        <v>0</v>
      </c>
      <c r="J35" s="178">
        <v>0</v>
      </c>
      <c r="K35" s="178">
        <v>0</v>
      </c>
      <c r="L35" s="178">
        <v>0</v>
      </c>
      <c r="M35" s="178">
        <v>0</v>
      </c>
      <c r="N35" s="178">
        <v>0</v>
      </c>
      <c r="O35" s="178">
        <v>0</v>
      </c>
      <c r="P35" s="178">
        <v>0</v>
      </c>
      <c r="Q35" s="178">
        <v>0</v>
      </c>
      <c r="R35" s="178">
        <v>0</v>
      </c>
      <c r="S35" s="178">
        <v>0</v>
      </c>
      <c r="T35" s="178">
        <v>0</v>
      </c>
      <c r="U35" s="178">
        <v>0</v>
      </c>
      <c r="V35" s="178">
        <v>0</v>
      </c>
      <c r="W35" s="178">
        <v>0</v>
      </c>
      <c r="X35" s="178">
        <v>0</v>
      </c>
      <c r="Y35" s="178">
        <v>0</v>
      </c>
      <c r="Z35" s="178">
        <v>0</v>
      </c>
      <c r="AA35" s="178">
        <v>0</v>
      </c>
      <c r="AB35" s="178">
        <v>0</v>
      </c>
      <c r="AC35" s="178">
        <v>0</v>
      </c>
      <c r="AD35" s="178">
        <v>0</v>
      </c>
      <c r="AE35" s="178">
        <v>0</v>
      </c>
      <c r="AF35" s="178">
        <v>0</v>
      </c>
      <c r="AG35" s="178">
        <v>0</v>
      </c>
      <c r="AH35" s="178">
        <v>0</v>
      </c>
      <c r="AI35" s="178">
        <v>0</v>
      </c>
      <c r="AJ35" s="178">
        <v>0</v>
      </c>
      <c r="AK35" s="178">
        <v>0</v>
      </c>
      <c r="AL35" s="178">
        <v>0</v>
      </c>
      <c r="AM35" s="178">
        <v>0</v>
      </c>
      <c r="AN35" s="178">
        <v>0</v>
      </c>
      <c r="AO35" s="178">
        <v>0</v>
      </c>
      <c r="AP35" s="178">
        <v>0</v>
      </c>
      <c r="AQ35" s="178">
        <v>0</v>
      </c>
      <c r="AR35" s="178">
        <v>0</v>
      </c>
      <c r="AS35" s="178">
        <v>0</v>
      </c>
      <c r="AT35" s="178">
        <v>0</v>
      </c>
      <c r="AU35" s="178">
        <v>0</v>
      </c>
      <c r="AV35" s="178">
        <v>0</v>
      </c>
      <c r="AW35" s="178">
        <v>0</v>
      </c>
      <c r="AX35" s="178">
        <v>0</v>
      </c>
      <c r="AY35" s="178">
        <v>0</v>
      </c>
      <c r="AZ35" s="178">
        <v>0</v>
      </c>
      <c r="BA35" s="178">
        <v>0</v>
      </c>
      <c r="BB35" s="178">
        <v>0</v>
      </c>
      <c r="BC35" s="178">
        <v>0</v>
      </c>
      <c r="BD35" s="178">
        <v>0</v>
      </c>
      <c r="BE35" s="178">
        <v>0</v>
      </c>
      <c r="BF35" s="178">
        <v>0</v>
      </c>
      <c r="BG35" s="178">
        <v>0</v>
      </c>
      <c r="BH35" s="178">
        <v>0</v>
      </c>
      <c r="BI35" s="178">
        <v>0</v>
      </c>
      <c r="BJ35" s="178">
        <v>0</v>
      </c>
      <c r="BK35" s="178">
        <v>0</v>
      </c>
      <c r="BL35" s="178">
        <v>0</v>
      </c>
      <c r="BM35" s="178">
        <v>0</v>
      </c>
      <c r="BN35" s="178">
        <v>0</v>
      </c>
      <c r="BO35" s="178">
        <v>0</v>
      </c>
      <c r="BP35" s="178">
        <v>0</v>
      </c>
      <c r="BQ35" s="178">
        <v>0</v>
      </c>
      <c r="BR35" s="178">
        <v>0</v>
      </c>
      <c r="BS35" s="178">
        <v>0</v>
      </c>
      <c r="BT35" s="178">
        <v>0</v>
      </c>
      <c r="BU35" s="178">
        <v>0</v>
      </c>
      <c r="BV35" s="178">
        <v>0</v>
      </c>
      <c r="BW35" s="178">
        <v>0</v>
      </c>
      <c r="BX35" s="178">
        <v>0</v>
      </c>
      <c r="BY35" s="178">
        <v>0</v>
      </c>
      <c r="BZ35" s="178">
        <v>0</v>
      </c>
      <c r="CA35" s="178">
        <v>0</v>
      </c>
    </row>
    <row r="36" spans="1:79" x14ac:dyDescent="0.25">
      <c r="A36" s="49" t="str">
        <f>IPO監視一覧!H33</f>
        <v>B</v>
      </c>
      <c r="B36" s="49" t="str">
        <f>IPO監視一覧!B33</f>
        <v>ライトアップ</v>
      </c>
      <c r="C36" s="177">
        <f>株価一覧!E35</f>
        <v>0</v>
      </c>
      <c r="D36" s="105">
        <f t="shared" ca="1" si="5"/>
        <v>0</v>
      </c>
      <c r="E36" s="177">
        <f t="shared" ca="1" si="6"/>
        <v>0</v>
      </c>
      <c r="F36" s="110">
        <f t="shared" ca="1" si="7"/>
        <v>0</v>
      </c>
      <c r="G36" s="178">
        <v>0</v>
      </c>
      <c r="H36" s="178">
        <v>0</v>
      </c>
      <c r="I36" s="178">
        <v>0</v>
      </c>
      <c r="J36" s="178">
        <v>0</v>
      </c>
      <c r="K36" s="178">
        <v>0</v>
      </c>
      <c r="L36" s="178">
        <v>0</v>
      </c>
      <c r="M36" s="178">
        <v>0</v>
      </c>
      <c r="N36" s="178">
        <v>0</v>
      </c>
      <c r="O36" s="178">
        <v>0</v>
      </c>
      <c r="P36" s="178">
        <v>0</v>
      </c>
      <c r="Q36" s="178">
        <v>0</v>
      </c>
      <c r="R36" s="178">
        <v>0</v>
      </c>
      <c r="S36" s="178">
        <v>0</v>
      </c>
      <c r="T36" s="178">
        <v>0</v>
      </c>
      <c r="U36" s="178">
        <v>0</v>
      </c>
      <c r="V36" s="178">
        <v>0</v>
      </c>
      <c r="W36" s="178">
        <v>0</v>
      </c>
      <c r="X36" s="178">
        <v>0</v>
      </c>
      <c r="Y36" s="178">
        <v>0</v>
      </c>
      <c r="Z36" s="178">
        <v>0</v>
      </c>
      <c r="AA36" s="178">
        <v>0</v>
      </c>
      <c r="AB36" s="178">
        <v>0</v>
      </c>
      <c r="AC36" s="178">
        <v>0</v>
      </c>
      <c r="AD36" s="178">
        <v>0</v>
      </c>
      <c r="AE36" s="178">
        <v>0</v>
      </c>
      <c r="AF36" s="178">
        <v>0</v>
      </c>
      <c r="AG36" s="178">
        <v>0</v>
      </c>
      <c r="AH36" s="178">
        <v>0</v>
      </c>
      <c r="AI36" s="178">
        <v>0</v>
      </c>
      <c r="AJ36" s="178">
        <v>0</v>
      </c>
      <c r="AK36" s="178">
        <v>0</v>
      </c>
      <c r="AL36" s="178">
        <v>0</v>
      </c>
      <c r="AM36" s="178">
        <v>0</v>
      </c>
      <c r="AN36" s="178">
        <v>0</v>
      </c>
      <c r="AO36" s="178">
        <v>0</v>
      </c>
      <c r="AP36" s="178">
        <v>0</v>
      </c>
      <c r="AQ36" s="178">
        <v>0</v>
      </c>
      <c r="AR36" s="178">
        <v>0</v>
      </c>
      <c r="AS36" s="178">
        <v>0</v>
      </c>
      <c r="AT36" s="178">
        <v>0</v>
      </c>
      <c r="AU36" s="178">
        <v>0</v>
      </c>
      <c r="AV36" s="178">
        <v>0</v>
      </c>
      <c r="AW36" s="178">
        <v>0</v>
      </c>
      <c r="AX36" s="178">
        <v>0</v>
      </c>
      <c r="AY36" s="178">
        <v>0</v>
      </c>
      <c r="AZ36" s="178">
        <v>0</v>
      </c>
      <c r="BA36" s="178">
        <v>0</v>
      </c>
      <c r="BB36" s="178">
        <v>0</v>
      </c>
      <c r="BC36" s="178">
        <v>0</v>
      </c>
      <c r="BD36" s="178">
        <v>0</v>
      </c>
      <c r="BE36" s="178">
        <v>0</v>
      </c>
      <c r="BF36" s="178">
        <v>0</v>
      </c>
      <c r="BG36" s="178">
        <v>0</v>
      </c>
      <c r="BH36" s="178">
        <v>0</v>
      </c>
      <c r="BI36" s="178">
        <v>0</v>
      </c>
      <c r="BJ36" s="178">
        <v>0</v>
      </c>
      <c r="BK36" s="178">
        <v>0</v>
      </c>
      <c r="BL36" s="178">
        <v>0</v>
      </c>
      <c r="BM36" s="178">
        <v>0</v>
      </c>
      <c r="BN36" s="178">
        <v>0</v>
      </c>
      <c r="BO36" s="178">
        <v>0</v>
      </c>
      <c r="BP36" s="178">
        <v>0</v>
      </c>
      <c r="BQ36" s="178">
        <v>0</v>
      </c>
      <c r="BR36" s="178">
        <v>0</v>
      </c>
      <c r="BS36" s="178">
        <v>0</v>
      </c>
      <c r="BT36" s="178">
        <v>0</v>
      </c>
      <c r="BU36" s="178">
        <v>0</v>
      </c>
      <c r="BV36" s="178">
        <v>0</v>
      </c>
      <c r="BW36" s="178">
        <v>0</v>
      </c>
      <c r="BX36" s="178">
        <v>0</v>
      </c>
      <c r="BY36" s="178">
        <v>0</v>
      </c>
      <c r="BZ36" s="178">
        <v>0</v>
      </c>
      <c r="CA36" s="178">
        <v>0</v>
      </c>
    </row>
    <row r="37" spans="1:79" x14ac:dyDescent="0.25">
      <c r="A37" s="49" t="str">
        <f>IPO監視一覧!H34</f>
        <v>D</v>
      </c>
      <c r="B37" s="49" t="str">
        <f>IPO監視一覧!B34</f>
        <v>国際紙パルプ商事</v>
      </c>
      <c r="C37" s="177">
        <f>株価一覧!E36</f>
        <v>0</v>
      </c>
      <c r="D37" s="105">
        <f t="shared" ca="1" si="5"/>
        <v>0</v>
      </c>
      <c r="E37" s="177">
        <f t="shared" ca="1" si="6"/>
        <v>0</v>
      </c>
      <c r="F37" s="110">
        <f t="shared" ca="1" si="7"/>
        <v>0</v>
      </c>
      <c r="G37" s="178">
        <v>0</v>
      </c>
      <c r="H37" s="178">
        <v>0</v>
      </c>
      <c r="I37" s="178">
        <v>0</v>
      </c>
      <c r="J37" s="178">
        <v>0</v>
      </c>
      <c r="K37" s="178">
        <v>0</v>
      </c>
      <c r="L37" s="178">
        <v>0</v>
      </c>
      <c r="M37" s="178">
        <v>0</v>
      </c>
      <c r="N37" s="178">
        <v>0</v>
      </c>
      <c r="O37" s="178">
        <v>0</v>
      </c>
      <c r="P37" s="178">
        <v>0</v>
      </c>
      <c r="Q37" s="178">
        <v>0</v>
      </c>
      <c r="R37" s="178">
        <v>0</v>
      </c>
      <c r="S37" s="178">
        <v>0</v>
      </c>
      <c r="T37" s="178">
        <v>0</v>
      </c>
      <c r="U37" s="178">
        <v>0</v>
      </c>
      <c r="V37" s="178">
        <v>0</v>
      </c>
      <c r="W37" s="178">
        <v>0</v>
      </c>
      <c r="X37" s="178">
        <v>0</v>
      </c>
      <c r="Y37" s="178">
        <v>0</v>
      </c>
      <c r="Z37" s="178">
        <v>0</v>
      </c>
      <c r="AA37" s="178">
        <v>0</v>
      </c>
      <c r="AB37" s="178">
        <v>0</v>
      </c>
      <c r="AC37" s="178">
        <v>0</v>
      </c>
      <c r="AD37" s="178">
        <v>0</v>
      </c>
      <c r="AE37" s="178">
        <v>0</v>
      </c>
      <c r="AF37" s="178">
        <v>0</v>
      </c>
      <c r="AG37" s="178">
        <v>0</v>
      </c>
      <c r="AH37" s="178">
        <v>0</v>
      </c>
      <c r="AI37" s="178">
        <v>0</v>
      </c>
      <c r="AJ37" s="178">
        <v>0</v>
      </c>
      <c r="AK37" s="178">
        <v>0</v>
      </c>
      <c r="AL37" s="178">
        <v>0</v>
      </c>
      <c r="AM37" s="178">
        <v>0</v>
      </c>
      <c r="AN37" s="178">
        <v>0</v>
      </c>
      <c r="AO37" s="178">
        <v>0</v>
      </c>
      <c r="AP37" s="178">
        <v>0</v>
      </c>
      <c r="AQ37" s="178">
        <v>0</v>
      </c>
      <c r="AR37" s="178">
        <v>0</v>
      </c>
      <c r="AS37" s="178">
        <v>0</v>
      </c>
      <c r="AT37" s="178">
        <v>0</v>
      </c>
      <c r="AU37" s="178">
        <v>0</v>
      </c>
      <c r="AV37" s="178">
        <v>0</v>
      </c>
      <c r="AW37" s="178">
        <v>0</v>
      </c>
      <c r="AX37" s="178">
        <v>0</v>
      </c>
      <c r="AY37" s="178">
        <v>0</v>
      </c>
      <c r="AZ37" s="178">
        <v>0</v>
      </c>
      <c r="BA37" s="178">
        <v>0</v>
      </c>
      <c r="BB37" s="178">
        <v>0</v>
      </c>
      <c r="BC37" s="178">
        <v>0</v>
      </c>
      <c r="BD37" s="178">
        <v>0</v>
      </c>
      <c r="BE37" s="178">
        <v>0</v>
      </c>
      <c r="BF37" s="178">
        <v>0</v>
      </c>
      <c r="BG37" s="178">
        <v>0</v>
      </c>
      <c r="BH37" s="178">
        <v>0</v>
      </c>
      <c r="BI37" s="178">
        <v>0</v>
      </c>
      <c r="BJ37" s="178">
        <v>0</v>
      </c>
      <c r="BK37" s="178">
        <v>0</v>
      </c>
      <c r="BL37" s="178">
        <v>0</v>
      </c>
      <c r="BM37" s="178">
        <v>0</v>
      </c>
      <c r="BN37" s="178">
        <v>0</v>
      </c>
      <c r="BO37" s="178">
        <v>0</v>
      </c>
      <c r="BP37" s="178">
        <v>0</v>
      </c>
      <c r="BQ37" s="178">
        <v>0</v>
      </c>
      <c r="BR37" s="178">
        <v>0</v>
      </c>
      <c r="BS37" s="178">
        <v>0</v>
      </c>
      <c r="BT37" s="178">
        <v>0</v>
      </c>
      <c r="BU37" s="178">
        <v>0</v>
      </c>
      <c r="BV37" s="178">
        <v>0</v>
      </c>
      <c r="BW37" s="178">
        <v>0</v>
      </c>
      <c r="BX37" s="178">
        <v>0</v>
      </c>
      <c r="BY37" s="178">
        <v>0</v>
      </c>
      <c r="BZ37" s="178">
        <v>0</v>
      </c>
      <c r="CA37" s="178">
        <v>0</v>
      </c>
    </row>
    <row r="38" spans="1:79" x14ac:dyDescent="0.25">
      <c r="A38" s="49" t="str">
        <f>IPO監視一覧!H35</f>
        <v>A</v>
      </c>
      <c r="B38" s="49" t="str">
        <f>IPO監視一覧!B35</f>
        <v>エーアイ</v>
      </c>
      <c r="C38" s="177">
        <f>株価一覧!E37</f>
        <v>0</v>
      </c>
      <c r="D38" s="105">
        <f t="shared" ca="1" si="5"/>
        <v>0</v>
      </c>
      <c r="E38" s="177">
        <f t="shared" ca="1" si="6"/>
        <v>0</v>
      </c>
      <c r="F38" s="110">
        <f t="shared" ca="1" si="7"/>
        <v>0</v>
      </c>
      <c r="G38" s="178">
        <v>0</v>
      </c>
      <c r="H38" s="178">
        <v>0</v>
      </c>
      <c r="I38" s="178">
        <v>0</v>
      </c>
      <c r="J38" s="178">
        <v>0</v>
      </c>
      <c r="K38" s="178">
        <v>0</v>
      </c>
      <c r="L38" s="178">
        <v>0</v>
      </c>
      <c r="M38" s="178">
        <v>0</v>
      </c>
      <c r="N38" s="178">
        <v>0</v>
      </c>
      <c r="O38" s="178">
        <v>0</v>
      </c>
      <c r="P38" s="178">
        <v>0</v>
      </c>
      <c r="Q38" s="178">
        <v>0</v>
      </c>
      <c r="R38" s="178">
        <v>0</v>
      </c>
      <c r="S38" s="178">
        <v>0</v>
      </c>
      <c r="T38" s="178">
        <v>0</v>
      </c>
      <c r="U38" s="178">
        <v>0</v>
      </c>
      <c r="V38" s="178">
        <v>0</v>
      </c>
      <c r="W38" s="178">
        <v>0</v>
      </c>
      <c r="X38" s="178">
        <v>0</v>
      </c>
      <c r="Y38" s="178">
        <v>0</v>
      </c>
      <c r="Z38" s="178">
        <v>0</v>
      </c>
      <c r="AA38" s="178">
        <v>0</v>
      </c>
      <c r="AB38" s="178">
        <v>0</v>
      </c>
      <c r="AC38" s="178">
        <v>0</v>
      </c>
      <c r="AD38" s="178">
        <v>0</v>
      </c>
      <c r="AE38" s="178">
        <v>0</v>
      </c>
      <c r="AF38" s="178">
        <v>0</v>
      </c>
      <c r="AG38" s="178">
        <v>0</v>
      </c>
      <c r="AH38" s="178">
        <v>0</v>
      </c>
      <c r="AI38" s="178">
        <v>0</v>
      </c>
      <c r="AJ38" s="178">
        <v>0</v>
      </c>
      <c r="AK38" s="178">
        <v>0</v>
      </c>
      <c r="AL38" s="178">
        <v>0</v>
      </c>
      <c r="AM38" s="178">
        <v>0</v>
      </c>
      <c r="AN38" s="178">
        <v>0</v>
      </c>
      <c r="AO38" s="178">
        <v>0</v>
      </c>
      <c r="AP38" s="178">
        <v>0</v>
      </c>
      <c r="AQ38" s="178">
        <v>0</v>
      </c>
      <c r="AR38" s="178">
        <v>0</v>
      </c>
      <c r="AS38" s="178">
        <v>0</v>
      </c>
      <c r="AT38" s="178">
        <v>0</v>
      </c>
      <c r="AU38" s="178">
        <v>0</v>
      </c>
      <c r="AV38" s="178">
        <v>0</v>
      </c>
      <c r="AW38" s="178">
        <v>0</v>
      </c>
      <c r="AX38" s="178">
        <v>0</v>
      </c>
      <c r="AY38" s="178">
        <v>0</v>
      </c>
      <c r="AZ38" s="178">
        <v>0</v>
      </c>
      <c r="BA38" s="178">
        <v>0</v>
      </c>
      <c r="BB38" s="178">
        <v>0</v>
      </c>
      <c r="BC38" s="178">
        <v>0</v>
      </c>
      <c r="BD38" s="178">
        <v>0</v>
      </c>
      <c r="BE38" s="178">
        <v>0</v>
      </c>
      <c r="BF38" s="178">
        <v>0</v>
      </c>
      <c r="BG38" s="178">
        <v>0</v>
      </c>
      <c r="BH38" s="178">
        <v>0</v>
      </c>
      <c r="BI38" s="178">
        <v>0</v>
      </c>
      <c r="BJ38" s="178">
        <v>0</v>
      </c>
      <c r="BK38" s="178">
        <v>0</v>
      </c>
      <c r="BL38" s="178">
        <v>0</v>
      </c>
      <c r="BM38" s="178">
        <v>0</v>
      </c>
      <c r="BN38" s="178">
        <v>0</v>
      </c>
      <c r="BO38" s="178">
        <v>0</v>
      </c>
      <c r="BP38" s="178">
        <v>0</v>
      </c>
      <c r="BQ38" s="178">
        <v>0</v>
      </c>
      <c r="BR38" s="178">
        <v>0</v>
      </c>
      <c r="BS38" s="178">
        <v>0</v>
      </c>
      <c r="BT38" s="178">
        <v>0</v>
      </c>
      <c r="BU38" s="178">
        <v>0</v>
      </c>
      <c r="BV38" s="178">
        <v>0</v>
      </c>
      <c r="BW38" s="178">
        <v>0</v>
      </c>
      <c r="BX38" s="178">
        <v>0</v>
      </c>
      <c r="BY38" s="178">
        <v>0</v>
      </c>
      <c r="BZ38" s="178">
        <v>0</v>
      </c>
      <c r="CA38" s="178">
        <v>0</v>
      </c>
    </row>
    <row r="39" spans="1:79" x14ac:dyDescent="0.25">
      <c r="A39" s="49" t="str">
        <f>IPO監視一覧!H36</f>
        <v>A</v>
      </c>
      <c r="B39" s="49" t="str">
        <f>IPO監視一覧!B36</f>
        <v>プロパティデータバンク</v>
      </c>
      <c r="C39" s="177">
        <f>株価一覧!E38</f>
        <v>0</v>
      </c>
      <c r="D39" s="105">
        <f t="shared" ca="1" si="5"/>
        <v>0</v>
      </c>
      <c r="E39" s="177">
        <f t="shared" ca="1" si="6"/>
        <v>0</v>
      </c>
      <c r="F39" s="110">
        <f t="shared" ca="1" si="7"/>
        <v>0</v>
      </c>
      <c r="G39" s="178">
        <v>0</v>
      </c>
      <c r="H39" s="178">
        <v>0</v>
      </c>
      <c r="I39" s="178">
        <v>0</v>
      </c>
      <c r="J39" s="178">
        <v>0</v>
      </c>
      <c r="K39" s="178">
        <v>0</v>
      </c>
      <c r="L39" s="178">
        <v>0</v>
      </c>
      <c r="M39" s="178">
        <v>0</v>
      </c>
      <c r="N39" s="178">
        <v>0</v>
      </c>
      <c r="O39" s="178">
        <v>0</v>
      </c>
      <c r="P39" s="178">
        <v>0</v>
      </c>
      <c r="Q39" s="178">
        <v>0</v>
      </c>
      <c r="R39" s="178">
        <v>0</v>
      </c>
      <c r="S39" s="178">
        <v>0</v>
      </c>
      <c r="T39" s="178">
        <v>0</v>
      </c>
      <c r="U39" s="178">
        <v>0</v>
      </c>
      <c r="V39" s="178">
        <v>0</v>
      </c>
      <c r="W39" s="178">
        <v>0</v>
      </c>
      <c r="X39" s="178">
        <v>0</v>
      </c>
      <c r="Y39" s="178">
        <v>0</v>
      </c>
      <c r="Z39" s="178">
        <v>0</v>
      </c>
      <c r="AA39" s="178">
        <v>0</v>
      </c>
      <c r="AB39" s="178">
        <v>0</v>
      </c>
      <c r="AC39" s="178">
        <v>0</v>
      </c>
      <c r="AD39" s="178">
        <v>0</v>
      </c>
      <c r="AE39" s="178">
        <v>0</v>
      </c>
      <c r="AF39" s="178">
        <v>0</v>
      </c>
      <c r="AG39" s="178">
        <v>0</v>
      </c>
      <c r="AH39" s="178">
        <v>0</v>
      </c>
      <c r="AI39" s="178">
        <v>0</v>
      </c>
      <c r="AJ39" s="178">
        <v>0</v>
      </c>
      <c r="AK39" s="178">
        <v>0</v>
      </c>
      <c r="AL39" s="178">
        <v>0</v>
      </c>
      <c r="AM39" s="178">
        <v>0</v>
      </c>
      <c r="AN39" s="178">
        <v>0</v>
      </c>
      <c r="AO39" s="178">
        <v>0</v>
      </c>
      <c r="AP39" s="178">
        <v>0</v>
      </c>
      <c r="AQ39" s="178">
        <v>0</v>
      </c>
      <c r="AR39" s="178">
        <v>0</v>
      </c>
      <c r="AS39" s="178">
        <v>0</v>
      </c>
      <c r="AT39" s="178">
        <v>0</v>
      </c>
      <c r="AU39" s="178">
        <v>0</v>
      </c>
      <c r="AV39" s="178">
        <v>0</v>
      </c>
      <c r="AW39" s="178">
        <v>0</v>
      </c>
      <c r="AX39" s="178">
        <v>0</v>
      </c>
      <c r="AY39" s="178">
        <v>0</v>
      </c>
      <c r="AZ39" s="178">
        <v>0</v>
      </c>
      <c r="BA39" s="178">
        <v>0</v>
      </c>
      <c r="BB39" s="178">
        <v>0</v>
      </c>
      <c r="BC39" s="178">
        <v>0</v>
      </c>
      <c r="BD39" s="178">
        <v>0</v>
      </c>
      <c r="BE39" s="178">
        <v>0</v>
      </c>
      <c r="BF39" s="178">
        <v>0</v>
      </c>
      <c r="BG39" s="178">
        <v>0</v>
      </c>
      <c r="BH39" s="178">
        <v>0</v>
      </c>
      <c r="BI39" s="178">
        <v>0</v>
      </c>
      <c r="BJ39" s="178">
        <v>0</v>
      </c>
      <c r="BK39" s="178">
        <v>0</v>
      </c>
      <c r="BL39" s="178">
        <v>0</v>
      </c>
      <c r="BM39" s="178">
        <v>0</v>
      </c>
      <c r="BN39" s="178">
        <v>0</v>
      </c>
      <c r="BO39" s="178">
        <v>0</v>
      </c>
      <c r="BP39" s="178">
        <v>0</v>
      </c>
      <c r="BQ39" s="178">
        <v>0</v>
      </c>
      <c r="BR39" s="178">
        <v>0</v>
      </c>
      <c r="BS39" s="178">
        <v>0</v>
      </c>
      <c r="BT39" s="178">
        <v>0</v>
      </c>
      <c r="BU39" s="178">
        <v>0</v>
      </c>
      <c r="BV39" s="178">
        <v>0</v>
      </c>
      <c r="BW39" s="178">
        <v>0</v>
      </c>
      <c r="BX39" s="178">
        <v>0</v>
      </c>
      <c r="BY39" s="178">
        <v>0</v>
      </c>
      <c r="BZ39" s="178">
        <v>0</v>
      </c>
      <c r="CA39" s="178">
        <v>0</v>
      </c>
    </row>
    <row r="40" spans="1:79" x14ac:dyDescent="0.25">
      <c r="A40" s="49" t="str">
        <f>IPO監視一覧!H37</f>
        <v>B</v>
      </c>
      <c r="B40" s="49" t="str">
        <f>IPO監視一覧!B37</f>
        <v>IPS</v>
      </c>
      <c r="C40" s="177">
        <f>株価一覧!E39</f>
        <v>0</v>
      </c>
      <c r="D40" s="105">
        <f t="shared" ca="1" si="5"/>
        <v>0</v>
      </c>
      <c r="E40" s="177">
        <f t="shared" ca="1" si="6"/>
        <v>0</v>
      </c>
      <c r="F40" s="110">
        <f t="shared" ca="1" si="7"/>
        <v>0</v>
      </c>
      <c r="G40" s="178">
        <v>0</v>
      </c>
      <c r="H40" s="178">
        <v>0</v>
      </c>
      <c r="I40" s="178">
        <v>0</v>
      </c>
      <c r="J40" s="178">
        <v>0</v>
      </c>
      <c r="K40" s="178">
        <v>0</v>
      </c>
      <c r="L40" s="178">
        <v>0</v>
      </c>
      <c r="M40" s="178">
        <v>0</v>
      </c>
      <c r="N40" s="178">
        <v>0</v>
      </c>
      <c r="O40" s="178">
        <v>0</v>
      </c>
      <c r="P40" s="178">
        <v>0</v>
      </c>
      <c r="Q40" s="178">
        <v>0</v>
      </c>
      <c r="R40" s="178">
        <v>0</v>
      </c>
      <c r="S40" s="178">
        <v>0</v>
      </c>
      <c r="T40" s="178">
        <v>0</v>
      </c>
      <c r="U40" s="178">
        <v>0</v>
      </c>
      <c r="V40" s="178">
        <v>0</v>
      </c>
      <c r="W40" s="178">
        <v>0</v>
      </c>
      <c r="X40" s="178">
        <v>0</v>
      </c>
      <c r="Y40" s="178">
        <v>0</v>
      </c>
      <c r="Z40" s="178">
        <v>0</v>
      </c>
      <c r="AA40" s="178">
        <v>0</v>
      </c>
      <c r="AB40" s="178">
        <v>0</v>
      </c>
      <c r="AC40" s="178">
        <v>0</v>
      </c>
      <c r="AD40" s="178">
        <v>0</v>
      </c>
      <c r="AE40" s="178">
        <v>0</v>
      </c>
      <c r="AF40" s="178">
        <v>0</v>
      </c>
      <c r="AG40" s="178">
        <v>0</v>
      </c>
      <c r="AH40" s="178">
        <v>0</v>
      </c>
      <c r="AI40" s="178">
        <v>0</v>
      </c>
      <c r="AJ40" s="178">
        <v>0</v>
      </c>
      <c r="AK40" s="178">
        <v>0</v>
      </c>
      <c r="AL40" s="178">
        <v>0</v>
      </c>
      <c r="AM40" s="178">
        <v>0</v>
      </c>
      <c r="AN40" s="178">
        <v>0</v>
      </c>
      <c r="AO40" s="178">
        <v>0</v>
      </c>
      <c r="AP40" s="178">
        <v>0</v>
      </c>
      <c r="AQ40" s="178">
        <v>0</v>
      </c>
      <c r="AR40" s="178">
        <v>0</v>
      </c>
      <c r="AS40" s="178">
        <v>0</v>
      </c>
      <c r="AT40" s="178">
        <v>0</v>
      </c>
      <c r="AU40" s="178">
        <v>0</v>
      </c>
      <c r="AV40" s="178">
        <v>0</v>
      </c>
      <c r="AW40" s="178">
        <v>0</v>
      </c>
      <c r="AX40" s="178">
        <v>0</v>
      </c>
      <c r="AY40" s="178">
        <v>0</v>
      </c>
      <c r="AZ40" s="178">
        <v>0</v>
      </c>
      <c r="BA40" s="178">
        <v>0</v>
      </c>
      <c r="BB40" s="178">
        <v>0</v>
      </c>
      <c r="BC40" s="178">
        <v>0</v>
      </c>
      <c r="BD40" s="178">
        <v>0</v>
      </c>
      <c r="BE40" s="178">
        <v>0</v>
      </c>
      <c r="BF40" s="178">
        <v>0</v>
      </c>
      <c r="BG40" s="178">
        <v>0</v>
      </c>
      <c r="BH40" s="178">
        <v>0</v>
      </c>
      <c r="BI40" s="178">
        <v>0</v>
      </c>
      <c r="BJ40" s="178">
        <v>0</v>
      </c>
      <c r="BK40" s="178">
        <v>0</v>
      </c>
      <c r="BL40" s="178">
        <v>0</v>
      </c>
      <c r="BM40" s="178">
        <v>0</v>
      </c>
      <c r="BN40" s="178">
        <v>0</v>
      </c>
      <c r="BO40" s="178">
        <v>0</v>
      </c>
      <c r="BP40" s="178">
        <v>0</v>
      </c>
      <c r="BQ40" s="178">
        <v>0</v>
      </c>
      <c r="BR40" s="178">
        <v>0</v>
      </c>
      <c r="BS40" s="178">
        <v>0</v>
      </c>
      <c r="BT40" s="178">
        <v>0</v>
      </c>
      <c r="BU40" s="178">
        <v>0</v>
      </c>
      <c r="BV40" s="178">
        <v>0</v>
      </c>
      <c r="BW40" s="178">
        <v>0</v>
      </c>
      <c r="BX40" s="178">
        <v>0</v>
      </c>
      <c r="BY40" s="178">
        <v>0</v>
      </c>
      <c r="BZ40" s="178">
        <v>0</v>
      </c>
      <c r="CA40" s="178">
        <v>0</v>
      </c>
    </row>
    <row r="41" spans="1:79" x14ac:dyDescent="0.25">
      <c r="A41" s="49" t="str">
        <f>IPO監視一覧!H38</f>
        <v>A</v>
      </c>
      <c r="B41" s="49" t="str">
        <f>IPO監視一覧!B38</f>
        <v>インバウンドテック</v>
      </c>
      <c r="C41" s="177">
        <f>株価一覧!E40</f>
        <v>0</v>
      </c>
      <c r="D41" s="105">
        <f t="shared" ca="1" si="5"/>
        <v>0</v>
      </c>
      <c r="E41" s="177">
        <f t="shared" ca="1" si="6"/>
        <v>0</v>
      </c>
      <c r="F41" s="110">
        <f t="shared" ca="1" si="7"/>
        <v>0</v>
      </c>
      <c r="G41" s="178">
        <v>0</v>
      </c>
      <c r="H41" s="178">
        <v>0</v>
      </c>
      <c r="I41" s="178">
        <v>0</v>
      </c>
      <c r="J41" s="178">
        <v>0</v>
      </c>
      <c r="K41" s="178">
        <v>0</v>
      </c>
      <c r="L41" s="178">
        <v>0</v>
      </c>
      <c r="M41" s="178">
        <v>0</v>
      </c>
      <c r="N41" s="178">
        <v>0</v>
      </c>
      <c r="O41" s="178">
        <v>0</v>
      </c>
      <c r="P41" s="178">
        <v>0</v>
      </c>
      <c r="Q41" s="178">
        <v>0</v>
      </c>
      <c r="R41" s="178">
        <v>0</v>
      </c>
      <c r="S41" s="178">
        <v>0</v>
      </c>
      <c r="T41" s="178">
        <v>0</v>
      </c>
      <c r="U41" s="178">
        <v>0</v>
      </c>
      <c r="V41" s="178">
        <v>0</v>
      </c>
      <c r="W41" s="178">
        <v>0</v>
      </c>
      <c r="X41" s="178">
        <v>0</v>
      </c>
      <c r="Y41" s="178">
        <v>0</v>
      </c>
      <c r="Z41" s="178">
        <v>0</v>
      </c>
      <c r="AA41" s="178">
        <v>0</v>
      </c>
      <c r="AB41" s="178">
        <v>0</v>
      </c>
      <c r="AC41" s="178">
        <v>0</v>
      </c>
      <c r="AD41" s="178">
        <v>0</v>
      </c>
      <c r="AE41" s="178">
        <v>0</v>
      </c>
      <c r="AF41" s="178">
        <v>0</v>
      </c>
      <c r="AG41" s="178">
        <v>0</v>
      </c>
      <c r="AH41" s="178">
        <v>0</v>
      </c>
      <c r="AI41" s="178">
        <v>0</v>
      </c>
      <c r="AJ41" s="178">
        <v>0</v>
      </c>
      <c r="AK41" s="178">
        <v>0</v>
      </c>
      <c r="AL41" s="178">
        <v>0</v>
      </c>
      <c r="AM41" s="178">
        <v>0</v>
      </c>
      <c r="AN41" s="178">
        <v>0</v>
      </c>
      <c r="AO41" s="178">
        <v>0</v>
      </c>
      <c r="AP41" s="178">
        <v>0</v>
      </c>
      <c r="AQ41" s="178">
        <v>0</v>
      </c>
      <c r="AR41" s="178">
        <v>0</v>
      </c>
      <c r="AS41" s="178">
        <v>0</v>
      </c>
      <c r="AT41" s="178">
        <v>0</v>
      </c>
      <c r="AU41" s="178">
        <v>0</v>
      </c>
      <c r="AV41" s="178">
        <v>0</v>
      </c>
      <c r="AW41" s="178">
        <v>0</v>
      </c>
      <c r="AX41" s="178">
        <v>0</v>
      </c>
      <c r="AY41" s="178">
        <v>0</v>
      </c>
      <c r="AZ41" s="178">
        <v>0</v>
      </c>
      <c r="BA41" s="178">
        <v>0</v>
      </c>
      <c r="BB41" s="178">
        <v>0</v>
      </c>
      <c r="BC41" s="178">
        <v>0</v>
      </c>
      <c r="BD41" s="178">
        <v>0</v>
      </c>
      <c r="BE41" s="178">
        <v>0</v>
      </c>
      <c r="BF41" s="178">
        <v>0</v>
      </c>
      <c r="BG41" s="178">
        <v>0</v>
      </c>
      <c r="BH41" s="178">
        <v>0</v>
      </c>
      <c r="BI41" s="178">
        <v>0</v>
      </c>
      <c r="BJ41" s="178">
        <v>0</v>
      </c>
      <c r="BK41" s="178">
        <v>0</v>
      </c>
      <c r="BL41" s="178">
        <v>0</v>
      </c>
      <c r="BM41" s="178">
        <v>0</v>
      </c>
      <c r="BN41" s="178">
        <v>0</v>
      </c>
      <c r="BO41" s="178">
        <v>0</v>
      </c>
      <c r="BP41" s="178">
        <v>0</v>
      </c>
      <c r="BQ41" s="178">
        <v>0</v>
      </c>
      <c r="BR41" s="178">
        <v>0</v>
      </c>
      <c r="BS41" s="178">
        <v>0</v>
      </c>
      <c r="BT41" s="178">
        <v>0</v>
      </c>
      <c r="BU41" s="178">
        <v>0</v>
      </c>
      <c r="BV41" s="178">
        <v>0</v>
      </c>
      <c r="BW41" s="178">
        <v>0</v>
      </c>
      <c r="BX41" s="178">
        <v>0</v>
      </c>
      <c r="BY41" s="178">
        <v>0</v>
      </c>
      <c r="BZ41" s="178">
        <v>0</v>
      </c>
      <c r="CA41" s="178">
        <v>0</v>
      </c>
    </row>
    <row r="42" spans="1:79" x14ac:dyDescent="0.25">
      <c r="A42" s="49" t="str">
        <f>IPO監視一覧!H39</f>
        <v>D</v>
      </c>
      <c r="B42" s="49" t="str">
        <f>IPO監視一覧!B39</f>
        <v>スプリックス</v>
      </c>
      <c r="C42" s="177">
        <f>株価一覧!E42</f>
        <v>0</v>
      </c>
      <c r="D42" s="105">
        <f ca="1">AVERAGE(OFFSET(A42,0,COUNTA(G42:XFD42)+5,1,-5))</f>
        <v>0</v>
      </c>
      <c r="E42" s="177">
        <f ca="1">IF(F42=0,0,AVERAGE(OFFSET(A42,0,COUNTA(G42:XFD42)+5,1,-15)))</f>
        <v>0</v>
      </c>
      <c r="F42" s="110">
        <f ca="1">MIN(OFFSET(B42,0,COUNTA(G42:XFD42)+5,1,-15))</f>
        <v>0</v>
      </c>
      <c r="G42" s="178">
        <v>0</v>
      </c>
      <c r="H42" s="178">
        <v>0</v>
      </c>
      <c r="I42" s="178">
        <v>0</v>
      </c>
      <c r="J42" s="178">
        <v>0</v>
      </c>
      <c r="K42" s="178">
        <v>0</v>
      </c>
      <c r="L42" s="178">
        <v>0</v>
      </c>
      <c r="M42" s="178">
        <v>0</v>
      </c>
      <c r="N42" s="178">
        <v>0</v>
      </c>
      <c r="O42" s="178">
        <v>0</v>
      </c>
      <c r="P42" s="178">
        <v>0</v>
      </c>
      <c r="Q42" s="178">
        <v>0</v>
      </c>
      <c r="R42" s="178">
        <v>0</v>
      </c>
      <c r="S42" s="178">
        <v>0</v>
      </c>
      <c r="T42" s="178">
        <v>0</v>
      </c>
      <c r="U42" s="178">
        <v>0</v>
      </c>
      <c r="V42" s="178">
        <v>0</v>
      </c>
      <c r="W42" s="178">
        <v>0</v>
      </c>
      <c r="X42" s="178">
        <v>0</v>
      </c>
      <c r="Y42" s="178">
        <v>0</v>
      </c>
      <c r="Z42" s="178">
        <v>0</v>
      </c>
      <c r="AA42" s="178">
        <v>0</v>
      </c>
      <c r="AB42" s="178">
        <v>0</v>
      </c>
      <c r="AC42" s="178">
        <v>0</v>
      </c>
      <c r="AD42" s="178">
        <v>0</v>
      </c>
      <c r="AE42" s="178">
        <v>0</v>
      </c>
      <c r="AF42" s="178">
        <v>0</v>
      </c>
      <c r="AG42" s="178">
        <v>0</v>
      </c>
      <c r="AH42" s="178">
        <v>0</v>
      </c>
      <c r="AI42" s="178">
        <v>0</v>
      </c>
      <c r="AJ42" s="178">
        <v>0</v>
      </c>
      <c r="AK42" s="178">
        <v>0</v>
      </c>
      <c r="AL42" s="178">
        <v>0</v>
      </c>
      <c r="AM42" s="178">
        <v>0</v>
      </c>
      <c r="AN42" s="178">
        <v>0</v>
      </c>
      <c r="AO42" s="178">
        <v>0</v>
      </c>
      <c r="AP42" s="178">
        <v>0</v>
      </c>
      <c r="AQ42" s="178">
        <v>0</v>
      </c>
      <c r="AR42" s="178">
        <v>0</v>
      </c>
      <c r="AS42" s="178">
        <v>0</v>
      </c>
      <c r="AT42" s="178">
        <v>0</v>
      </c>
      <c r="AU42" s="178">
        <v>0</v>
      </c>
      <c r="AV42" s="178">
        <v>0</v>
      </c>
      <c r="AW42" s="178">
        <v>0</v>
      </c>
      <c r="AX42" s="178">
        <v>0</v>
      </c>
      <c r="AY42" s="178">
        <v>0</v>
      </c>
      <c r="AZ42" s="178">
        <v>0</v>
      </c>
      <c r="BA42" s="178">
        <v>0</v>
      </c>
      <c r="BB42" s="178">
        <v>0</v>
      </c>
      <c r="BC42" s="178">
        <v>0</v>
      </c>
      <c r="BD42" s="178">
        <v>0</v>
      </c>
      <c r="BE42" s="178">
        <v>0</v>
      </c>
      <c r="BF42" s="178">
        <v>0</v>
      </c>
      <c r="BG42" s="178">
        <v>0</v>
      </c>
      <c r="BH42" s="178">
        <v>0</v>
      </c>
      <c r="BI42" s="178">
        <v>0</v>
      </c>
      <c r="BJ42" s="178">
        <v>0</v>
      </c>
      <c r="BK42" s="178">
        <v>0</v>
      </c>
      <c r="BL42" s="178">
        <v>0</v>
      </c>
      <c r="BM42" s="178">
        <v>0</v>
      </c>
      <c r="BN42" s="178">
        <v>0</v>
      </c>
      <c r="BO42" s="178">
        <v>0</v>
      </c>
      <c r="BP42" s="178">
        <v>0</v>
      </c>
      <c r="BQ42" s="178">
        <v>0</v>
      </c>
      <c r="BR42" s="178">
        <v>0</v>
      </c>
      <c r="BS42" s="178">
        <v>0</v>
      </c>
      <c r="BT42" s="178">
        <v>0</v>
      </c>
      <c r="BU42" s="178">
        <v>0</v>
      </c>
      <c r="BV42" s="178">
        <v>0</v>
      </c>
      <c r="BW42" s="178">
        <v>0</v>
      </c>
      <c r="BX42" s="178">
        <v>0</v>
      </c>
      <c r="BY42" s="178">
        <v>0</v>
      </c>
      <c r="BZ42" s="178">
        <v>0</v>
      </c>
      <c r="CA42" s="178">
        <v>0</v>
      </c>
    </row>
    <row r="43" spans="1:79" x14ac:dyDescent="0.25">
      <c r="A43" s="49" t="str">
        <f>IPO監視一覧!H40</f>
        <v>A</v>
      </c>
      <c r="B43" s="49" t="str">
        <f>IPO監視一覧!B40</f>
        <v>ロジザード</v>
      </c>
      <c r="C43" s="177">
        <f>株価一覧!E43</f>
        <v>0</v>
      </c>
      <c r="D43" s="105">
        <f ca="1">AVERAGE(OFFSET(A43,0,COUNTA(G43:XFD43)+5,1,-5))</f>
        <v>0</v>
      </c>
      <c r="E43" s="177">
        <f ca="1">IF(F43=0,0,AVERAGE(OFFSET(A43,0,COUNTA(G43:XFD43)+5,1,-15)))</f>
        <v>0</v>
      </c>
      <c r="F43" s="110">
        <f ca="1">MIN(OFFSET(B43,0,COUNTA(G43:XFD43)+5,1,-15))</f>
        <v>0</v>
      </c>
      <c r="G43" s="178">
        <v>0</v>
      </c>
      <c r="H43" s="178">
        <v>0</v>
      </c>
      <c r="I43" s="178">
        <v>0</v>
      </c>
      <c r="J43" s="178">
        <v>0</v>
      </c>
      <c r="K43" s="178">
        <v>0</v>
      </c>
      <c r="L43" s="178">
        <v>0</v>
      </c>
      <c r="M43" s="178">
        <v>0</v>
      </c>
      <c r="N43" s="178">
        <v>0</v>
      </c>
      <c r="O43" s="178">
        <v>0</v>
      </c>
      <c r="P43" s="178">
        <v>0</v>
      </c>
      <c r="Q43" s="178">
        <v>0</v>
      </c>
      <c r="R43" s="178">
        <v>0</v>
      </c>
      <c r="S43" s="178">
        <v>0</v>
      </c>
      <c r="T43" s="178">
        <v>0</v>
      </c>
      <c r="U43" s="178">
        <v>0</v>
      </c>
      <c r="V43" s="178">
        <v>0</v>
      </c>
      <c r="W43" s="178">
        <v>0</v>
      </c>
      <c r="X43" s="178">
        <v>0</v>
      </c>
      <c r="Y43" s="178">
        <v>0</v>
      </c>
      <c r="Z43" s="178">
        <v>0</v>
      </c>
      <c r="AA43" s="178">
        <v>0</v>
      </c>
      <c r="AB43" s="178">
        <v>0</v>
      </c>
      <c r="AC43" s="178">
        <v>0</v>
      </c>
      <c r="AD43" s="178">
        <v>0</v>
      </c>
      <c r="AE43" s="178">
        <v>0</v>
      </c>
      <c r="AF43" s="178">
        <v>0</v>
      </c>
      <c r="AG43" s="178">
        <v>0</v>
      </c>
      <c r="AH43" s="178">
        <v>0</v>
      </c>
      <c r="AI43" s="178">
        <v>0</v>
      </c>
      <c r="AJ43" s="178">
        <v>0</v>
      </c>
      <c r="AK43" s="178">
        <v>0</v>
      </c>
      <c r="AL43" s="178">
        <v>0</v>
      </c>
      <c r="AM43" s="178">
        <v>0</v>
      </c>
      <c r="AN43" s="178">
        <v>0</v>
      </c>
      <c r="AO43" s="178">
        <v>0</v>
      </c>
      <c r="AP43" s="178">
        <v>0</v>
      </c>
      <c r="AQ43" s="178">
        <v>0</v>
      </c>
      <c r="AR43" s="178">
        <v>0</v>
      </c>
      <c r="AS43" s="178">
        <v>0</v>
      </c>
      <c r="AT43" s="178">
        <v>0</v>
      </c>
      <c r="AU43" s="178">
        <v>0</v>
      </c>
      <c r="AV43" s="178">
        <v>0</v>
      </c>
      <c r="AW43" s="178">
        <v>0</v>
      </c>
      <c r="AX43" s="178">
        <v>0</v>
      </c>
      <c r="AY43" s="178">
        <v>0</v>
      </c>
      <c r="AZ43" s="178">
        <v>0</v>
      </c>
      <c r="BA43" s="178">
        <v>0</v>
      </c>
      <c r="BB43" s="178">
        <v>0</v>
      </c>
      <c r="BC43" s="178">
        <v>0</v>
      </c>
      <c r="BD43" s="178">
        <v>0</v>
      </c>
      <c r="BE43" s="178">
        <v>0</v>
      </c>
      <c r="BF43" s="178">
        <v>0</v>
      </c>
      <c r="BG43" s="178">
        <v>0</v>
      </c>
      <c r="BH43" s="178">
        <v>0</v>
      </c>
      <c r="BI43" s="178">
        <v>0</v>
      </c>
      <c r="BJ43" s="178">
        <v>0</v>
      </c>
      <c r="BK43" s="178">
        <v>0</v>
      </c>
      <c r="BL43" s="178">
        <v>0</v>
      </c>
      <c r="BM43" s="178">
        <v>0</v>
      </c>
      <c r="BN43" s="178">
        <v>0</v>
      </c>
      <c r="BO43" s="178">
        <v>0</v>
      </c>
      <c r="BP43" s="178">
        <v>0</v>
      </c>
      <c r="BQ43" s="178">
        <v>0</v>
      </c>
      <c r="BR43" s="178">
        <v>0</v>
      </c>
      <c r="BS43" s="178">
        <v>0</v>
      </c>
      <c r="BT43" s="178">
        <v>0</v>
      </c>
      <c r="BU43" s="178">
        <v>0</v>
      </c>
      <c r="BV43" s="178">
        <v>0</v>
      </c>
      <c r="BW43" s="178">
        <v>0</v>
      </c>
      <c r="BX43" s="178">
        <v>0</v>
      </c>
      <c r="BY43" s="178">
        <v>0</v>
      </c>
      <c r="BZ43" s="178">
        <v>0</v>
      </c>
      <c r="CA43" s="178">
        <v>0</v>
      </c>
    </row>
    <row r="44" spans="1:79" x14ac:dyDescent="0.25">
      <c r="A44" s="49" t="str">
        <f>IPO監視一覧!H41</f>
        <v>A</v>
      </c>
      <c r="B44" s="49" t="str">
        <f>IPO監視一覧!B41</f>
        <v>キャンディル</v>
      </c>
      <c r="C44" s="177">
        <f>株価一覧!E44</f>
        <v>0</v>
      </c>
      <c r="D44" s="105">
        <f ca="1">AVERAGE(OFFSET(A44,0,COUNTA(G44:XFD44)+5,1,-5))</f>
        <v>0</v>
      </c>
      <c r="E44" s="177">
        <f ca="1">IF(F44=0,0,AVERAGE(OFFSET(A44,0,COUNTA(G44:XFD44)+5,1,-15)))</f>
        <v>0</v>
      </c>
      <c r="F44" s="110">
        <f ca="1">MIN(OFFSET(B44,0,COUNTA(G44:XFD44)+5,1,-15))</f>
        <v>0</v>
      </c>
      <c r="G44" s="178">
        <v>0</v>
      </c>
      <c r="H44" s="178">
        <v>0</v>
      </c>
      <c r="I44" s="178">
        <v>0</v>
      </c>
      <c r="J44" s="178">
        <v>0</v>
      </c>
      <c r="K44" s="178">
        <v>0</v>
      </c>
      <c r="L44" s="178">
        <v>0</v>
      </c>
      <c r="M44" s="178">
        <v>0</v>
      </c>
      <c r="N44" s="178">
        <v>0</v>
      </c>
      <c r="O44" s="178">
        <v>0</v>
      </c>
      <c r="P44" s="178">
        <v>0</v>
      </c>
      <c r="Q44" s="178">
        <v>0</v>
      </c>
      <c r="R44" s="178">
        <v>0</v>
      </c>
      <c r="S44" s="178">
        <v>0</v>
      </c>
      <c r="T44" s="178">
        <v>0</v>
      </c>
      <c r="U44" s="178">
        <v>0</v>
      </c>
      <c r="V44" s="178">
        <v>0</v>
      </c>
      <c r="W44" s="178">
        <v>0</v>
      </c>
      <c r="X44" s="178">
        <v>0</v>
      </c>
      <c r="Y44" s="178">
        <v>0</v>
      </c>
      <c r="Z44" s="178">
        <v>0</v>
      </c>
      <c r="AA44" s="178">
        <v>0</v>
      </c>
      <c r="AB44" s="178">
        <v>0</v>
      </c>
      <c r="AC44" s="178">
        <v>0</v>
      </c>
      <c r="AD44" s="178">
        <v>0</v>
      </c>
      <c r="AE44" s="178">
        <v>0</v>
      </c>
      <c r="AF44" s="178">
        <v>0</v>
      </c>
      <c r="AG44" s="178">
        <v>0</v>
      </c>
      <c r="AH44" s="178">
        <v>0</v>
      </c>
      <c r="AI44" s="178">
        <v>0</v>
      </c>
      <c r="AJ44" s="178">
        <v>0</v>
      </c>
      <c r="AK44" s="178">
        <v>0</v>
      </c>
      <c r="AL44" s="178">
        <v>0</v>
      </c>
      <c r="AM44" s="178">
        <v>0</v>
      </c>
      <c r="AN44" s="178">
        <v>0</v>
      </c>
      <c r="AO44" s="178">
        <v>0</v>
      </c>
      <c r="AP44" s="178">
        <v>0</v>
      </c>
      <c r="AQ44" s="178">
        <v>0</v>
      </c>
      <c r="AR44" s="178">
        <v>0</v>
      </c>
      <c r="AS44" s="178">
        <v>0</v>
      </c>
      <c r="AT44" s="178">
        <v>0</v>
      </c>
      <c r="AU44" s="178">
        <v>0</v>
      </c>
      <c r="AV44" s="178">
        <v>0</v>
      </c>
      <c r="AW44" s="178">
        <v>0</v>
      </c>
      <c r="AX44" s="178">
        <v>0</v>
      </c>
      <c r="AY44" s="178">
        <v>0</v>
      </c>
      <c r="AZ44" s="178">
        <v>0</v>
      </c>
      <c r="BA44" s="178">
        <v>0</v>
      </c>
      <c r="BB44" s="178">
        <v>0</v>
      </c>
      <c r="BC44" s="178">
        <v>0</v>
      </c>
      <c r="BD44" s="178">
        <v>0</v>
      </c>
      <c r="BE44" s="178">
        <v>0</v>
      </c>
      <c r="BF44" s="178">
        <v>0</v>
      </c>
      <c r="BG44" s="178">
        <v>0</v>
      </c>
      <c r="BH44" s="178">
        <v>0</v>
      </c>
      <c r="BI44" s="178">
        <v>0</v>
      </c>
      <c r="BJ44" s="178">
        <v>0</v>
      </c>
      <c r="BK44" s="178">
        <v>0</v>
      </c>
      <c r="BL44" s="178">
        <v>0</v>
      </c>
      <c r="BM44" s="178">
        <v>0</v>
      </c>
      <c r="BN44" s="178">
        <v>0</v>
      </c>
      <c r="BO44" s="178">
        <v>0</v>
      </c>
      <c r="BP44" s="178">
        <v>0</v>
      </c>
      <c r="BQ44" s="178">
        <v>0</v>
      </c>
      <c r="BR44" s="178">
        <v>0</v>
      </c>
      <c r="BS44" s="178">
        <v>0</v>
      </c>
      <c r="BT44" s="178">
        <v>0</v>
      </c>
      <c r="BU44" s="178">
        <v>0</v>
      </c>
      <c r="BV44" s="178">
        <v>0</v>
      </c>
      <c r="BW44" s="178">
        <v>0</v>
      </c>
      <c r="BX44" s="178">
        <v>0</v>
      </c>
      <c r="BY44" s="178">
        <v>0</v>
      </c>
      <c r="BZ44" s="178">
        <v>0</v>
      </c>
      <c r="CA44" s="178">
        <v>0</v>
      </c>
    </row>
    <row r="45" spans="1:79" x14ac:dyDescent="0.25">
      <c r="A45" s="49" t="str">
        <f>IPO監視一覧!H42</f>
        <v>C</v>
      </c>
      <c r="B45" s="49" t="str">
        <f>IPO監視一覧!B42</f>
        <v>ＭＴＧ</v>
      </c>
      <c r="C45" s="177">
        <f>株価一覧!E45</f>
        <v>0</v>
      </c>
      <c r="D45" s="105">
        <f t="shared" ref="D45:D50" ca="1" si="8">AVERAGE(OFFSET(A45,0,COUNTA(G45:XFD45)+5,1,-5))</f>
        <v>0</v>
      </c>
      <c r="E45" s="177">
        <f t="shared" ref="E45:E50" ca="1" si="9">IF(F45=0,0,AVERAGE(OFFSET(A45,0,COUNTA(G45:XFD45)+5,1,-15)))</f>
        <v>0</v>
      </c>
      <c r="F45" s="110">
        <f t="shared" ref="F45:F50" ca="1" si="10">MIN(OFFSET(B45,0,COUNTA(G45:XFD45)+5,1,-15))</f>
        <v>0</v>
      </c>
      <c r="G45" s="178">
        <v>0</v>
      </c>
      <c r="H45" s="178">
        <v>0</v>
      </c>
      <c r="I45" s="178">
        <v>0</v>
      </c>
      <c r="J45" s="178">
        <v>0</v>
      </c>
      <c r="K45" s="178">
        <v>0</v>
      </c>
      <c r="L45" s="178">
        <v>0</v>
      </c>
      <c r="M45" s="178">
        <v>0</v>
      </c>
      <c r="N45" s="178">
        <v>0</v>
      </c>
      <c r="O45" s="178">
        <v>0</v>
      </c>
      <c r="P45" s="178">
        <v>0</v>
      </c>
      <c r="Q45" s="178">
        <v>0</v>
      </c>
      <c r="R45" s="178">
        <v>0</v>
      </c>
      <c r="S45" s="178">
        <v>0</v>
      </c>
      <c r="T45" s="178">
        <v>0</v>
      </c>
      <c r="U45" s="178">
        <v>0</v>
      </c>
      <c r="V45" s="178">
        <v>0</v>
      </c>
      <c r="W45" s="178">
        <v>0</v>
      </c>
      <c r="X45" s="178">
        <v>0</v>
      </c>
      <c r="Y45" s="178">
        <v>0</v>
      </c>
      <c r="Z45" s="178">
        <v>0</v>
      </c>
      <c r="AA45" s="178">
        <v>0</v>
      </c>
      <c r="AB45" s="178">
        <v>0</v>
      </c>
      <c r="AC45" s="178">
        <v>0</v>
      </c>
      <c r="AD45" s="178">
        <v>0</v>
      </c>
      <c r="AE45" s="178">
        <v>0</v>
      </c>
      <c r="AF45" s="178">
        <v>0</v>
      </c>
      <c r="AG45" s="178">
        <v>0</v>
      </c>
      <c r="AH45" s="178">
        <v>0</v>
      </c>
      <c r="AI45" s="178">
        <v>0</v>
      </c>
      <c r="AJ45" s="178">
        <v>0</v>
      </c>
      <c r="AK45" s="178">
        <v>0</v>
      </c>
      <c r="AL45" s="178">
        <v>0</v>
      </c>
      <c r="AM45" s="178">
        <v>0</v>
      </c>
      <c r="AN45" s="178">
        <v>0</v>
      </c>
      <c r="AO45" s="178">
        <v>0</v>
      </c>
      <c r="AP45" s="178">
        <v>0</v>
      </c>
      <c r="AQ45" s="178">
        <v>0</v>
      </c>
      <c r="AR45" s="178">
        <v>0</v>
      </c>
      <c r="AS45" s="178">
        <v>0</v>
      </c>
      <c r="AT45" s="178">
        <v>0</v>
      </c>
      <c r="AU45" s="178">
        <v>0</v>
      </c>
      <c r="AV45" s="178">
        <v>0</v>
      </c>
      <c r="AW45" s="178">
        <v>0</v>
      </c>
      <c r="AX45" s="178">
        <v>0</v>
      </c>
      <c r="AY45" s="178">
        <v>0</v>
      </c>
      <c r="AZ45" s="178">
        <v>0</v>
      </c>
      <c r="BA45" s="178">
        <v>0</v>
      </c>
      <c r="BB45" s="178">
        <v>0</v>
      </c>
      <c r="BC45" s="178">
        <v>0</v>
      </c>
      <c r="BD45" s="178">
        <v>0</v>
      </c>
      <c r="BE45" s="178">
        <v>0</v>
      </c>
      <c r="BF45" s="178">
        <v>0</v>
      </c>
      <c r="BG45" s="178">
        <v>0</v>
      </c>
      <c r="BH45" s="178">
        <v>0</v>
      </c>
      <c r="BI45" s="178">
        <v>0</v>
      </c>
      <c r="BJ45" s="178">
        <v>0</v>
      </c>
      <c r="BK45" s="178">
        <v>0</v>
      </c>
      <c r="BL45" s="178">
        <v>0</v>
      </c>
      <c r="BM45" s="178">
        <v>0</v>
      </c>
      <c r="BN45" s="178">
        <v>0</v>
      </c>
      <c r="BO45" s="178">
        <v>0</v>
      </c>
      <c r="BP45" s="178">
        <v>0</v>
      </c>
      <c r="BQ45" s="178">
        <v>0</v>
      </c>
      <c r="BR45" s="178">
        <v>0</v>
      </c>
      <c r="BS45" s="178">
        <v>0</v>
      </c>
      <c r="BT45" s="178">
        <v>0</v>
      </c>
      <c r="BU45" s="178">
        <v>0</v>
      </c>
      <c r="BV45" s="178">
        <v>0</v>
      </c>
      <c r="BW45" s="178">
        <v>0</v>
      </c>
      <c r="BX45" s="178">
        <v>0</v>
      </c>
      <c r="BY45" s="178">
        <v>0</v>
      </c>
      <c r="BZ45" s="178">
        <v>0</v>
      </c>
      <c r="CA45" s="178">
        <v>0</v>
      </c>
    </row>
    <row r="46" spans="1:79" x14ac:dyDescent="0.25">
      <c r="A46" s="49">
        <f>IPO監視一覧!H43</f>
        <v>0</v>
      </c>
      <c r="B46" s="49">
        <f>IPO監視一覧!B43</f>
        <v>0</v>
      </c>
      <c r="C46" s="177">
        <f>株価一覧!E46</f>
        <v>0</v>
      </c>
      <c r="D46" s="105">
        <f t="shared" ca="1" si="8"/>
        <v>0</v>
      </c>
      <c r="E46" s="177">
        <f t="shared" ca="1" si="9"/>
        <v>0</v>
      </c>
      <c r="F46" s="110">
        <f t="shared" ca="1" si="10"/>
        <v>0</v>
      </c>
      <c r="G46" s="178">
        <v>0</v>
      </c>
      <c r="H46" s="178">
        <v>0</v>
      </c>
      <c r="I46" s="178">
        <v>0</v>
      </c>
      <c r="J46" s="178">
        <v>0</v>
      </c>
      <c r="K46" s="178">
        <v>0</v>
      </c>
      <c r="L46" s="178">
        <v>0</v>
      </c>
      <c r="M46" s="178">
        <v>0</v>
      </c>
      <c r="N46" s="178">
        <v>0</v>
      </c>
      <c r="O46" s="178">
        <v>0</v>
      </c>
      <c r="P46" s="178">
        <v>0</v>
      </c>
      <c r="Q46" s="178">
        <v>0</v>
      </c>
      <c r="R46" s="178">
        <v>0</v>
      </c>
      <c r="S46" s="178">
        <v>0</v>
      </c>
      <c r="T46" s="178">
        <v>0</v>
      </c>
      <c r="U46" s="178">
        <v>0</v>
      </c>
      <c r="V46" s="178">
        <v>0</v>
      </c>
      <c r="W46" s="178">
        <v>0</v>
      </c>
      <c r="X46" s="178">
        <v>0</v>
      </c>
      <c r="Y46" s="178">
        <v>0</v>
      </c>
      <c r="Z46" s="178">
        <v>0</v>
      </c>
      <c r="AA46" s="178">
        <v>0</v>
      </c>
      <c r="AB46" s="178">
        <v>0</v>
      </c>
      <c r="AC46" s="178">
        <v>0</v>
      </c>
      <c r="AD46" s="178">
        <v>0</v>
      </c>
      <c r="AE46" s="178">
        <v>0</v>
      </c>
      <c r="AF46" s="178">
        <v>0</v>
      </c>
      <c r="AG46" s="178">
        <v>0</v>
      </c>
      <c r="AH46" s="178">
        <v>0</v>
      </c>
      <c r="AI46" s="178">
        <v>0</v>
      </c>
      <c r="AJ46" s="178">
        <v>0</v>
      </c>
      <c r="AK46" s="178">
        <v>0</v>
      </c>
      <c r="AL46" s="178">
        <v>0</v>
      </c>
      <c r="AM46" s="178">
        <v>0</v>
      </c>
      <c r="AN46" s="178">
        <v>0</v>
      </c>
      <c r="AO46" s="178">
        <v>0</v>
      </c>
      <c r="AP46" s="178">
        <v>0</v>
      </c>
      <c r="AQ46" s="178">
        <v>0</v>
      </c>
      <c r="AR46" s="178">
        <v>0</v>
      </c>
      <c r="AS46" s="178">
        <v>0</v>
      </c>
      <c r="AT46" s="178">
        <v>0</v>
      </c>
      <c r="AU46" s="178">
        <v>0</v>
      </c>
      <c r="AV46" s="178">
        <v>0</v>
      </c>
      <c r="AW46" s="178">
        <v>0</v>
      </c>
      <c r="AX46" s="178">
        <v>0</v>
      </c>
      <c r="AY46" s="178">
        <v>0</v>
      </c>
      <c r="AZ46" s="178">
        <v>0</v>
      </c>
      <c r="BA46" s="178">
        <v>0</v>
      </c>
      <c r="BB46" s="178">
        <v>0</v>
      </c>
      <c r="BC46" s="178">
        <v>0</v>
      </c>
      <c r="BD46" s="178">
        <v>0</v>
      </c>
      <c r="BE46" s="178">
        <v>0</v>
      </c>
      <c r="BF46" s="178">
        <v>0</v>
      </c>
      <c r="BG46" s="178">
        <v>0</v>
      </c>
      <c r="BH46" s="178">
        <v>0</v>
      </c>
      <c r="BI46" s="178">
        <v>0</v>
      </c>
      <c r="BJ46" s="178">
        <v>0</v>
      </c>
      <c r="BK46" s="178">
        <v>0</v>
      </c>
      <c r="BL46" s="178">
        <v>0</v>
      </c>
      <c r="BM46" s="178">
        <v>0</v>
      </c>
      <c r="BN46" s="178">
        <v>0</v>
      </c>
      <c r="BO46" s="178">
        <v>0</v>
      </c>
      <c r="BP46" s="178">
        <v>0</v>
      </c>
      <c r="BQ46" s="178">
        <v>0</v>
      </c>
      <c r="BR46" s="178">
        <v>0</v>
      </c>
      <c r="BS46" s="178">
        <v>0</v>
      </c>
      <c r="BT46" s="178">
        <v>0</v>
      </c>
      <c r="BU46" s="178">
        <v>0</v>
      </c>
      <c r="BV46" s="178">
        <v>0</v>
      </c>
      <c r="BW46" s="178">
        <v>0</v>
      </c>
      <c r="BX46" s="178">
        <v>0</v>
      </c>
      <c r="BY46" s="178">
        <v>0</v>
      </c>
      <c r="BZ46" s="178">
        <v>0</v>
      </c>
      <c r="CA46" s="178">
        <v>0</v>
      </c>
    </row>
    <row r="47" spans="1:79" x14ac:dyDescent="0.25">
      <c r="A47" s="49">
        <f>IPO監視一覧!H44</f>
        <v>0</v>
      </c>
      <c r="B47" s="49">
        <f>IPO監視一覧!B44</f>
        <v>0</v>
      </c>
      <c r="C47" s="177">
        <f>株価一覧!E47</f>
        <v>0</v>
      </c>
      <c r="D47" s="105">
        <f t="shared" ca="1" si="8"/>
        <v>0</v>
      </c>
      <c r="E47" s="177">
        <f t="shared" ca="1" si="9"/>
        <v>0</v>
      </c>
      <c r="F47" s="110">
        <f t="shared" ca="1" si="10"/>
        <v>0</v>
      </c>
      <c r="G47" s="178">
        <v>0</v>
      </c>
      <c r="H47" s="178">
        <v>0</v>
      </c>
      <c r="I47" s="178">
        <v>0</v>
      </c>
      <c r="J47" s="178">
        <v>0</v>
      </c>
      <c r="K47" s="178">
        <v>0</v>
      </c>
      <c r="L47" s="178">
        <v>0</v>
      </c>
      <c r="M47" s="178">
        <v>0</v>
      </c>
      <c r="N47" s="178">
        <v>0</v>
      </c>
      <c r="O47" s="178">
        <v>0</v>
      </c>
      <c r="P47" s="178">
        <v>0</v>
      </c>
      <c r="Q47" s="178">
        <v>0</v>
      </c>
      <c r="R47" s="178">
        <v>0</v>
      </c>
      <c r="S47" s="178">
        <v>0</v>
      </c>
      <c r="T47" s="178">
        <v>0</v>
      </c>
      <c r="U47" s="178">
        <v>0</v>
      </c>
      <c r="V47" s="178">
        <v>0</v>
      </c>
      <c r="W47" s="178">
        <v>0</v>
      </c>
      <c r="X47" s="178">
        <v>0</v>
      </c>
      <c r="Y47" s="178">
        <v>0</v>
      </c>
      <c r="Z47" s="178">
        <v>0</v>
      </c>
      <c r="AA47" s="178">
        <v>0</v>
      </c>
      <c r="AB47" s="178">
        <v>0</v>
      </c>
      <c r="AC47" s="178">
        <v>0</v>
      </c>
      <c r="AD47" s="178">
        <v>0</v>
      </c>
      <c r="AE47" s="178">
        <v>0</v>
      </c>
      <c r="AF47" s="178">
        <v>0</v>
      </c>
      <c r="AG47" s="178">
        <v>0</v>
      </c>
      <c r="AH47" s="178">
        <v>0</v>
      </c>
      <c r="AI47" s="178">
        <v>0</v>
      </c>
      <c r="AJ47" s="178">
        <v>0</v>
      </c>
      <c r="AK47" s="178">
        <v>0</v>
      </c>
      <c r="AL47" s="178">
        <v>0</v>
      </c>
      <c r="AM47" s="178">
        <v>0</v>
      </c>
      <c r="AN47" s="178">
        <v>0</v>
      </c>
      <c r="AO47" s="178">
        <v>0</v>
      </c>
      <c r="AP47" s="178">
        <v>0</v>
      </c>
      <c r="AQ47" s="178">
        <v>0</v>
      </c>
      <c r="AR47" s="178">
        <v>0</v>
      </c>
      <c r="AS47" s="178">
        <v>0</v>
      </c>
      <c r="AT47" s="178">
        <v>0</v>
      </c>
      <c r="AU47" s="178">
        <v>0</v>
      </c>
      <c r="AV47" s="178">
        <v>0</v>
      </c>
      <c r="AW47" s="178">
        <v>0</v>
      </c>
      <c r="AX47" s="178">
        <v>0</v>
      </c>
      <c r="AY47" s="178">
        <v>0</v>
      </c>
      <c r="AZ47" s="178">
        <v>0</v>
      </c>
      <c r="BA47" s="178">
        <v>0</v>
      </c>
      <c r="BB47" s="178">
        <v>0</v>
      </c>
      <c r="BC47" s="178">
        <v>0</v>
      </c>
      <c r="BD47" s="178">
        <v>0</v>
      </c>
      <c r="BE47" s="178">
        <v>0</v>
      </c>
      <c r="BF47" s="178">
        <v>0</v>
      </c>
      <c r="BG47" s="178">
        <v>0</v>
      </c>
      <c r="BH47" s="178">
        <v>0</v>
      </c>
      <c r="BI47" s="178">
        <v>0</v>
      </c>
      <c r="BJ47" s="178">
        <v>0</v>
      </c>
      <c r="BK47" s="178">
        <v>0</v>
      </c>
      <c r="BL47" s="178">
        <v>0</v>
      </c>
      <c r="BM47" s="178">
        <v>0</v>
      </c>
      <c r="BN47" s="178">
        <v>0</v>
      </c>
      <c r="BO47" s="178">
        <v>0</v>
      </c>
      <c r="BP47" s="178">
        <v>0</v>
      </c>
      <c r="BQ47" s="178">
        <v>0</v>
      </c>
      <c r="BR47" s="178">
        <v>0</v>
      </c>
      <c r="BS47" s="178">
        <v>0</v>
      </c>
      <c r="BT47" s="178">
        <v>0</v>
      </c>
      <c r="BU47" s="178">
        <v>0</v>
      </c>
      <c r="BV47" s="178">
        <v>0</v>
      </c>
      <c r="BW47" s="178">
        <v>0</v>
      </c>
      <c r="BX47" s="178">
        <v>0</v>
      </c>
      <c r="BY47" s="178">
        <v>0</v>
      </c>
      <c r="BZ47" s="178">
        <v>0</v>
      </c>
      <c r="CA47" s="178">
        <v>0</v>
      </c>
    </row>
    <row r="48" spans="1:79" x14ac:dyDescent="0.25">
      <c r="A48" s="49">
        <f>IPO監視一覧!H45</f>
        <v>0</v>
      </c>
      <c r="B48" s="49">
        <f>IPO監視一覧!B45</f>
        <v>0</v>
      </c>
      <c r="C48" s="177">
        <f>株価一覧!E48</f>
        <v>0</v>
      </c>
      <c r="D48" s="105">
        <f t="shared" ca="1" si="8"/>
        <v>0</v>
      </c>
      <c r="E48" s="177">
        <f t="shared" ca="1" si="9"/>
        <v>0</v>
      </c>
      <c r="F48" s="110">
        <f t="shared" ca="1" si="10"/>
        <v>0</v>
      </c>
      <c r="G48" s="178">
        <v>0</v>
      </c>
      <c r="H48" s="178">
        <v>0</v>
      </c>
      <c r="I48" s="178">
        <v>0</v>
      </c>
      <c r="J48" s="178">
        <v>0</v>
      </c>
      <c r="K48" s="178">
        <v>0</v>
      </c>
      <c r="L48" s="178">
        <v>0</v>
      </c>
      <c r="M48" s="178">
        <v>0</v>
      </c>
      <c r="N48" s="178">
        <v>0</v>
      </c>
      <c r="O48" s="178">
        <v>0</v>
      </c>
      <c r="P48" s="178">
        <v>0</v>
      </c>
      <c r="Q48" s="178">
        <v>0</v>
      </c>
      <c r="R48" s="178">
        <v>0</v>
      </c>
      <c r="S48" s="178">
        <v>0</v>
      </c>
      <c r="T48" s="178">
        <v>0</v>
      </c>
      <c r="U48" s="178">
        <v>0</v>
      </c>
      <c r="V48" s="178">
        <v>0</v>
      </c>
      <c r="W48" s="178">
        <v>0</v>
      </c>
      <c r="X48" s="178">
        <v>0</v>
      </c>
      <c r="Y48" s="178">
        <v>0</v>
      </c>
      <c r="Z48" s="178">
        <v>0</v>
      </c>
      <c r="AA48" s="178">
        <v>0</v>
      </c>
      <c r="AB48" s="178">
        <v>0</v>
      </c>
      <c r="AC48" s="178">
        <v>0</v>
      </c>
      <c r="AD48" s="178">
        <v>0</v>
      </c>
      <c r="AE48" s="178">
        <v>0</v>
      </c>
      <c r="AF48" s="178">
        <v>0</v>
      </c>
      <c r="AG48" s="178">
        <v>0</v>
      </c>
      <c r="AH48" s="178">
        <v>0</v>
      </c>
      <c r="AI48" s="178">
        <v>0</v>
      </c>
      <c r="AJ48" s="178">
        <v>0</v>
      </c>
      <c r="AK48" s="178">
        <v>0</v>
      </c>
      <c r="AL48" s="178">
        <v>0</v>
      </c>
      <c r="AM48" s="178">
        <v>0</v>
      </c>
      <c r="AN48" s="178">
        <v>0</v>
      </c>
      <c r="AO48" s="178">
        <v>0</v>
      </c>
      <c r="AP48" s="178">
        <v>0</v>
      </c>
      <c r="AQ48" s="178">
        <v>0</v>
      </c>
      <c r="AR48" s="178">
        <v>0</v>
      </c>
      <c r="AS48" s="178">
        <v>0</v>
      </c>
      <c r="AT48" s="178">
        <v>0</v>
      </c>
      <c r="AU48" s="178">
        <v>0</v>
      </c>
      <c r="AV48" s="178">
        <v>0</v>
      </c>
      <c r="AW48" s="178">
        <v>0</v>
      </c>
      <c r="AX48" s="178">
        <v>0</v>
      </c>
      <c r="AY48" s="178">
        <v>0</v>
      </c>
      <c r="AZ48" s="178">
        <v>0</v>
      </c>
      <c r="BA48" s="178">
        <v>0</v>
      </c>
      <c r="BB48" s="178">
        <v>0</v>
      </c>
      <c r="BC48" s="178">
        <v>0</v>
      </c>
      <c r="BD48" s="178">
        <v>0</v>
      </c>
      <c r="BE48" s="178">
        <v>0</v>
      </c>
      <c r="BF48" s="178">
        <v>0</v>
      </c>
      <c r="BG48" s="178">
        <v>0</v>
      </c>
      <c r="BH48" s="178">
        <v>0</v>
      </c>
      <c r="BI48" s="178">
        <v>0</v>
      </c>
      <c r="BJ48" s="178">
        <v>0</v>
      </c>
      <c r="BK48" s="178">
        <v>0</v>
      </c>
      <c r="BL48" s="178">
        <v>0</v>
      </c>
      <c r="BM48" s="178">
        <v>0</v>
      </c>
      <c r="BN48" s="178">
        <v>0</v>
      </c>
      <c r="BO48" s="178">
        <v>0</v>
      </c>
      <c r="BP48" s="178">
        <v>0</v>
      </c>
      <c r="BQ48" s="178">
        <v>0</v>
      </c>
      <c r="BR48" s="178">
        <v>0</v>
      </c>
      <c r="BS48" s="178">
        <v>0</v>
      </c>
      <c r="BT48" s="178">
        <v>0</v>
      </c>
      <c r="BU48" s="178">
        <v>0</v>
      </c>
      <c r="BV48" s="178">
        <v>0</v>
      </c>
      <c r="BW48" s="178">
        <v>0</v>
      </c>
      <c r="BX48" s="178">
        <v>0</v>
      </c>
      <c r="BY48" s="178">
        <v>0</v>
      </c>
      <c r="BZ48" s="178">
        <v>0</v>
      </c>
      <c r="CA48" s="178">
        <v>0</v>
      </c>
    </row>
    <row r="49" spans="1:79" x14ac:dyDescent="0.25">
      <c r="A49" s="49">
        <f>IPO監視一覧!H46</f>
        <v>0</v>
      </c>
      <c r="B49" s="49">
        <f>IPO監視一覧!B46</f>
        <v>0</v>
      </c>
      <c r="C49" s="177">
        <f>株価一覧!E49</f>
        <v>0</v>
      </c>
      <c r="D49" s="105">
        <f t="shared" ca="1" si="8"/>
        <v>0</v>
      </c>
      <c r="E49" s="177">
        <f t="shared" ca="1" si="9"/>
        <v>0</v>
      </c>
      <c r="F49" s="110">
        <f t="shared" ca="1" si="10"/>
        <v>0</v>
      </c>
      <c r="G49" s="178">
        <v>0</v>
      </c>
      <c r="H49" s="178">
        <v>0</v>
      </c>
      <c r="I49" s="178">
        <v>0</v>
      </c>
      <c r="J49" s="178">
        <v>0</v>
      </c>
      <c r="K49" s="178">
        <v>0</v>
      </c>
      <c r="L49" s="178">
        <v>0</v>
      </c>
      <c r="M49" s="178">
        <v>0</v>
      </c>
      <c r="N49" s="178">
        <v>0</v>
      </c>
      <c r="O49" s="178">
        <v>0</v>
      </c>
      <c r="P49" s="178">
        <v>0</v>
      </c>
      <c r="Q49" s="178">
        <v>0</v>
      </c>
      <c r="R49" s="178">
        <v>0</v>
      </c>
      <c r="S49" s="178">
        <v>0</v>
      </c>
      <c r="T49" s="178">
        <v>0</v>
      </c>
      <c r="U49" s="178">
        <v>0</v>
      </c>
      <c r="V49" s="178">
        <v>0</v>
      </c>
      <c r="W49" s="178">
        <v>0</v>
      </c>
      <c r="X49" s="178">
        <v>0</v>
      </c>
      <c r="Y49" s="178">
        <v>0</v>
      </c>
      <c r="Z49" s="178">
        <v>0</v>
      </c>
      <c r="AA49" s="178">
        <v>0</v>
      </c>
      <c r="AB49" s="178">
        <v>0</v>
      </c>
      <c r="AC49" s="178">
        <v>0</v>
      </c>
      <c r="AD49" s="178">
        <v>0</v>
      </c>
      <c r="AE49" s="178">
        <v>0</v>
      </c>
      <c r="AF49" s="178">
        <v>0</v>
      </c>
      <c r="AG49" s="178">
        <v>0</v>
      </c>
      <c r="AH49" s="178">
        <v>0</v>
      </c>
      <c r="AI49" s="178">
        <v>0</v>
      </c>
      <c r="AJ49" s="178">
        <v>0</v>
      </c>
      <c r="AK49" s="178">
        <v>0</v>
      </c>
      <c r="AL49" s="178">
        <v>0</v>
      </c>
      <c r="AM49" s="178">
        <v>0</v>
      </c>
      <c r="AN49" s="178">
        <v>0</v>
      </c>
      <c r="AO49" s="178">
        <v>0</v>
      </c>
      <c r="AP49" s="178">
        <v>0</v>
      </c>
      <c r="AQ49" s="178">
        <v>0</v>
      </c>
      <c r="AR49" s="178">
        <v>0</v>
      </c>
      <c r="AS49" s="178">
        <v>0</v>
      </c>
      <c r="AT49" s="178">
        <v>0</v>
      </c>
      <c r="AU49" s="178">
        <v>0</v>
      </c>
      <c r="AV49" s="178">
        <v>0</v>
      </c>
      <c r="AW49" s="178">
        <v>0</v>
      </c>
      <c r="AX49" s="178">
        <v>0</v>
      </c>
      <c r="AY49" s="178">
        <v>0</v>
      </c>
      <c r="AZ49" s="178">
        <v>0</v>
      </c>
      <c r="BA49" s="178">
        <v>0</v>
      </c>
      <c r="BB49" s="178">
        <v>0</v>
      </c>
      <c r="BC49" s="178">
        <v>0</v>
      </c>
      <c r="BD49" s="178">
        <v>0</v>
      </c>
      <c r="BE49" s="178">
        <v>0</v>
      </c>
      <c r="BF49" s="178">
        <v>0</v>
      </c>
      <c r="BG49" s="178">
        <v>0</v>
      </c>
      <c r="BH49" s="178">
        <v>0</v>
      </c>
      <c r="BI49" s="178">
        <v>0</v>
      </c>
      <c r="BJ49" s="178">
        <v>0</v>
      </c>
      <c r="BK49" s="178">
        <v>0</v>
      </c>
      <c r="BL49" s="178">
        <v>0</v>
      </c>
      <c r="BM49" s="178">
        <v>0</v>
      </c>
      <c r="BN49" s="178">
        <v>0</v>
      </c>
      <c r="BO49" s="178">
        <v>0</v>
      </c>
      <c r="BP49" s="178">
        <v>0</v>
      </c>
      <c r="BQ49" s="178">
        <v>0</v>
      </c>
      <c r="BR49" s="178">
        <v>0</v>
      </c>
      <c r="BS49" s="178">
        <v>0</v>
      </c>
      <c r="BT49" s="178">
        <v>0</v>
      </c>
      <c r="BU49" s="178">
        <v>0</v>
      </c>
      <c r="BV49" s="178">
        <v>0</v>
      </c>
      <c r="BW49" s="178">
        <v>0</v>
      </c>
      <c r="BX49" s="178">
        <v>0</v>
      </c>
      <c r="BY49" s="178">
        <v>0</v>
      </c>
      <c r="BZ49" s="178">
        <v>0</v>
      </c>
      <c r="CA49" s="178">
        <v>0</v>
      </c>
    </row>
    <row r="50" spans="1:79" x14ac:dyDescent="0.25">
      <c r="A50" s="49">
        <f>IPO監視一覧!H47</f>
        <v>0</v>
      </c>
      <c r="B50" s="49">
        <f>IPO監視一覧!B47</f>
        <v>0</v>
      </c>
      <c r="C50" s="177">
        <f>株価一覧!E50</f>
        <v>0</v>
      </c>
      <c r="D50" s="105">
        <f t="shared" ca="1" si="8"/>
        <v>0</v>
      </c>
      <c r="E50" s="177">
        <f t="shared" ca="1" si="9"/>
        <v>0</v>
      </c>
      <c r="F50" s="110">
        <f t="shared" ca="1" si="10"/>
        <v>0</v>
      </c>
      <c r="G50" s="178">
        <v>0</v>
      </c>
      <c r="H50" s="178">
        <v>0</v>
      </c>
      <c r="I50" s="178">
        <v>0</v>
      </c>
      <c r="J50" s="178">
        <v>0</v>
      </c>
      <c r="K50" s="178">
        <v>0</v>
      </c>
      <c r="L50" s="178">
        <v>0</v>
      </c>
      <c r="M50" s="178">
        <v>0</v>
      </c>
      <c r="N50" s="178">
        <v>0</v>
      </c>
      <c r="O50" s="178">
        <v>0</v>
      </c>
      <c r="P50" s="178">
        <v>0</v>
      </c>
      <c r="Q50" s="178">
        <v>0</v>
      </c>
      <c r="R50" s="178">
        <v>0</v>
      </c>
      <c r="S50" s="178">
        <v>0</v>
      </c>
      <c r="T50" s="178">
        <v>0</v>
      </c>
      <c r="U50" s="178">
        <v>0</v>
      </c>
      <c r="V50" s="178">
        <v>0</v>
      </c>
      <c r="W50" s="178">
        <v>0</v>
      </c>
      <c r="X50" s="178">
        <v>0</v>
      </c>
      <c r="Y50" s="178">
        <v>0</v>
      </c>
      <c r="Z50" s="178">
        <v>0</v>
      </c>
      <c r="AA50" s="178">
        <v>0</v>
      </c>
      <c r="AB50" s="178">
        <v>0</v>
      </c>
      <c r="AC50" s="178">
        <v>0</v>
      </c>
      <c r="AD50" s="178">
        <v>0</v>
      </c>
      <c r="AE50" s="178">
        <v>0</v>
      </c>
      <c r="AF50" s="178">
        <v>0</v>
      </c>
      <c r="AG50" s="178">
        <v>0</v>
      </c>
      <c r="AH50" s="178">
        <v>0</v>
      </c>
      <c r="AI50" s="178">
        <v>0</v>
      </c>
      <c r="AJ50" s="178">
        <v>0</v>
      </c>
      <c r="AK50" s="178">
        <v>0</v>
      </c>
      <c r="AL50" s="178">
        <v>0</v>
      </c>
      <c r="AM50" s="178">
        <v>0</v>
      </c>
      <c r="AN50" s="178">
        <v>0</v>
      </c>
      <c r="AO50" s="178">
        <v>0</v>
      </c>
      <c r="AP50" s="178">
        <v>0</v>
      </c>
      <c r="AQ50" s="178">
        <v>0</v>
      </c>
      <c r="AR50" s="178">
        <v>0</v>
      </c>
      <c r="AS50" s="178">
        <v>0</v>
      </c>
      <c r="AT50" s="178">
        <v>0</v>
      </c>
      <c r="AU50" s="178">
        <v>0</v>
      </c>
      <c r="AV50" s="178">
        <v>0</v>
      </c>
      <c r="AW50" s="178">
        <v>0</v>
      </c>
      <c r="AX50" s="178">
        <v>0</v>
      </c>
      <c r="AY50" s="178">
        <v>0</v>
      </c>
      <c r="AZ50" s="178">
        <v>0</v>
      </c>
      <c r="BA50" s="178">
        <v>0</v>
      </c>
      <c r="BB50" s="178">
        <v>0</v>
      </c>
      <c r="BC50" s="178">
        <v>0</v>
      </c>
      <c r="BD50" s="178">
        <v>0</v>
      </c>
      <c r="BE50" s="178">
        <v>0</v>
      </c>
      <c r="BF50" s="178">
        <v>0</v>
      </c>
      <c r="BG50" s="178">
        <v>0</v>
      </c>
      <c r="BH50" s="178">
        <v>0</v>
      </c>
      <c r="BI50" s="178">
        <v>0</v>
      </c>
      <c r="BJ50" s="178">
        <v>0</v>
      </c>
      <c r="BK50" s="178">
        <v>0</v>
      </c>
      <c r="BL50" s="178">
        <v>0</v>
      </c>
      <c r="BM50" s="178">
        <v>0</v>
      </c>
      <c r="BN50" s="178">
        <v>0</v>
      </c>
      <c r="BO50" s="178">
        <v>0</v>
      </c>
      <c r="BP50" s="178">
        <v>0</v>
      </c>
      <c r="BQ50" s="178">
        <v>0</v>
      </c>
      <c r="BR50" s="178">
        <v>0</v>
      </c>
      <c r="BS50" s="178">
        <v>0</v>
      </c>
      <c r="BT50" s="178">
        <v>0</v>
      </c>
      <c r="BU50" s="178">
        <v>0</v>
      </c>
      <c r="BV50" s="178">
        <v>0</v>
      </c>
      <c r="BW50" s="178">
        <v>0</v>
      </c>
      <c r="BX50" s="178">
        <v>0</v>
      </c>
      <c r="BY50" s="178">
        <v>0</v>
      </c>
      <c r="BZ50" s="178">
        <v>0</v>
      </c>
      <c r="CA50" s="178">
        <v>0</v>
      </c>
    </row>
  </sheetData>
  <phoneticPr fontId="2"/>
  <conditionalFormatting sqref="A1:XFD1048576">
    <cfRule type="expression" dxfId="2" priority="1">
      <formula>CELL("ROW")=ROW()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9" tint="0.59999389629810485"/>
  </sheetPr>
  <dimension ref="A1:O68"/>
  <sheetViews>
    <sheetView workbookViewId="0">
      <selection activeCell="A29" sqref="A29"/>
    </sheetView>
  </sheetViews>
  <sheetFormatPr defaultRowHeight="13.5" x14ac:dyDescent="0.15"/>
  <cols>
    <col min="1" max="1" width="6.6640625" style="1" bestFit="1" customWidth="1"/>
    <col min="2" max="2" width="23.33203125" style="1" bestFit="1" customWidth="1"/>
    <col min="3" max="3" width="7.88671875" style="1" customWidth="1"/>
    <col min="4" max="4" width="5.6640625" style="1" customWidth="1"/>
    <col min="5" max="5" width="8.44140625" style="1" customWidth="1"/>
    <col min="6" max="6" width="7.77734375" style="1" customWidth="1"/>
    <col min="7" max="7" width="7.77734375" style="2" customWidth="1"/>
    <col min="8" max="8" width="10.109375" style="1" bestFit="1" customWidth="1"/>
    <col min="9" max="11" width="8.21875" style="1" customWidth="1"/>
    <col min="12" max="13" width="5.21875" style="1" customWidth="1"/>
    <col min="14" max="14" width="16.88671875" style="1" bestFit="1" customWidth="1"/>
    <col min="15" max="256" width="8.88671875" style="1"/>
    <col min="257" max="257" width="6.6640625" style="1" bestFit="1" customWidth="1"/>
    <col min="258" max="258" width="23.33203125" style="1" bestFit="1" customWidth="1"/>
    <col min="259" max="259" width="7.88671875" style="1" customWidth="1"/>
    <col min="260" max="260" width="5.6640625" style="1" customWidth="1"/>
    <col min="261" max="261" width="8.44140625" style="1" customWidth="1"/>
    <col min="262" max="263" width="7.77734375" style="1" customWidth="1"/>
    <col min="264" max="264" width="10.109375" style="1" bestFit="1" customWidth="1"/>
    <col min="265" max="267" width="8.21875" style="1" customWidth="1"/>
    <col min="268" max="269" width="5.21875" style="1" customWidth="1"/>
    <col min="270" max="270" width="16.88671875" style="1" bestFit="1" customWidth="1"/>
    <col min="271" max="512" width="8.88671875" style="1"/>
    <col min="513" max="513" width="6.6640625" style="1" bestFit="1" customWidth="1"/>
    <col min="514" max="514" width="23.33203125" style="1" bestFit="1" customWidth="1"/>
    <col min="515" max="515" width="7.88671875" style="1" customWidth="1"/>
    <col min="516" max="516" width="5.6640625" style="1" customWidth="1"/>
    <col min="517" max="517" width="8.44140625" style="1" customWidth="1"/>
    <col min="518" max="519" width="7.77734375" style="1" customWidth="1"/>
    <col min="520" max="520" width="10.109375" style="1" bestFit="1" customWidth="1"/>
    <col min="521" max="523" width="8.21875" style="1" customWidth="1"/>
    <col min="524" max="525" width="5.21875" style="1" customWidth="1"/>
    <col min="526" max="526" width="16.88671875" style="1" bestFit="1" customWidth="1"/>
    <col min="527" max="768" width="8.88671875" style="1"/>
    <col min="769" max="769" width="6.6640625" style="1" bestFit="1" customWidth="1"/>
    <col min="770" max="770" width="23.33203125" style="1" bestFit="1" customWidth="1"/>
    <col min="771" max="771" width="7.88671875" style="1" customWidth="1"/>
    <col min="772" max="772" width="5.6640625" style="1" customWidth="1"/>
    <col min="773" max="773" width="8.44140625" style="1" customWidth="1"/>
    <col min="774" max="775" width="7.77734375" style="1" customWidth="1"/>
    <col min="776" max="776" width="10.109375" style="1" bestFit="1" customWidth="1"/>
    <col min="777" max="779" width="8.21875" style="1" customWidth="1"/>
    <col min="780" max="781" width="5.21875" style="1" customWidth="1"/>
    <col min="782" max="782" width="16.88671875" style="1" bestFit="1" customWidth="1"/>
    <col min="783" max="1024" width="8.88671875" style="1"/>
    <col min="1025" max="1025" width="6.6640625" style="1" bestFit="1" customWidth="1"/>
    <col min="1026" max="1026" width="23.33203125" style="1" bestFit="1" customWidth="1"/>
    <col min="1027" max="1027" width="7.88671875" style="1" customWidth="1"/>
    <col min="1028" max="1028" width="5.6640625" style="1" customWidth="1"/>
    <col min="1029" max="1029" width="8.44140625" style="1" customWidth="1"/>
    <col min="1030" max="1031" width="7.77734375" style="1" customWidth="1"/>
    <col min="1032" max="1032" width="10.109375" style="1" bestFit="1" customWidth="1"/>
    <col min="1033" max="1035" width="8.21875" style="1" customWidth="1"/>
    <col min="1036" max="1037" width="5.21875" style="1" customWidth="1"/>
    <col min="1038" max="1038" width="16.88671875" style="1" bestFit="1" customWidth="1"/>
    <col min="1039" max="1280" width="8.88671875" style="1"/>
    <col min="1281" max="1281" width="6.6640625" style="1" bestFit="1" customWidth="1"/>
    <col min="1282" max="1282" width="23.33203125" style="1" bestFit="1" customWidth="1"/>
    <col min="1283" max="1283" width="7.88671875" style="1" customWidth="1"/>
    <col min="1284" max="1284" width="5.6640625" style="1" customWidth="1"/>
    <col min="1285" max="1285" width="8.44140625" style="1" customWidth="1"/>
    <col min="1286" max="1287" width="7.77734375" style="1" customWidth="1"/>
    <col min="1288" max="1288" width="10.109375" style="1" bestFit="1" customWidth="1"/>
    <col min="1289" max="1291" width="8.21875" style="1" customWidth="1"/>
    <col min="1292" max="1293" width="5.21875" style="1" customWidth="1"/>
    <col min="1294" max="1294" width="16.88671875" style="1" bestFit="1" customWidth="1"/>
    <col min="1295" max="1536" width="8.88671875" style="1"/>
    <col min="1537" max="1537" width="6.6640625" style="1" bestFit="1" customWidth="1"/>
    <col min="1538" max="1538" width="23.33203125" style="1" bestFit="1" customWidth="1"/>
    <col min="1539" max="1539" width="7.88671875" style="1" customWidth="1"/>
    <col min="1540" max="1540" width="5.6640625" style="1" customWidth="1"/>
    <col min="1541" max="1541" width="8.44140625" style="1" customWidth="1"/>
    <col min="1542" max="1543" width="7.77734375" style="1" customWidth="1"/>
    <col min="1544" max="1544" width="10.109375" style="1" bestFit="1" customWidth="1"/>
    <col min="1545" max="1547" width="8.21875" style="1" customWidth="1"/>
    <col min="1548" max="1549" width="5.21875" style="1" customWidth="1"/>
    <col min="1550" max="1550" width="16.88671875" style="1" bestFit="1" customWidth="1"/>
    <col min="1551" max="1792" width="8.88671875" style="1"/>
    <col min="1793" max="1793" width="6.6640625" style="1" bestFit="1" customWidth="1"/>
    <col min="1794" max="1794" width="23.33203125" style="1" bestFit="1" customWidth="1"/>
    <col min="1795" max="1795" width="7.88671875" style="1" customWidth="1"/>
    <col min="1796" max="1796" width="5.6640625" style="1" customWidth="1"/>
    <col min="1797" max="1797" width="8.44140625" style="1" customWidth="1"/>
    <col min="1798" max="1799" width="7.77734375" style="1" customWidth="1"/>
    <col min="1800" max="1800" width="10.109375" style="1" bestFit="1" customWidth="1"/>
    <col min="1801" max="1803" width="8.21875" style="1" customWidth="1"/>
    <col min="1804" max="1805" width="5.21875" style="1" customWidth="1"/>
    <col min="1806" max="1806" width="16.88671875" style="1" bestFit="1" customWidth="1"/>
    <col min="1807" max="2048" width="8.88671875" style="1"/>
    <col min="2049" max="2049" width="6.6640625" style="1" bestFit="1" customWidth="1"/>
    <col min="2050" max="2050" width="23.33203125" style="1" bestFit="1" customWidth="1"/>
    <col min="2051" max="2051" width="7.88671875" style="1" customWidth="1"/>
    <col min="2052" max="2052" width="5.6640625" style="1" customWidth="1"/>
    <col min="2053" max="2053" width="8.44140625" style="1" customWidth="1"/>
    <col min="2054" max="2055" width="7.77734375" style="1" customWidth="1"/>
    <col min="2056" max="2056" width="10.109375" style="1" bestFit="1" customWidth="1"/>
    <col min="2057" max="2059" width="8.21875" style="1" customWidth="1"/>
    <col min="2060" max="2061" width="5.21875" style="1" customWidth="1"/>
    <col min="2062" max="2062" width="16.88671875" style="1" bestFit="1" customWidth="1"/>
    <col min="2063" max="2304" width="8.88671875" style="1"/>
    <col min="2305" max="2305" width="6.6640625" style="1" bestFit="1" customWidth="1"/>
    <col min="2306" max="2306" width="23.33203125" style="1" bestFit="1" customWidth="1"/>
    <col min="2307" max="2307" width="7.88671875" style="1" customWidth="1"/>
    <col min="2308" max="2308" width="5.6640625" style="1" customWidth="1"/>
    <col min="2309" max="2309" width="8.44140625" style="1" customWidth="1"/>
    <col min="2310" max="2311" width="7.77734375" style="1" customWidth="1"/>
    <col min="2312" max="2312" width="10.109375" style="1" bestFit="1" customWidth="1"/>
    <col min="2313" max="2315" width="8.21875" style="1" customWidth="1"/>
    <col min="2316" max="2317" width="5.21875" style="1" customWidth="1"/>
    <col min="2318" max="2318" width="16.88671875" style="1" bestFit="1" customWidth="1"/>
    <col min="2319" max="2560" width="8.88671875" style="1"/>
    <col min="2561" max="2561" width="6.6640625" style="1" bestFit="1" customWidth="1"/>
    <col min="2562" max="2562" width="23.33203125" style="1" bestFit="1" customWidth="1"/>
    <col min="2563" max="2563" width="7.88671875" style="1" customWidth="1"/>
    <col min="2564" max="2564" width="5.6640625" style="1" customWidth="1"/>
    <col min="2565" max="2565" width="8.44140625" style="1" customWidth="1"/>
    <col min="2566" max="2567" width="7.77734375" style="1" customWidth="1"/>
    <col min="2568" max="2568" width="10.109375" style="1" bestFit="1" customWidth="1"/>
    <col min="2569" max="2571" width="8.21875" style="1" customWidth="1"/>
    <col min="2572" max="2573" width="5.21875" style="1" customWidth="1"/>
    <col min="2574" max="2574" width="16.88671875" style="1" bestFit="1" customWidth="1"/>
    <col min="2575" max="2816" width="8.88671875" style="1"/>
    <col min="2817" max="2817" width="6.6640625" style="1" bestFit="1" customWidth="1"/>
    <col min="2818" max="2818" width="23.33203125" style="1" bestFit="1" customWidth="1"/>
    <col min="2819" max="2819" width="7.88671875" style="1" customWidth="1"/>
    <col min="2820" max="2820" width="5.6640625" style="1" customWidth="1"/>
    <col min="2821" max="2821" width="8.44140625" style="1" customWidth="1"/>
    <col min="2822" max="2823" width="7.77734375" style="1" customWidth="1"/>
    <col min="2824" max="2824" width="10.109375" style="1" bestFit="1" customWidth="1"/>
    <col min="2825" max="2827" width="8.21875" style="1" customWidth="1"/>
    <col min="2828" max="2829" width="5.21875" style="1" customWidth="1"/>
    <col min="2830" max="2830" width="16.88671875" style="1" bestFit="1" customWidth="1"/>
    <col min="2831" max="3072" width="8.88671875" style="1"/>
    <col min="3073" max="3073" width="6.6640625" style="1" bestFit="1" customWidth="1"/>
    <col min="3074" max="3074" width="23.33203125" style="1" bestFit="1" customWidth="1"/>
    <col min="3075" max="3075" width="7.88671875" style="1" customWidth="1"/>
    <col min="3076" max="3076" width="5.6640625" style="1" customWidth="1"/>
    <col min="3077" max="3077" width="8.44140625" style="1" customWidth="1"/>
    <col min="3078" max="3079" width="7.77734375" style="1" customWidth="1"/>
    <col min="3080" max="3080" width="10.109375" style="1" bestFit="1" customWidth="1"/>
    <col min="3081" max="3083" width="8.21875" style="1" customWidth="1"/>
    <col min="3084" max="3085" width="5.21875" style="1" customWidth="1"/>
    <col min="3086" max="3086" width="16.88671875" style="1" bestFit="1" customWidth="1"/>
    <col min="3087" max="3328" width="8.88671875" style="1"/>
    <col min="3329" max="3329" width="6.6640625" style="1" bestFit="1" customWidth="1"/>
    <col min="3330" max="3330" width="23.33203125" style="1" bestFit="1" customWidth="1"/>
    <col min="3331" max="3331" width="7.88671875" style="1" customWidth="1"/>
    <col min="3332" max="3332" width="5.6640625" style="1" customWidth="1"/>
    <col min="3333" max="3333" width="8.44140625" style="1" customWidth="1"/>
    <col min="3334" max="3335" width="7.77734375" style="1" customWidth="1"/>
    <col min="3336" max="3336" width="10.109375" style="1" bestFit="1" customWidth="1"/>
    <col min="3337" max="3339" width="8.21875" style="1" customWidth="1"/>
    <col min="3340" max="3341" width="5.21875" style="1" customWidth="1"/>
    <col min="3342" max="3342" width="16.88671875" style="1" bestFit="1" customWidth="1"/>
    <col min="3343" max="3584" width="8.88671875" style="1"/>
    <col min="3585" max="3585" width="6.6640625" style="1" bestFit="1" customWidth="1"/>
    <col min="3586" max="3586" width="23.33203125" style="1" bestFit="1" customWidth="1"/>
    <col min="3587" max="3587" width="7.88671875" style="1" customWidth="1"/>
    <col min="3588" max="3588" width="5.6640625" style="1" customWidth="1"/>
    <col min="3589" max="3589" width="8.44140625" style="1" customWidth="1"/>
    <col min="3590" max="3591" width="7.77734375" style="1" customWidth="1"/>
    <col min="3592" max="3592" width="10.109375" style="1" bestFit="1" customWidth="1"/>
    <col min="3593" max="3595" width="8.21875" style="1" customWidth="1"/>
    <col min="3596" max="3597" width="5.21875" style="1" customWidth="1"/>
    <col min="3598" max="3598" width="16.88671875" style="1" bestFit="1" customWidth="1"/>
    <col min="3599" max="3840" width="8.88671875" style="1"/>
    <col min="3841" max="3841" width="6.6640625" style="1" bestFit="1" customWidth="1"/>
    <col min="3842" max="3842" width="23.33203125" style="1" bestFit="1" customWidth="1"/>
    <col min="3843" max="3843" width="7.88671875" style="1" customWidth="1"/>
    <col min="3844" max="3844" width="5.6640625" style="1" customWidth="1"/>
    <col min="3845" max="3845" width="8.44140625" style="1" customWidth="1"/>
    <col min="3846" max="3847" width="7.77734375" style="1" customWidth="1"/>
    <col min="3848" max="3848" width="10.109375" style="1" bestFit="1" customWidth="1"/>
    <col min="3849" max="3851" width="8.21875" style="1" customWidth="1"/>
    <col min="3852" max="3853" width="5.21875" style="1" customWidth="1"/>
    <col min="3854" max="3854" width="16.88671875" style="1" bestFit="1" customWidth="1"/>
    <col min="3855" max="4096" width="8.88671875" style="1"/>
    <col min="4097" max="4097" width="6.6640625" style="1" bestFit="1" customWidth="1"/>
    <col min="4098" max="4098" width="23.33203125" style="1" bestFit="1" customWidth="1"/>
    <col min="4099" max="4099" width="7.88671875" style="1" customWidth="1"/>
    <col min="4100" max="4100" width="5.6640625" style="1" customWidth="1"/>
    <col min="4101" max="4101" width="8.44140625" style="1" customWidth="1"/>
    <col min="4102" max="4103" width="7.77734375" style="1" customWidth="1"/>
    <col min="4104" max="4104" width="10.109375" style="1" bestFit="1" customWidth="1"/>
    <col min="4105" max="4107" width="8.21875" style="1" customWidth="1"/>
    <col min="4108" max="4109" width="5.21875" style="1" customWidth="1"/>
    <col min="4110" max="4110" width="16.88671875" style="1" bestFit="1" customWidth="1"/>
    <col min="4111" max="4352" width="8.88671875" style="1"/>
    <col min="4353" max="4353" width="6.6640625" style="1" bestFit="1" customWidth="1"/>
    <col min="4354" max="4354" width="23.33203125" style="1" bestFit="1" customWidth="1"/>
    <col min="4355" max="4355" width="7.88671875" style="1" customWidth="1"/>
    <col min="4356" max="4356" width="5.6640625" style="1" customWidth="1"/>
    <col min="4357" max="4357" width="8.44140625" style="1" customWidth="1"/>
    <col min="4358" max="4359" width="7.77734375" style="1" customWidth="1"/>
    <col min="4360" max="4360" width="10.109375" style="1" bestFit="1" customWidth="1"/>
    <col min="4361" max="4363" width="8.21875" style="1" customWidth="1"/>
    <col min="4364" max="4365" width="5.21875" style="1" customWidth="1"/>
    <col min="4366" max="4366" width="16.88671875" style="1" bestFit="1" customWidth="1"/>
    <col min="4367" max="4608" width="8.88671875" style="1"/>
    <col min="4609" max="4609" width="6.6640625" style="1" bestFit="1" customWidth="1"/>
    <col min="4610" max="4610" width="23.33203125" style="1" bestFit="1" customWidth="1"/>
    <col min="4611" max="4611" width="7.88671875" style="1" customWidth="1"/>
    <col min="4612" max="4612" width="5.6640625" style="1" customWidth="1"/>
    <col min="4613" max="4613" width="8.44140625" style="1" customWidth="1"/>
    <col min="4614" max="4615" width="7.77734375" style="1" customWidth="1"/>
    <col min="4616" max="4616" width="10.109375" style="1" bestFit="1" customWidth="1"/>
    <col min="4617" max="4619" width="8.21875" style="1" customWidth="1"/>
    <col min="4620" max="4621" width="5.21875" style="1" customWidth="1"/>
    <col min="4622" max="4622" width="16.88671875" style="1" bestFit="1" customWidth="1"/>
    <col min="4623" max="4864" width="8.88671875" style="1"/>
    <col min="4865" max="4865" width="6.6640625" style="1" bestFit="1" customWidth="1"/>
    <col min="4866" max="4866" width="23.33203125" style="1" bestFit="1" customWidth="1"/>
    <col min="4867" max="4867" width="7.88671875" style="1" customWidth="1"/>
    <col min="4868" max="4868" width="5.6640625" style="1" customWidth="1"/>
    <col min="4869" max="4869" width="8.44140625" style="1" customWidth="1"/>
    <col min="4870" max="4871" width="7.77734375" style="1" customWidth="1"/>
    <col min="4872" max="4872" width="10.109375" style="1" bestFit="1" customWidth="1"/>
    <col min="4873" max="4875" width="8.21875" style="1" customWidth="1"/>
    <col min="4876" max="4877" width="5.21875" style="1" customWidth="1"/>
    <col min="4878" max="4878" width="16.88671875" style="1" bestFit="1" customWidth="1"/>
    <col min="4879" max="5120" width="8.88671875" style="1"/>
    <col min="5121" max="5121" width="6.6640625" style="1" bestFit="1" customWidth="1"/>
    <col min="5122" max="5122" width="23.33203125" style="1" bestFit="1" customWidth="1"/>
    <col min="5123" max="5123" width="7.88671875" style="1" customWidth="1"/>
    <col min="5124" max="5124" width="5.6640625" style="1" customWidth="1"/>
    <col min="5125" max="5125" width="8.44140625" style="1" customWidth="1"/>
    <col min="5126" max="5127" width="7.77734375" style="1" customWidth="1"/>
    <col min="5128" max="5128" width="10.109375" style="1" bestFit="1" customWidth="1"/>
    <col min="5129" max="5131" width="8.21875" style="1" customWidth="1"/>
    <col min="5132" max="5133" width="5.21875" style="1" customWidth="1"/>
    <col min="5134" max="5134" width="16.88671875" style="1" bestFit="1" customWidth="1"/>
    <col min="5135" max="5376" width="8.88671875" style="1"/>
    <col min="5377" max="5377" width="6.6640625" style="1" bestFit="1" customWidth="1"/>
    <col min="5378" max="5378" width="23.33203125" style="1" bestFit="1" customWidth="1"/>
    <col min="5379" max="5379" width="7.88671875" style="1" customWidth="1"/>
    <col min="5380" max="5380" width="5.6640625" style="1" customWidth="1"/>
    <col min="5381" max="5381" width="8.44140625" style="1" customWidth="1"/>
    <col min="5382" max="5383" width="7.77734375" style="1" customWidth="1"/>
    <col min="5384" max="5384" width="10.109375" style="1" bestFit="1" customWidth="1"/>
    <col min="5385" max="5387" width="8.21875" style="1" customWidth="1"/>
    <col min="5388" max="5389" width="5.21875" style="1" customWidth="1"/>
    <col min="5390" max="5390" width="16.88671875" style="1" bestFit="1" customWidth="1"/>
    <col min="5391" max="5632" width="8.88671875" style="1"/>
    <col min="5633" max="5633" width="6.6640625" style="1" bestFit="1" customWidth="1"/>
    <col min="5634" max="5634" width="23.33203125" style="1" bestFit="1" customWidth="1"/>
    <col min="5635" max="5635" width="7.88671875" style="1" customWidth="1"/>
    <col min="5636" max="5636" width="5.6640625" style="1" customWidth="1"/>
    <col min="5637" max="5637" width="8.44140625" style="1" customWidth="1"/>
    <col min="5638" max="5639" width="7.77734375" style="1" customWidth="1"/>
    <col min="5640" max="5640" width="10.109375" style="1" bestFit="1" customWidth="1"/>
    <col min="5641" max="5643" width="8.21875" style="1" customWidth="1"/>
    <col min="5644" max="5645" width="5.21875" style="1" customWidth="1"/>
    <col min="5646" max="5646" width="16.88671875" style="1" bestFit="1" customWidth="1"/>
    <col min="5647" max="5888" width="8.88671875" style="1"/>
    <col min="5889" max="5889" width="6.6640625" style="1" bestFit="1" customWidth="1"/>
    <col min="5890" max="5890" width="23.33203125" style="1" bestFit="1" customWidth="1"/>
    <col min="5891" max="5891" width="7.88671875" style="1" customWidth="1"/>
    <col min="5892" max="5892" width="5.6640625" style="1" customWidth="1"/>
    <col min="5893" max="5893" width="8.44140625" style="1" customWidth="1"/>
    <col min="5894" max="5895" width="7.77734375" style="1" customWidth="1"/>
    <col min="5896" max="5896" width="10.109375" style="1" bestFit="1" customWidth="1"/>
    <col min="5897" max="5899" width="8.21875" style="1" customWidth="1"/>
    <col min="5900" max="5901" width="5.21875" style="1" customWidth="1"/>
    <col min="5902" max="5902" width="16.88671875" style="1" bestFit="1" customWidth="1"/>
    <col min="5903" max="6144" width="8.88671875" style="1"/>
    <col min="6145" max="6145" width="6.6640625" style="1" bestFit="1" customWidth="1"/>
    <col min="6146" max="6146" width="23.33203125" style="1" bestFit="1" customWidth="1"/>
    <col min="6147" max="6147" width="7.88671875" style="1" customWidth="1"/>
    <col min="6148" max="6148" width="5.6640625" style="1" customWidth="1"/>
    <col min="6149" max="6149" width="8.44140625" style="1" customWidth="1"/>
    <col min="6150" max="6151" width="7.77734375" style="1" customWidth="1"/>
    <col min="6152" max="6152" width="10.109375" style="1" bestFit="1" customWidth="1"/>
    <col min="6153" max="6155" width="8.21875" style="1" customWidth="1"/>
    <col min="6156" max="6157" width="5.21875" style="1" customWidth="1"/>
    <col min="6158" max="6158" width="16.88671875" style="1" bestFit="1" customWidth="1"/>
    <col min="6159" max="6400" width="8.88671875" style="1"/>
    <col min="6401" max="6401" width="6.6640625" style="1" bestFit="1" customWidth="1"/>
    <col min="6402" max="6402" width="23.33203125" style="1" bestFit="1" customWidth="1"/>
    <col min="6403" max="6403" width="7.88671875" style="1" customWidth="1"/>
    <col min="6404" max="6404" width="5.6640625" style="1" customWidth="1"/>
    <col min="6405" max="6405" width="8.44140625" style="1" customWidth="1"/>
    <col min="6406" max="6407" width="7.77734375" style="1" customWidth="1"/>
    <col min="6408" max="6408" width="10.109375" style="1" bestFit="1" customWidth="1"/>
    <col min="6409" max="6411" width="8.21875" style="1" customWidth="1"/>
    <col min="6412" max="6413" width="5.21875" style="1" customWidth="1"/>
    <col min="6414" max="6414" width="16.88671875" style="1" bestFit="1" customWidth="1"/>
    <col min="6415" max="6656" width="8.88671875" style="1"/>
    <col min="6657" max="6657" width="6.6640625" style="1" bestFit="1" customWidth="1"/>
    <col min="6658" max="6658" width="23.33203125" style="1" bestFit="1" customWidth="1"/>
    <col min="6659" max="6659" width="7.88671875" style="1" customWidth="1"/>
    <col min="6660" max="6660" width="5.6640625" style="1" customWidth="1"/>
    <col min="6661" max="6661" width="8.44140625" style="1" customWidth="1"/>
    <col min="6662" max="6663" width="7.77734375" style="1" customWidth="1"/>
    <col min="6664" max="6664" width="10.109375" style="1" bestFit="1" customWidth="1"/>
    <col min="6665" max="6667" width="8.21875" style="1" customWidth="1"/>
    <col min="6668" max="6669" width="5.21875" style="1" customWidth="1"/>
    <col min="6670" max="6670" width="16.88671875" style="1" bestFit="1" customWidth="1"/>
    <col min="6671" max="6912" width="8.88671875" style="1"/>
    <col min="6913" max="6913" width="6.6640625" style="1" bestFit="1" customWidth="1"/>
    <col min="6914" max="6914" width="23.33203125" style="1" bestFit="1" customWidth="1"/>
    <col min="6915" max="6915" width="7.88671875" style="1" customWidth="1"/>
    <col min="6916" max="6916" width="5.6640625" style="1" customWidth="1"/>
    <col min="6917" max="6917" width="8.44140625" style="1" customWidth="1"/>
    <col min="6918" max="6919" width="7.77734375" style="1" customWidth="1"/>
    <col min="6920" max="6920" width="10.109375" style="1" bestFit="1" customWidth="1"/>
    <col min="6921" max="6923" width="8.21875" style="1" customWidth="1"/>
    <col min="6924" max="6925" width="5.21875" style="1" customWidth="1"/>
    <col min="6926" max="6926" width="16.88671875" style="1" bestFit="1" customWidth="1"/>
    <col min="6927" max="7168" width="8.88671875" style="1"/>
    <col min="7169" max="7169" width="6.6640625" style="1" bestFit="1" customWidth="1"/>
    <col min="7170" max="7170" width="23.33203125" style="1" bestFit="1" customWidth="1"/>
    <col min="7171" max="7171" width="7.88671875" style="1" customWidth="1"/>
    <col min="7172" max="7172" width="5.6640625" style="1" customWidth="1"/>
    <col min="7173" max="7173" width="8.44140625" style="1" customWidth="1"/>
    <col min="7174" max="7175" width="7.77734375" style="1" customWidth="1"/>
    <col min="7176" max="7176" width="10.109375" style="1" bestFit="1" customWidth="1"/>
    <col min="7177" max="7179" width="8.21875" style="1" customWidth="1"/>
    <col min="7180" max="7181" width="5.21875" style="1" customWidth="1"/>
    <col min="7182" max="7182" width="16.88671875" style="1" bestFit="1" customWidth="1"/>
    <col min="7183" max="7424" width="8.88671875" style="1"/>
    <col min="7425" max="7425" width="6.6640625" style="1" bestFit="1" customWidth="1"/>
    <col min="7426" max="7426" width="23.33203125" style="1" bestFit="1" customWidth="1"/>
    <col min="7427" max="7427" width="7.88671875" style="1" customWidth="1"/>
    <col min="7428" max="7428" width="5.6640625" style="1" customWidth="1"/>
    <col min="7429" max="7429" width="8.44140625" style="1" customWidth="1"/>
    <col min="7430" max="7431" width="7.77734375" style="1" customWidth="1"/>
    <col min="7432" max="7432" width="10.109375" style="1" bestFit="1" customWidth="1"/>
    <col min="7433" max="7435" width="8.21875" style="1" customWidth="1"/>
    <col min="7436" max="7437" width="5.21875" style="1" customWidth="1"/>
    <col min="7438" max="7438" width="16.88671875" style="1" bestFit="1" customWidth="1"/>
    <col min="7439" max="7680" width="8.88671875" style="1"/>
    <col min="7681" max="7681" width="6.6640625" style="1" bestFit="1" customWidth="1"/>
    <col min="7682" max="7682" width="23.33203125" style="1" bestFit="1" customWidth="1"/>
    <col min="7683" max="7683" width="7.88671875" style="1" customWidth="1"/>
    <col min="7684" max="7684" width="5.6640625" style="1" customWidth="1"/>
    <col min="7685" max="7685" width="8.44140625" style="1" customWidth="1"/>
    <col min="7686" max="7687" width="7.77734375" style="1" customWidth="1"/>
    <col min="7688" max="7688" width="10.109375" style="1" bestFit="1" customWidth="1"/>
    <col min="7689" max="7691" width="8.21875" style="1" customWidth="1"/>
    <col min="7692" max="7693" width="5.21875" style="1" customWidth="1"/>
    <col min="7694" max="7694" width="16.88671875" style="1" bestFit="1" customWidth="1"/>
    <col min="7695" max="7936" width="8.88671875" style="1"/>
    <col min="7937" max="7937" width="6.6640625" style="1" bestFit="1" customWidth="1"/>
    <col min="7938" max="7938" width="23.33203125" style="1" bestFit="1" customWidth="1"/>
    <col min="7939" max="7939" width="7.88671875" style="1" customWidth="1"/>
    <col min="7940" max="7940" width="5.6640625" style="1" customWidth="1"/>
    <col min="7941" max="7941" width="8.44140625" style="1" customWidth="1"/>
    <col min="7942" max="7943" width="7.77734375" style="1" customWidth="1"/>
    <col min="7944" max="7944" width="10.109375" style="1" bestFit="1" customWidth="1"/>
    <col min="7945" max="7947" width="8.21875" style="1" customWidth="1"/>
    <col min="7948" max="7949" width="5.21875" style="1" customWidth="1"/>
    <col min="7950" max="7950" width="16.88671875" style="1" bestFit="1" customWidth="1"/>
    <col min="7951" max="8192" width="8.88671875" style="1"/>
    <col min="8193" max="8193" width="6.6640625" style="1" bestFit="1" customWidth="1"/>
    <col min="8194" max="8194" width="23.33203125" style="1" bestFit="1" customWidth="1"/>
    <col min="8195" max="8195" width="7.88671875" style="1" customWidth="1"/>
    <col min="8196" max="8196" width="5.6640625" style="1" customWidth="1"/>
    <col min="8197" max="8197" width="8.44140625" style="1" customWidth="1"/>
    <col min="8198" max="8199" width="7.77734375" style="1" customWidth="1"/>
    <col min="8200" max="8200" width="10.109375" style="1" bestFit="1" customWidth="1"/>
    <col min="8201" max="8203" width="8.21875" style="1" customWidth="1"/>
    <col min="8204" max="8205" width="5.21875" style="1" customWidth="1"/>
    <col min="8206" max="8206" width="16.88671875" style="1" bestFit="1" customWidth="1"/>
    <col min="8207" max="8448" width="8.88671875" style="1"/>
    <col min="8449" max="8449" width="6.6640625" style="1" bestFit="1" customWidth="1"/>
    <col min="8450" max="8450" width="23.33203125" style="1" bestFit="1" customWidth="1"/>
    <col min="8451" max="8451" width="7.88671875" style="1" customWidth="1"/>
    <col min="8452" max="8452" width="5.6640625" style="1" customWidth="1"/>
    <col min="8453" max="8453" width="8.44140625" style="1" customWidth="1"/>
    <col min="8454" max="8455" width="7.77734375" style="1" customWidth="1"/>
    <col min="8456" max="8456" width="10.109375" style="1" bestFit="1" customWidth="1"/>
    <col min="8457" max="8459" width="8.21875" style="1" customWidth="1"/>
    <col min="8460" max="8461" width="5.21875" style="1" customWidth="1"/>
    <col min="8462" max="8462" width="16.88671875" style="1" bestFit="1" customWidth="1"/>
    <col min="8463" max="8704" width="8.88671875" style="1"/>
    <col min="8705" max="8705" width="6.6640625" style="1" bestFit="1" customWidth="1"/>
    <col min="8706" max="8706" width="23.33203125" style="1" bestFit="1" customWidth="1"/>
    <col min="8707" max="8707" width="7.88671875" style="1" customWidth="1"/>
    <col min="8708" max="8708" width="5.6640625" style="1" customWidth="1"/>
    <col min="8709" max="8709" width="8.44140625" style="1" customWidth="1"/>
    <col min="8710" max="8711" width="7.77734375" style="1" customWidth="1"/>
    <col min="8712" max="8712" width="10.109375" style="1" bestFit="1" customWidth="1"/>
    <col min="8713" max="8715" width="8.21875" style="1" customWidth="1"/>
    <col min="8716" max="8717" width="5.21875" style="1" customWidth="1"/>
    <col min="8718" max="8718" width="16.88671875" style="1" bestFit="1" customWidth="1"/>
    <col min="8719" max="8960" width="8.88671875" style="1"/>
    <col min="8961" max="8961" width="6.6640625" style="1" bestFit="1" customWidth="1"/>
    <col min="8962" max="8962" width="23.33203125" style="1" bestFit="1" customWidth="1"/>
    <col min="8963" max="8963" width="7.88671875" style="1" customWidth="1"/>
    <col min="8964" max="8964" width="5.6640625" style="1" customWidth="1"/>
    <col min="8965" max="8965" width="8.44140625" style="1" customWidth="1"/>
    <col min="8966" max="8967" width="7.77734375" style="1" customWidth="1"/>
    <col min="8968" max="8968" width="10.109375" style="1" bestFit="1" customWidth="1"/>
    <col min="8969" max="8971" width="8.21875" style="1" customWidth="1"/>
    <col min="8972" max="8973" width="5.21875" style="1" customWidth="1"/>
    <col min="8974" max="8974" width="16.88671875" style="1" bestFit="1" customWidth="1"/>
    <col min="8975" max="9216" width="8.88671875" style="1"/>
    <col min="9217" max="9217" width="6.6640625" style="1" bestFit="1" customWidth="1"/>
    <col min="9218" max="9218" width="23.33203125" style="1" bestFit="1" customWidth="1"/>
    <col min="9219" max="9219" width="7.88671875" style="1" customWidth="1"/>
    <col min="9220" max="9220" width="5.6640625" style="1" customWidth="1"/>
    <col min="9221" max="9221" width="8.44140625" style="1" customWidth="1"/>
    <col min="9222" max="9223" width="7.77734375" style="1" customWidth="1"/>
    <col min="9224" max="9224" width="10.109375" style="1" bestFit="1" customWidth="1"/>
    <col min="9225" max="9227" width="8.21875" style="1" customWidth="1"/>
    <col min="9228" max="9229" width="5.21875" style="1" customWidth="1"/>
    <col min="9230" max="9230" width="16.88671875" style="1" bestFit="1" customWidth="1"/>
    <col min="9231" max="9472" width="8.88671875" style="1"/>
    <col min="9473" max="9473" width="6.6640625" style="1" bestFit="1" customWidth="1"/>
    <col min="9474" max="9474" width="23.33203125" style="1" bestFit="1" customWidth="1"/>
    <col min="9475" max="9475" width="7.88671875" style="1" customWidth="1"/>
    <col min="9476" max="9476" width="5.6640625" style="1" customWidth="1"/>
    <col min="9477" max="9477" width="8.44140625" style="1" customWidth="1"/>
    <col min="9478" max="9479" width="7.77734375" style="1" customWidth="1"/>
    <col min="9480" max="9480" width="10.109375" style="1" bestFit="1" customWidth="1"/>
    <col min="9481" max="9483" width="8.21875" style="1" customWidth="1"/>
    <col min="9484" max="9485" width="5.21875" style="1" customWidth="1"/>
    <col min="9486" max="9486" width="16.88671875" style="1" bestFit="1" customWidth="1"/>
    <col min="9487" max="9728" width="8.88671875" style="1"/>
    <col min="9729" max="9729" width="6.6640625" style="1" bestFit="1" customWidth="1"/>
    <col min="9730" max="9730" width="23.33203125" style="1" bestFit="1" customWidth="1"/>
    <col min="9731" max="9731" width="7.88671875" style="1" customWidth="1"/>
    <col min="9732" max="9732" width="5.6640625" style="1" customWidth="1"/>
    <col min="9733" max="9733" width="8.44140625" style="1" customWidth="1"/>
    <col min="9734" max="9735" width="7.77734375" style="1" customWidth="1"/>
    <col min="9736" max="9736" width="10.109375" style="1" bestFit="1" customWidth="1"/>
    <col min="9737" max="9739" width="8.21875" style="1" customWidth="1"/>
    <col min="9740" max="9741" width="5.21875" style="1" customWidth="1"/>
    <col min="9742" max="9742" width="16.88671875" style="1" bestFit="1" customWidth="1"/>
    <col min="9743" max="9984" width="8.88671875" style="1"/>
    <col min="9985" max="9985" width="6.6640625" style="1" bestFit="1" customWidth="1"/>
    <col min="9986" max="9986" width="23.33203125" style="1" bestFit="1" customWidth="1"/>
    <col min="9987" max="9987" width="7.88671875" style="1" customWidth="1"/>
    <col min="9988" max="9988" width="5.6640625" style="1" customWidth="1"/>
    <col min="9989" max="9989" width="8.44140625" style="1" customWidth="1"/>
    <col min="9990" max="9991" width="7.77734375" style="1" customWidth="1"/>
    <col min="9992" max="9992" width="10.109375" style="1" bestFit="1" customWidth="1"/>
    <col min="9993" max="9995" width="8.21875" style="1" customWidth="1"/>
    <col min="9996" max="9997" width="5.21875" style="1" customWidth="1"/>
    <col min="9998" max="9998" width="16.88671875" style="1" bestFit="1" customWidth="1"/>
    <col min="9999" max="10240" width="8.88671875" style="1"/>
    <col min="10241" max="10241" width="6.6640625" style="1" bestFit="1" customWidth="1"/>
    <col min="10242" max="10242" width="23.33203125" style="1" bestFit="1" customWidth="1"/>
    <col min="10243" max="10243" width="7.88671875" style="1" customWidth="1"/>
    <col min="10244" max="10244" width="5.6640625" style="1" customWidth="1"/>
    <col min="10245" max="10245" width="8.44140625" style="1" customWidth="1"/>
    <col min="10246" max="10247" width="7.77734375" style="1" customWidth="1"/>
    <col min="10248" max="10248" width="10.109375" style="1" bestFit="1" customWidth="1"/>
    <col min="10249" max="10251" width="8.21875" style="1" customWidth="1"/>
    <col min="10252" max="10253" width="5.21875" style="1" customWidth="1"/>
    <col min="10254" max="10254" width="16.88671875" style="1" bestFit="1" customWidth="1"/>
    <col min="10255" max="10496" width="8.88671875" style="1"/>
    <col min="10497" max="10497" width="6.6640625" style="1" bestFit="1" customWidth="1"/>
    <col min="10498" max="10498" width="23.33203125" style="1" bestFit="1" customWidth="1"/>
    <col min="10499" max="10499" width="7.88671875" style="1" customWidth="1"/>
    <col min="10500" max="10500" width="5.6640625" style="1" customWidth="1"/>
    <col min="10501" max="10501" width="8.44140625" style="1" customWidth="1"/>
    <col min="10502" max="10503" width="7.77734375" style="1" customWidth="1"/>
    <col min="10504" max="10504" width="10.109375" style="1" bestFit="1" customWidth="1"/>
    <col min="10505" max="10507" width="8.21875" style="1" customWidth="1"/>
    <col min="10508" max="10509" width="5.21875" style="1" customWidth="1"/>
    <col min="10510" max="10510" width="16.88671875" style="1" bestFit="1" customWidth="1"/>
    <col min="10511" max="10752" width="8.88671875" style="1"/>
    <col min="10753" max="10753" width="6.6640625" style="1" bestFit="1" customWidth="1"/>
    <col min="10754" max="10754" width="23.33203125" style="1" bestFit="1" customWidth="1"/>
    <col min="10755" max="10755" width="7.88671875" style="1" customWidth="1"/>
    <col min="10756" max="10756" width="5.6640625" style="1" customWidth="1"/>
    <col min="10757" max="10757" width="8.44140625" style="1" customWidth="1"/>
    <col min="10758" max="10759" width="7.77734375" style="1" customWidth="1"/>
    <col min="10760" max="10760" width="10.109375" style="1" bestFit="1" customWidth="1"/>
    <col min="10761" max="10763" width="8.21875" style="1" customWidth="1"/>
    <col min="10764" max="10765" width="5.21875" style="1" customWidth="1"/>
    <col min="10766" max="10766" width="16.88671875" style="1" bestFit="1" customWidth="1"/>
    <col min="10767" max="11008" width="8.88671875" style="1"/>
    <col min="11009" max="11009" width="6.6640625" style="1" bestFit="1" customWidth="1"/>
    <col min="11010" max="11010" width="23.33203125" style="1" bestFit="1" customWidth="1"/>
    <col min="11011" max="11011" width="7.88671875" style="1" customWidth="1"/>
    <col min="11012" max="11012" width="5.6640625" style="1" customWidth="1"/>
    <col min="11013" max="11013" width="8.44140625" style="1" customWidth="1"/>
    <col min="11014" max="11015" width="7.77734375" style="1" customWidth="1"/>
    <col min="11016" max="11016" width="10.109375" style="1" bestFit="1" customWidth="1"/>
    <col min="11017" max="11019" width="8.21875" style="1" customWidth="1"/>
    <col min="11020" max="11021" width="5.21875" style="1" customWidth="1"/>
    <col min="11022" max="11022" width="16.88671875" style="1" bestFit="1" customWidth="1"/>
    <col min="11023" max="11264" width="8.88671875" style="1"/>
    <col min="11265" max="11265" width="6.6640625" style="1" bestFit="1" customWidth="1"/>
    <col min="11266" max="11266" width="23.33203125" style="1" bestFit="1" customWidth="1"/>
    <col min="11267" max="11267" width="7.88671875" style="1" customWidth="1"/>
    <col min="11268" max="11268" width="5.6640625" style="1" customWidth="1"/>
    <col min="11269" max="11269" width="8.44140625" style="1" customWidth="1"/>
    <col min="11270" max="11271" width="7.77734375" style="1" customWidth="1"/>
    <col min="11272" max="11272" width="10.109375" style="1" bestFit="1" customWidth="1"/>
    <col min="11273" max="11275" width="8.21875" style="1" customWidth="1"/>
    <col min="11276" max="11277" width="5.21875" style="1" customWidth="1"/>
    <col min="11278" max="11278" width="16.88671875" style="1" bestFit="1" customWidth="1"/>
    <col min="11279" max="11520" width="8.88671875" style="1"/>
    <col min="11521" max="11521" width="6.6640625" style="1" bestFit="1" customWidth="1"/>
    <col min="11522" max="11522" width="23.33203125" style="1" bestFit="1" customWidth="1"/>
    <col min="11523" max="11523" width="7.88671875" style="1" customWidth="1"/>
    <col min="11524" max="11524" width="5.6640625" style="1" customWidth="1"/>
    <col min="11525" max="11525" width="8.44140625" style="1" customWidth="1"/>
    <col min="11526" max="11527" width="7.77734375" style="1" customWidth="1"/>
    <col min="11528" max="11528" width="10.109375" style="1" bestFit="1" customWidth="1"/>
    <col min="11529" max="11531" width="8.21875" style="1" customWidth="1"/>
    <col min="11532" max="11533" width="5.21875" style="1" customWidth="1"/>
    <col min="11534" max="11534" width="16.88671875" style="1" bestFit="1" customWidth="1"/>
    <col min="11535" max="11776" width="8.88671875" style="1"/>
    <col min="11777" max="11777" width="6.6640625" style="1" bestFit="1" customWidth="1"/>
    <col min="11778" max="11778" width="23.33203125" style="1" bestFit="1" customWidth="1"/>
    <col min="11779" max="11779" width="7.88671875" style="1" customWidth="1"/>
    <col min="11780" max="11780" width="5.6640625" style="1" customWidth="1"/>
    <col min="11781" max="11781" width="8.44140625" style="1" customWidth="1"/>
    <col min="11782" max="11783" width="7.77734375" style="1" customWidth="1"/>
    <col min="11784" max="11784" width="10.109375" style="1" bestFit="1" customWidth="1"/>
    <col min="11785" max="11787" width="8.21875" style="1" customWidth="1"/>
    <col min="11788" max="11789" width="5.21875" style="1" customWidth="1"/>
    <col min="11790" max="11790" width="16.88671875" style="1" bestFit="1" customWidth="1"/>
    <col min="11791" max="12032" width="8.88671875" style="1"/>
    <col min="12033" max="12033" width="6.6640625" style="1" bestFit="1" customWidth="1"/>
    <col min="12034" max="12034" width="23.33203125" style="1" bestFit="1" customWidth="1"/>
    <col min="12035" max="12035" width="7.88671875" style="1" customWidth="1"/>
    <col min="12036" max="12036" width="5.6640625" style="1" customWidth="1"/>
    <col min="12037" max="12037" width="8.44140625" style="1" customWidth="1"/>
    <col min="12038" max="12039" width="7.77734375" style="1" customWidth="1"/>
    <col min="12040" max="12040" width="10.109375" style="1" bestFit="1" customWidth="1"/>
    <col min="12041" max="12043" width="8.21875" style="1" customWidth="1"/>
    <col min="12044" max="12045" width="5.21875" style="1" customWidth="1"/>
    <col min="12046" max="12046" width="16.88671875" style="1" bestFit="1" customWidth="1"/>
    <col min="12047" max="12288" width="8.88671875" style="1"/>
    <col min="12289" max="12289" width="6.6640625" style="1" bestFit="1" customWidth="1"/>
    <col min="12290" max="12290" width="23.33203125" style="1" bestFit="1" customWidth="1"/>
    <col min="12291" max="12291" width="7.88671875" style="1" customWidth="1"/>
    <col min="12292" max="12292" width="5.6640625" style="1" customWidth="1"/>
    <col min="12293" max="12293" width="8.44140625" style="1" customWidth="1"/>
    <col min="12294" max="12295" width="7.77734375" style="1" customWidth="1"/>
    <col min="12296" max="12296" width="10.109375" style="1" bestFit="1" customWidth="1"/>
    <col min="12297" max="12299" width="8.21875" style="1" customWidth="1"/>
    <col min="12300" max="12301" width="5.21875" style="1" customWidth="1"/>
    <col min="12302" max="12302" width="16.88671875" style="1" bestFit="1" customWidth="1"/>
    <col min="12303" max="12544" width="8.88671875" style="1"/>
    <col min="12545" max="12545" width="6.6640625" style="1" bestFit="1" customWidth="1"/>
    <col min="12546" max="12546" width="23.33203125" style="1" bestFit="1" customWidth="1"/>
    <col min="12547" max="12547" width="7.88671875" style="1" customWidth="1"/>
    <col min="12548" max="12548" width="5.6640625" style="1" customWidth="1"/>
    <col min="12549" max="12549" width="8.44140625" style="1" customWidth="1"/>
    <col min="12550" max="12551" width="7.77734375" style="1" customWidth="1"/>
    <col min="12552" max="12552" width="10.109375" style="1" bestFit="1" customWidth="1"/>
    <col min="12553" max="12555" width="8.21875" style="1" customWidth="1"/>
    <col min="12556" max="12557" width="5.21875" style="1" customWidth="1"/>
    <col min="12558" max="12558" width="16.88671875" style="1" bestFit="1" customWidth="1"/>
    <col min="12559" max="12800" width="8.88671875" style="1"/>
    <col min="12801" max="12801" width="6.6640625" style="1" bestFit="1" customWidth="1"/>
    <col min="12802" max="12802" width="23.33203125" style="1" bestFit="1" customWidth="1"/>
    <col min="12803" max="12803" width="7.88671875" style="1" customWidth="1"/>
    <col min="12804" max="12804" width="5.6640625" style="1" customWidth="1"/>
    <col min="12805" max="12805" width="8.44140625" style="1" customWidth="1"/>
    <col min="12806" max="12807" width="7.77734375" style="1" customWidth="1"/>
    <col min="12808" max="12808" width="10.109375" style="1" bestFit="1" customWidth="1"/>
    <col min="12809" max="12811" width="8.21875" style="1" customWidth="1"/>
    <col min="12812" max="12813" width="5.21875" style="1" customWidth="1"/>
    <col min="12814" max="12814" width="16.88671875" style="1" bestFit="1" customWidth="1"/>
    <col min="12815" max="13056" width="8.88671875" style="1"/>
    <col min="13057" max="13057" width="6.6640625" style="1" bestFit="1" customWidth="1"/>
    <col min="13058" max="13058" width="23.33203125" style="1" bestFit="1" customWidth="1"/>
    <col min="13059" max="13059" width="7.88671875" style="1" customWidth="1"/>
    <col min="13060" max="13060" width="5.6640625" style="1" customWidth="1"/>
    <col min="13061" max="13061" width="8.44140625" style="1" customWidth="1"/>
    <col min="13062" max="13063" width="7.77734375" style="1" customWidth="1"/>
    <col min="13064" max="13064" width="10.109375" style="1" bestFit="1" customWidth="1"/>
    <col min="13065" max="13067" width="8.21875" style="1" customWidth="1"/>
    <col min="13068" max="13069" width="5.21875" style="1" customWidth="1"/>
    <col min="13070" max="13070" width="16.88671875" style="1" bestFit="1" customWidth="1"/>
    <col min="13071" max="13312" width="8.88671875" style="1"/>
    <col min="13313" max="13313" width="6.6640625" style="1" bestFit="1" customWidth="1"/>
    <col min="13314" max="13314" width="23.33203125" style="1" bestFit="1" customWidth="1"/>
    <col min="13315" max="13315" width="7.88671875" style="1" customWidth="1"/>
    <col min="13316" max="13316" width="5.6640625" style="1" customWidth="1"/>
    <col min="13317" max="13317" width="8.44140625" style="1" customWidth="1"/>
    <col min="13318" max="13319" width="7.77734375" style="1" customWidth="1"/>
    <col min="13320" max="13320" width="10.109375" style="1" bestFit="1" customWidth="1"/>
    <col min="13321" max="13323" width="8.21875" style="1" customWidth="1"/>
    <col min="13324" max="13325" width="5.21875" style="1" customWidth="1"/>
    <col min="13326" max="13326" width="16.88671875" style="1" bestFit="1" customWidth="1"/>
    <col min="13327" max="13568" width="8.88671875" style="1"/>
    <col min="13569" max="13569" width="6.6640625" style="1" bestFit="1" customWidth="1"/>
    <col min="13570" max="13570" width="23.33203125" style="1" bestFit="1" customWidth="1"/>
    <col min="13571" max="13571" width="7.88671875" style="1" customWidth="1"/>
    <col min="13572" max="13572" width="5.6640625" style="1" customWidth="1"/>
    <col min="13573" max="13573" width="8.44140625" style="1" customWidth="1"/>
    <col min="13574" max="13575" width="7.77734375" style="1" customWidth="1"/>
    <col min="13576" max="13576" width="10.109375" style="1" bestFit="1" customWidth="1"/>
    <col min="13577" max="13579" width="8.21875" style="1" customWidth="1"/>
    <col min="13580" max="13581" width="5.21875" style="1" customWidth="1"/>
    <col min="13582" max="13582" width="16.88671875" style="1" bestFit="1" customWidth="1"/>
    <col min="13583" max="13824" width="8.88671875" style="1"/>
    <col min="13825" max="13825" width="6.6640625" style="1" bestFit="1" customWidth="1"/>
    <col min="13826" max="13826" width="23.33203125" style="1" bestFit="1" customWidth="1"/>
    <col min="13827" max="13827" width="7.88671875" style="1" customWidth="1"/>
    <col min="13828" max="13828" width="5.6640625" style="1" customWidth="1"/>
    <col min="13829" max="13829" width="8.44140625" style="1" customWidth="1"/>
    <col min="13830" max="13831" width="7.77734375" style="1" customWidth="1"/>
    <col min="13832" max="13832" width="10.109375" style="1" bestFit="1" customWidth="1"/>
    <col min="13833" max="13835" width="8.21875" style="1" customWidth="1"/>
    <col min="13836" max="13837" width="5.21875" style="1" customWidth="1"/>
    <col min="13838" max="13838" width="16.88671875" style="1" bestFit="1" customWidth="1"/>
    <col min="13839" max="14080" width="8.88671875" style="1"/>
    <col min="14081" max="14081" width="6.6640625" style="1" bestFit="1" customWidth="1"/>
    <col min="14082" max="14082" width="23.33203125" style="1" bestFit="1" customWidth="1"/>
    <col min="14083" max="14083" width="7.88671875" style="1" customWidth="1"/>
    <col min="14084" max="14084" width="5.6640625" style="1" customWidth="1"/>
    <col min="14085" max="14085" width="8.44140625" style="1" customWidth="1"/>
    <col min="14086" max="14087" width="7.77734375" style="1" customWidth="1"/>
    <col min="14088" max="14088" width="10.109375" style="1" bestFit="1" customWidth="1"/>
    <col min="14089" max="14091" width="8.21875" style="1" customWidth="1"/>
    <col min="14092" max="14093" width="5.21875" style="1" customWidth="1"/>
    <col min="14094" max="14094" width="16.88671875" style="1" bestFit="1" customWidth="1"/>
    <col min="14095" max="14336" width="8.88671875" style="1"/>
    <col min="14337" max="14337" width="6.6640625" style="1" bestFit="1" customWidth="1"/>
    <col min="14338" max="14338" width="23.33203125" style="1" bestFit="1" customWidth="1"/>
    <col min="14339" max="14339" width="7.88671875" style="1" customWidth="1"/>
    <col min="14340" max="14340" width="5.6640625" style="1" customWidth="1"/>
    <col min="14341" max="14341" width="8.44140625" style="1" customWidth="1"/>
    <col min="14342" max="14343" width="7.77734375" style="1" customWidth="1"/>
    <col min="14344" max="14344" width="10.109375" style="1" bestFit="1" customWidth="1"/>
    <col min="14345" max="14347" width="8.21875" style="1" customWidth="1"/>
    <col min="14348" max="14349" width="5.21875" style="1" customWidth="1"/>
    <col min="14350" max="14350" width="16.88671875" style="1" bestFit="1" customWidth="1"/>
    <col min="14351" max="14592" width="8.88671875" style="1"/>
    <col min="14593" max="14593" width="6.6640625" style="1" bestFit="1" customWidth="1"/>
    <col min="14594" max="14594" width="23.33203125" style="1" bestFit="1" customWidth="1"/>
    <col min="14595" max="14595" width="7.88671875" style="1" customWidth="1"/>
    <col min="14596" max="14596" width="5.6640625" style="1" customWidth="1"/>
    <col min="14597" max="14597" width="8.44140625" style="1" customWidth="1"/>
    <col min="14598" max="14599" width="7.77734375" style="1" customWidth="1"/>
    <col min="14600" max="14600" width="10.109375" style="1" bestFit="1" customWidth="1"/>
    <col min="14601" max="14603" width="8.21875" style="1" customWidth="1"/>
    <col min="14604" max="14605" width="5.21875" style="1" customWidth="1"/>
    <col min="14606" max="14606" width="16.88671875" style="1" bestFit="1" customWidth="1"/>
    <col min="14607" max="14848" width="8.88671875" style="1"/>
    <col min="14849" max="14849" width="6.6640625" style="1" bestFit="1" customWidth="1"/>
    <col min="14850" max="14850" width="23.33203125" style="1" bestFit="1" customWidth="1"/>
    <col min="14851" max="14851" width="7.88671875" style="1" customWidth="1"/>
    <col min="14852" max="14852" width="5.6640625" style="1" customWidth="1"/>
    <col min="14853" max="14853" width="8.44140625" style="1" customWidth="1"/>
    <col min="14854" max="14855" width="7.77734375" style="1" customWidth="1"/>
    <col min="14856" max="14856" width="10.109375" style="1" bestFit="1" customWidth="1"/>
    <col min="14857" max="14859" width="8.21875" style="1" customWidth="1"/>
    <col min="14860" max="14861" width="5.21875" style="1" customWidth="1"/>
    <col min="14862" max="14862" width="16.88671875" style="1" bestFit="1" customWidth="1"/>
    <col min="14863" max="15104" width="8.88671875" style="1"/>
    <col min="15105" max="15105" width="6.6640625" style="1" bestFit="1" customWidth="1"/>
    <col min="15106" max="15106" width="23.33203125" style="1" bestFit="1" customWidth="1"/>
    <col min="15107" max="15107" width="7.88671875" style="1" customWidth="1"/>
    <col min="15108" max="15108" width="5.6640625" style="1" customWidth="1"/>
    <col min="15109" max="15109" width="8.44140625" style="1" customWidth="1"/>
    <col min="15110" max="15111" width="7.77734375" style="1" customWidth="1"/>
    <col min="15112" max="15112" width="10.109375" style="1" bestFit="1" customWidth="1"/>
    <col min="15113" max="15115" width="8.21875" style="1" customWidth="1"/>
    <col min="15116" max="15117" width="5.21875" style="1" customWidth="1"/>
    <col min="15118" max="15118" width="16.88671875" style="1" bestFit="1" customWidth="1"/>
    <col min="15119" max="15360" width="8.88671875" style="1"/>
    <col min="15361" max="15361" width="6.6640625" style="1" bestFit="1" customWidth="1"/>
    <col min="15362" max="15362" width="23.33203125" style="1" bestFit="1" customWidth="1"/>
    <col min="15363" max="15363" width="7.88671875" style="1" customWidth="1"/>
    <col min="15364" max="15364" width="5.6640625" style="1" customWidth="1"/>
    <col min="15365" max="15365" width="8.44140625" style="1" customWidth="1"/>
    <col min="15366" max="15367" width="7.77734375" style="1" customWidth="1"/>
    <col min="15368" max="15368" width="10.109375" style="1" bestFit="1" customWidth="1"/>
    <col min="15369" max="15371" width="8.21875" style="1" customWidth="1"/>
    <col min="15372" max="15373" width="5.21875" style="1" customWidth="1"/>
    <col min="15374" max="15374" width="16.88671875" style="1" bestFit="1" customWidth="1"/>
    <col min="15375" max="15616" width="8.88671875" style="1"/>
    <col min="15617" max="15617" width="6.6640625" style="1" bestFit="1" customWidth="1"/>
    <col min="15618" max="15618" width="23.33203125" style="1" bestFit="1" customWidth="1"/>
    <col min="15619" max="15619" width="7.88671875" style="1" customWidth="1"/>
    <col min="15620" max="15620" width="5.6640625" style="1" customWidth="1"/>
    <col min="15621" max="15621" width="8.44140625" style="1" customWidth="1"/>
    <col min="15622" max="15623" width="7.77734375" style="1" customWidth="1"/>
    <col min="15624" max="15624" width="10.109375" style="1" bestFit="1" customWidth="1"/>
    <col min="15625" max="15627" width="8.21875" style="1" customWidth="1"/>
    <col min="15628" max="15629" width="5.21875" style="1" customWidth="1"/>
    <col min="15630" max="15630" width="16.88671875" style="1" bestFit="1" customWidth="1"/>
    <col min="15631" max="15872" width="8.88671875" style="1"/>
    <col min="15873" max="15873" width="6.6640625" style="1" bestFit="1" customWidth="1"/>
    <col min="15874" max="15874" width="23.33203125" style="1" bestFit="1" customWidth="1"/>
    <col min="15875" max="15875" width="7.88671875" style="1" customWidth="1"/>
    <col min="15876" max="15876" width="5.6640625" style="1" customWidth="1"/>
    <col min="15877" max="15877" width="8.44140625" style="1" customWidth="1"/>
    <col min="15878" max="15879" width="7.77734375" style="1" customWidth="1"/>
    <col min="15880" max="15880" width="10.109375" style="1" bestFit="1" customWidth="1"/>
    <col min="15881" max="15883" width="8.21875" style="1" customWidth="1"/>
    <col min="15884" max="15885" width="5.21875" style="1" customWidth="1"/>
    <col min="15886" max="15886" width="16.88671875" style="1" bestFit="1" customWidth="1"/>
    <col min="15887" max="16128" width="8.88671875" style="1"/>
    <col min="16129" max="16129" width="6.6640625" style="1" bestFit="1" customWidth="1"/>
    <col min="16130" max="16130" width="23.33203125" style="1" bestFit="1" customWidth="1"/>
    <col min="16131" max="16131" width="7.88671875" style="1" customWidth="1"/>
    <col min="16132" max="16132" width="5.6640625" style="1" customWidth="1"/>
    <col min="16133" max="16133" width="8.44140625" style="1" customWidth="1"/>
    <col min="16134" max="16135" width="7.77734375" style="1" customWidth="1"/>
    <col min="16136" max="16136" width="10.109375" style="1" bestFit="1" customWidth="1"/>
    <col min="16137" max="16139" width="8.21875" style="1" customWidth="1"/>
    <col min="16140" max="16141" width="5.21875" style="1" customWidth="1"/>
    <col min="16142" max="16142" width="16.88671875" style="1" bestFit="1" customWidth="1"/>
    <col min="16143" max="16384" width="8.88671875" style="1"/>
  </cols>
  <sheetData>
    <row r="1" spans="1:15" ht="21" customHeight="1" x14ac:dyDescent="0.1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2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</row>
    <row r="2" spans="1:15" x14ac:dyDescent="0.15">
      <c r="A2" s="1">
        <v>3825</v>
      </c>
      <c r="B2" s="3" t="s">
        <v>301</v>
      </c>
      <c r="C2" s="4" t="s">
        <v>302</v>
      </c>
      <c r="D2" s="5">
        <v>100</v>
      </c>
      <c r="E2" s="6">
        <v>1354</v>
      </c>
      <c r="F2" s="7">
        <v>70</v>
      </c>
      <c r="G2" s="8">
        <v>5.45</v>
      </c>
      <c r="H2" s="5">
        <v>3022200</v>
      </c>
      <c r="I2" s="5">
        <v>1298</v>
      </c>
      <c r="J2" s="5">
        <v>1360</v>
      </c>
      <c r="K2" s="5">
        <v>1264</v>
      </c>
      <c r="L2" s="9">
        <v>43263</v>
      </c>
      <c r="M2" s="10">
        <v>0.625</v>
      </c>
      <c r="N2" s="1" t="s">
        <v>313</v>
      </c>
      <c r="O2" s="5"/>
    </row>
    <row r="3" spans="1:15" x14ac:dyDescent="0.15">
      <c r="A3" s="1">
        <v>8704</v>
      </c>
      <c r="B3" s="3" t="s">
        <v>303</v>
      </c>
      <c r="C3" s="1" t="s">
        <v>304</v>
      </c>
      <c r="D3" s="5">
        <v>100</v>
      </c>
      <c r="E3" s="6">
        <v>116</v>
      </c>
      <c r="F3" s="7">
        <v>3</v>
      </c>
      <c r="G3" s="8">
        <v>2.65</v>
      </c>
      <c r="H3" s="5">
        <v>1258400</v>
      </c>
      <c r="I3" s="5">
        <v>113</v>
      </c>
      <c r="J3" s="5">
        <v>117</v>
      </c>
      <c r="K3" s="5">
        <v>113</v>
      </c>
      <c r="L3" s="9">
        <v>43263</v>
      </c>
      <c r="M3" s="10">
        <v>0.625</v>
      </c>
      <c r="N3" s="1" t="s">
        <v>314</v>
      </c>
      <c r="O3" s="5"/>
    </row>
    <row r="4" spans="1:15" x14ac:dyDescent="0.15">
      <c r="A4" s="1">
        <v>4597</v>
      </c>
      <c r="B4" s="3" t="s">
        <v>315</v>
      </c>
      <c r="C4" s="1" t="s">
        <v>316</v>
      </c>
      <c r="D4" s="5">
        <v>100</v>
      </c>
      <c r="E4" s="6">
        <v>315</v>
      </c>
      <c r="F4" s="7">
        <v>6</v>
      </c>
      <c r="G4" s="8">
        <v>1.94</v>
      </c>
      <c r="H4" s="5">
        <v>830200</v>
      </c>
      <c r="I4" s="5">
        <v>313</v>
      </c>
      <c r="J4" s="5">
        <v>316</v>
      </c>
      <c r="K4" s="5">
        <v>310</v>
      </c>
      <c r="L4" s="9">
        <v>43263</v>
      </c>
      <c r="M4" s="10">
        <v>0.625</v>
      </c>
      <c r="N4" s="1" t="s">
        <v>317</v>
      </c>
      <c r="O4" s="5"/>
    </row>
    <row r="5" spans="1:15" x14ac:dyDescent="0.15">
      <c r="A5" s="1">
        <v>4380</v>
      </c>
      <c r="B5" s="3" t="s">
        <v>318</v>
      </c>
      <c r="C5" s="4" t="s">
        <v>319</v>
      </c>
      <c r="D5" s="5">
        <v>100</v>
      </c>
      <c r="E5" s="6">
        <v>3685</v>
      </c>
      <c r="F5" s="7">
        <v>5</v>
      </c>
      <c r="G5" s="8">
        <v>0.14000000000000001</v>
      </c>
      <c r="H5" s="5">
        <v>5300</v>
      </c>
      <c r="I5" s="5">
        <v>3680</v>
      </c>
      <c r="J5" s="5">
        <v>3710</v>
      </c>
      <c r="K5" s="5">
        <v>3670</v>
      </c>
      <c r="L5" s="9">
        <v>43263</v>
      </c>
      <c r="M5" s="10">
        <v>0.625</v>
      </c>
      <c r="N5" s="1" t="s">
        <v>320</v>
      </c>
      <c r="O5" s="5"/>
    </row>
    <row r="6" spans="1:15" x14ac:dyDescent="0.15">
      <c r="A6" s="1">
        <v>3446</v>
      </c>
      <c r="B6" s="3" t="s">
        <v>321</v>
      </c>
      <c r="C6" s="4" t="s">
        <v>319</v>
      </c>
      <c r="D6" s="5">
        <v>100</v>
      </c>
      <c r="E6" s="6">
        <v>6670</v>
      </c>
      <c r="F6" s="7">
        <v>-200</v>
      </c>
      <c r="G6" s="8">
        <v>-2.91</v>
      </c>
      <c r="H6" s="5">
        <v>43700</v>
      </c>
      <c r="I6" s="5">
        <v>6900</v>
      </c>
      <c r="J6" s="5">
        <v>6920</v>
      </c>
      <c r="K6" s="5">
        <v>6580</v>
      </c>
      <c r="L6" s="9">
        <v>43263</v>
      </c>
      <c r="M6" s="10">
        <v>0.625</v>
      </c>
      <c r="N6" s="1" t="s">
        <v>320</v>
      </c>
      <c r="O6" s="5"/>
    </row>
    <row r="7" spans="1:15" x14ac:dyDescent="0.15">
      <c r="A7" s="1">
        <v>6567</v>
      </c>
      <c r="B7" s="3" t="s">
        <v>322</v>
      </c>
      <c r="C7" s="4" t="s">
        <v>319</v>
      </c>
      <c r="D7" s="5">
        <v>100</v>
      </c>
      <c r="E7" s="6">
        <v>2421</v>
      </c>
      <c r="F7" s="7">
        <v>2</v>
      </c>
      <c r="G7" s="8">
        <v>0.08</v>
      </c>
      <c r="H7" s="5">
        <v>8300</v>
      </c>
      <c r="I7" s="5">
        <v>2450</v>
      </c>
      <c r="J7" s="5">
        <v>2450</v>
      </c>
      <c r="K7" s="5">
        <v>2398</v>
      </c>
      <c r="L7" s="11">
        <v>43263</v>
      </c>
      <c r="M7" s="10">
        <v>0.625</v>
      </c>
      <c r="N7" s="1" t="s">
        <v>320</v>
      </c>
      <c r="O7" s="5"/>
    </row>
    <row r="8" spans="1:15" x14ac:dyDescent="0.15">
      <c r="A8" s="1">
        <v>6568</v>
      </c>
      <c r="B8" s="3" t="s">
        <v>323</v>
      </c>
      <c r="C8" s="1" t="s">
        <v>319</v>
      </c>
      <c r="D8" s="5">
        <v>100</v>
      </c>
      <c r="E8" s="5">
        <v>3700</v>
      </c>
      <c r="F8" s="7">
        <v>10</v>
      </c>
      <c r="G8" s="8">
        <v>0.27</v>
      </c>
      <c r="H8" s="5">
        <v>68500</v>
      </c>
      <c r="I8" s="5">
        <v>3720</v>
      </c>
      <c r="J8" s="5">
        <v>3730</v>
      </c>
      <c r="K8" s="5">
        <v>3600</v>
      </c>
      <c r="L8" s="11">
        <v>43263</v>
      </c>
      <c r="M8" s="10">
        <v>0.625</v>
      </c>
      <c r="N8" s="1" t="s">
        <v>320</v>
      </c>
      <c r="O8" s="5"/>
    </row>
    <row r="9" spans="1:15" x14ac:dyDescent="0.15">
      <c r="A9" s="1">
        <v>6569</v>
      </c>
      <c r="B9" s="3" t="s">
        <v>324</v>
      </c>
      <c r="C9" s="1" t="s">
        <v>325</v>
      </c>
      <c r="D9" s="5">
        <v>100</v>
      </c>
      <c r="E9" s="5">
        <v>5620</v>
      </c>
      <c r="F9" s="7">
        <v>-140</v>
      </c>
      <c r="G9" s="8">
        <v>-2.4300000000000002</v>
      </c>
      <c r="H9" s="5">
        <v>71700</v>
      </c>
      <c r="I9" s="5">
        <v>5760</v>
      </c>
      <c r="J9" s="5">
        <v>5830</v>
      </c>
      <c r="K9" s="5">
        <v>5530</v>
      </c>
      <c r="L9" s="11">
        <v>43263</v>
      </c>
      <c r="M9" s="10">
        <v>0.625</v>
      </c>
      <c r="N9" s="1" t="s">
        <v>320</v>
      </c>
      <c r="O9" s="5"/>
    </row>
    <row r="10" spans="1:15" x14ac:dyDescent="0.15">
      <c r="A10" s="1">
        <v>3489</v>
      </c>
      <c r="B10" s="3" t="s">
        <v>326</v>
      </c>
      <c r="C10" s="1" t="s">
        <v>319</v>
      </c>
      <c r="D10" s="5">
        <v>100</v>
      </c>
      <c r="E10" s="5">
        <v>2224</v>
      </c>
      <c r="F10" s="7">
        <v>34</v>
      </c>
      <c r="G10" s="8">
        <v>1.55</v>
      </c>
      <c r="H10" s="5">
        <v>35300</v>
      </c>
      <c r="I10" s="5">
        <v>2198</v>
      </c>
      <c r="J10" s="5">
        <v>2243</v>
      </c>
      <c r="K10" s="5">
        <v>2198</v>
      </c>
      <c r="L10" s="11">
        <v>43263</v>
      </c>
      <c r="M10" s="10">
        <v>0.625</v>
      </c>
      <c r="N10" s="1" t="s">
        <v>320</v>
      </c>
      <c r="O10" s="5"/>
    </row>
    <row r="11" spans="1:15" x14ac:dyDescent="0.15">
      <c r="A11" s="1">
        <v>6570</v>
      </c>
      <c r="B11" s="3" t="s">
        <v>327</v>
      </c>
      <c r="C11" s="1" t="s">
        <v>328</v>
      </c>
      <c r="D11" s="5">
        <v>100</v>
      </c>
      <c r="E11" s="5">
        <v>1698</v>
      </c>
      <c r="F11" s="7">
        <v>53</v>
      </c>
      <c r="G11" s="8">
        <v>3.22</v>
      </c>
      <c r="H11" s="5">
        <v>6400</v>
      </c>
      <c r="I11" s="5">
        <v>1682</v>
      </c>
      <c r="J11" s="5">
        <v>1699</v>
      </c>
      <c r="K11" s="5">
        <v>1666</v>
      </c>
      <c r="L11" s="11">
        <v>43263</v>
      </c>
      <c r="M11" s="10">
        <v>0.625</v>
      </c>
      <c r="N11" s="1" t="s">
        <v>320</v>
      </c>
      <c r="O11" s="5"/>
    </row>
    <row r="12" spans="1:15" x14ac:dyDescent="0.15">
      <c r="A12" s="1">
        <v>3447</v>
      </c>
      <c r="B12" s="3" t="s">
        <v>305</v>
      </c>
      <c r="C12" s="4" t="s">
        <v>328</v>
      </c>
      <c r="D12" s="5">
        <v>100</v>
      </c>
      <c r="E12" s="5">
        <v>1144</v>
      </c>
      <c r="F12" s="7">
        <v>50</v>
      </c>
      <c r="G12" s="8">
        <v>4.57</v>
      </c>
      <c r="H12" s="5">
        <v>181500</v>
      </c>
      <c r="I12" s="5">
        <v>1099</v>
      </c>
      <c r="J12" s="5">
        <v>1155</v>
      </c>
      <c r="K12" s="5">
        <v>1096</v>
      </c>
      <c r="L12" s="11">
        <v>43263</v>
      </c>
      <c r="M12" s="10">
        <v>0.625</v>
      </c>
      <c r="N12" s="1" t="s">
        <v>320</v>
      </c>
      <c r="O12" s="5"/>
    </row>
    <row r="13" spans="1:15" x14ac:dyDescent="0.15">
      <c r="A13" s="1">
        <v>9270</v>
      </c>
      <c r="B13" s="3" t="s">
        <v>329</v>
      </c>
      <c r="C13" s="4" t="s">
        <v>319</v>
      </c>
      <c r="D13" s="5">
        <v>100</v>
      </c>
      <c r="E13" s="5">
        <v>6230</v>
      </c>
      <c r="F13" s="7">
        <v>270</v>
      </c>
      <c r="G13" s="8">
        <v>4.53</v>
      </c>
      <c r="H13" s="5">
        <v>117800</v>
      </c>
      <c r="I13" s="5">
        <v>6000</v>
      </c>
      <c r="J13" s="5">
        <v>6230</v>
      </c>
      <c r="K13" s="5">
        <v>5900</v>
      </c>
      <c r="L13" s="11">
        <v>43263</v>
      </c>
      <c r="M13" s="10">
        <v>0.625</v>
      </c>
      <c r="N13" s="1" t="s">
        <v>320</v>
      </c>
      <c r="O13" s="5"/>
    </row>
    <row r="14" spans="1:15" x14ac:dyDescent="0.15">
      <c r="A14" s="1">
        <v>6571</v>
      </c>
      <c r="B14" s="3" t="s">
        <v>330</v>
      </c>
      <c r="C14" s="1" t="s">
        <v>325</v>
      </c>
      <c r="D14" s="5">
        <v>100</v>
      </c>
      <c r="E14" s="5">
        <v>1815</v>
      </c>
      <c r="F14" s="7">
        <v>7</v>
      </c>
      <c r="G14" s="8">
        <v>0.39</v>
      </c>
      <c r="H14" s="5">
        <v>170000</v>
      </c>
      <c r="I14" s="5">
        <v>1808</v>
      </c>
      <c r="J14" s="5">
        <v>1820</v>
      </c>
      <c r="K14" s="5">
        <v>1750</v>
      </c>
      <c r="L14" s="11">
        <v>43263</v>
      </c>
      <c r="M14" s="10">
        <v>0.625</v>
      </c>
      <c r="N14" s="1" t="s">
        <v>320</v>
      </c>
      <c r="O14" s="5"/>
    </row>
    <row r="15" spans="1:15" x14ac:dyDescent="0.15">
      <c r="A15" s="1">
        <v>9450</v>
      </c>
      <c r="B15" s="3" t="s">
        <v>331</v>
      </c>
      <c r="C15" s="4" t="s">
        <v>319</v>
      </c>
      <c r="D15" s="5">
        <v>100</v>
      </c>
      <c r="E15" s="5">
        <v>3595</v>
      </c>
      <c r="F15" s="7">
        <v>155</v>
      </c>
      <c r="G15" s="8">
        <v>4.51</v>
      </c>
      <c r="H15" s="5">
        <v>110700</v>
      </c>
      <c r="I15" s="5">
        <v>3460</v>
      </c>
      <c r="J15" s="5">
        <v>3680</v>
      </c>
      <c r="K15" s="5">
        <v>3420</v>
      </c>
      <c r="L15" s="11">
        <v>43263</v>
      </c>
      <c r="M15" s="10">
        <v>0.625</v>
      </c>
      <c r="N15" s="1" t="s">
        <v>320</v>
      </c>
      <c r="O15" s="5"/>
    </row>
    <row r="16" spans="1:15" x14ac:dyDescent="0.15">
      <c r="A16" s="1">
        <v>6572</v>
      </c>
      <c r="B16" s="3" t="s">
        <v>306</v>
      </c>
      <c r="C16" s="1" t="s">
        <v>319</v>
      </c>
      <c r="D16" s="5">
        <v>100</v>
      </c>
      <c r="E16" s="5">
        <v>14000</v>
      </c>
      <c r="F16" s="7">
        <v>-250</v>
      </c>
      <c r="G16" s="8">
        <v>-1.75</v>
      </c>
      <c r="H16" s="5">
        <v>15900</v>
      </c>
      <c r="I16" s="5">
        <v>14420</v>
      </c>
      <c r="J16" s="5">
        <v>14420</v>
      </c>
      <c r="K16" s="5">
        <v>13900</v>
      </c>
      <c r="L16" s="11">
        <v>43263</v>
      </c>
      <c r="M16" s="10">
        <v>0.625</v>
      </c>
      <c r="N16" s="1" t="s">
        <v>320</v>
      </c>
      <c r="O16" s="5"/>
    </row>
    <row r="17" spans="1:15" x14ac:dyDescent="0.15">
      <c r="A17" s="1">
        <v>6573</v>
      </c>
      <c r="B17" s="3" t="s">
        <v>332</v>
      </c>
      <c r="C17" s="1" t="s">
        <v>319</v>
      </c>
      <c r="D17" s="5">
        <v>100</v>
      </c>
      <c r="E17" s="5">
        <v>10080</v>
      </c>
      <c r="F17" s="7">
        <v>220</v>
      </c>
      <c r="G17" s="8">
        <v>2.23</v>
      </c>
      <c r="H17" s="5">
        <v>27000</v>
      </c>
      <c r="I17" s="5">
        <v>10000</v>
      </c>
      <c r="J17" s="5">
        <v>10350</v>
      </c>
      <c r="K17" s="5">
        <v>9870</v>
      </c>
      <c r="L17" s="11">
        <v>43263</v>
      </c>
      <c r="M17" s="10">
        <v>0.625</v>
      </c>
      <c r="N17" s="1" t="s">
        <v>320</v>
      </c>
      <c r="O17" s="5"/>
    </row>
    <row r="18" spans="1:15" x14ac:dyDescent="0.15">
      <c r="A18" s="1">
        <v>3490</v>
      </c>
      <c r="B18" s="3" t="s">
        <v>333</v>
      </c>
      <c r="C18" s="4" t="s">
        <v>307</v>
      </c>
      <c r="D18" s="5">
        <v>100</v>
      </c>
      <c r="E18" s="5">
        <v>4120</v>
      </c>
      <c r="F18" s="7">
        <v>320</v>
      </c>
      <c r="G18" s="8">
        <v>8.42</v>
      </c>
      <c r="H18" s="5">
        <v>16000</v>
      </c>
      <c r="I18" s="5">
        <v>3775</v>
      </c>
      <c r="J18" s="5">
        <v>4295</v>
      </c>
      <c r="K18" s="5">
        <v>3775</v>
      </c>
      <c r="L18" s="11">
        <v>43263</v>
      </c>
      <c r="M18" s="10">
        <v>0.625</v>
      </c>
      <c r="N18" s="1" t="s">
        <v>320</v>
      </c>
      <c r="O18" s="5"/>
    </row>
    <row r="19" spans="1:15" x14ac:dyDescent="0.15">
      <c r="A19" s="1">
        <v>9271</v>
      </c>
      <c r="B19" s="3" t="s">
        <v>334</v>
      </c>
      <c r="C19" s="1" t="s">
        <v>319</v>
      </c>
      <c r="D19" s="5">
        <v>100</v>
      </c>
      <c r="E19" s="5">
        <v>3240</v>
      </c>
      <c r="F19" s="7">
        <v>205</v>
      </c>
      <c r="G19" s="8">
        <v>6.75</v>
      </c>
      <c r="H19" s="5">
        <v>29700</v>
      </c>
      <c r="I19" s="5">
        <v>3035</v>
      </c>
      <c r="J19" s="5">
        <v>3300</v>
      </c>
      <c r="K19" s="5">
        <v>2975</v>
      </c>
      <c r="L19" s="11">
        <v>43263</v>
      </c>
      <c r="M19" s="10">
        <v>0.625</v>
      </c>
      <c r="N19" s="1" t="s">
        <v>320</v>
      </c>
      <c r="O19" s="5"/>
    </row>
    <row r="20" spans="1:15" x14ac:dyDescent="0.15">
      <c r="A20" s="1">
        <v>7320</v>
      </c>
      <c r="B20" s="3" t="s">
        <v>335</v>
      </c>
      <c r="C20" s="1" t="s">
        <v>319</v>
      </c>
      <c r="D20" s="5">
        <v>100</v>
      </c>
      <c r="E20" s="5">
        <v>3575</v>
      </c>
      <c r="F20" s="7">
        <v>30</v>
      </c>
      <c r="G20" s="8">
        <v>0.85</v>
      </c>
      <c r="H20" s="5">
        <v>1100</v>
      </c>
      <c r="I20" s="5">
        <v>3685</v>
      </c>
      <c r="J20" s="5">
        <v>3685</v>
      </c>
      <c r="K20" s="5">
        <v>3505</v>
      </c>
      <c r="L20" s="11">
        <v>43263</v>
      </c>
      <c r="M20" s="10">
        <v>0.62430555555555556</v>
      </c>
      <c r="N20" s="1" t="s">
        <v>320</v>
      </c>
      <c r="O20" s="5"/>
    </row>
    <row r="21" spans="1:15" x14ac:dyDescent="0.15">
      <c r="A21" s="1">
        <v>9272</v>
      </c>
      <c r="B21" s="3" t="s">
        <v>336</v>
      </c>
      <c r="C21" s="1" t="s">
        <v>319</v>
      </c>
      <c r="D21" s="5">
        <v>100</v>
      </c>
      <c r="E21" s="5">
        <v>4085</v>
      </c>
      <c r="F21" s="7">
        <v>10</v>
      </c>
      <c r="G21" s="8">
        <v>0.25</v>
      </c>
      <c r="H21" s="5">
        <v>3700</v>
      </c>
      <c r="I21" s="5">
        <v>4075</v>
      </c>
      <c r="J21" s="5">
        <v>4175</v>
      </c>
      <c r="K21" s="5">
        <v>4075</v>
      </c>
      <c r="L21" s="11">
        <v>43263</v>
      </c>
      <c r="M21" s="10">
        <v>0.625</v>
      </c>
      <c r="N21" s="1" t="s">
        <v>320</v>
      </c>
      <c r="O21" s="5"/>
    </row>
    <row r="22" spans="1:15" x14ac:dyDescent="0.15">
      <c r="A22" s="1">
        <v>4381</v>
      </c>
      <c r="B22" s="3" t="s">
        <v>337</v>
      </c>
      <c r="C22" s="1" t="s">
        <v>319</v>
      </c>
      <c r="D22" s="5">
        <v>100</v>
      </c>
      <c r="E22" s="5">
        <v>9950</v>
      </c>
      <c r="F22" s="7">
        <v>-260</v>
      </c>
      <c r="G22" s="8">
        <v>-2.5499999999999998</v>
      </c>
      <c r="H22" s="5">
        <v>30700</v>
      </c>
      <c r="I22" s="5">
        <v>10110</v>
      </c>
      <c r="J22" s="5">
        <v>10300</v>
      </c>
      <c r="K22" s="5">
        <v>9860</v>
      </c>
      <c r="L22" s="11">
        <v>43263</v>
      </c>
      <c r="M22" s="10">
        <v>0.625</v>
      </c>
      <c r="N22" s="1" t="s">
        <v>320</v>
      </c>
      <c r="O22" s="5"/>
    </row>
    <row r="23" spans="1:15" x14ac:dyDescent="0.15">
      <c r="A23" s="1">
        <v>6575</v>
      </c>
      <c r="B23" s="3" t="s">
        <v>308</v>
      </c>
      <c r="C23" s="1" t="s">
        <v>319</v>
      </c>
      <c r="D23" s="5">
        <v>100</v>
      </c>
      <c r="E23" s="5">
        <v>2976</v>
      </c>
      <c r="F23" s="7">
        <v>-174</v>
      </c>
      <c r="G23" s="8">
        <v>-5.52</v>
      </c>
      <c r="H23" s="5">
        <v>133600</v>
      </c>
      <c r="I23" s="5">
        <v>3180</v>
      </c>
      <c r="J23" s="5">
        <v>3190</v>
      </c>
      <c r="K23" s="5">
        <v>2899</v>
      </c>
      <c r="L23" s="11">
        <v>43263</v>
      </c>
      <c r="M23" s="10">
        <v>0.625</v>
      </c>
      <c r="N23" s="1" t="s">
        <v>320</v>
      </c>
      <c r="O23" s="5"/>
    </row>
    <row r="24" spans="1:15" x14ac:dyDescent="0.15">
      <c r="A24" s="1">
        <v>6574</v>
      </c>
      <c r="B24" s="3" t="s">
        <v>338</v>
      </c>
      <c r="C24" s="1" t="s">
        <v>319</v>
      </c>
      <c r="D24" s="5">
        <v>100</v>
      </c>
      <c r="E24" s="5">
        <v>2172</v>
      </c>
      <c r="F24" s="7">
        <v>-79</v>
      </c>
      <c r="G24" s="8">
        <v>-3.51</v>
      </c>
      <c r="H24" s="5">
        <v>85100</v>
      </c>
      <c r="I24" s="5">
        <v>2298</v>
      </c>
      <c r="J24" s="5">
        <v>2298</v>
      </c>
      <c r="K24" s="5">
        <v>2125</v>
      </c>
      <c r="L24" s="11">
        <v>43263</v>
      </c>
      <c r="M24" s="10">
        <v>0.625</v>
      </c>
      <c r="N24" s="1" t="s">
        <v>320</v>
      </c>
      <c r="O24" s="5"/>
    </row>
    <row r="25" spans="1:15" x14ac:dyDescent="0.15">
      <c r="A25" s="1">
        <v>4382</v>
      </c>
      <c r="B25" s="3" t="s">
        <v>309</v>
      </c>
      <c r="C25" s="1" t="s">
        <v>319</v>
      </c>
      <c r="D25" s="5">
        <v>100</v>
      </c>
      <c r="E25" s="5">
        <v>20410</v>
      </c>
      <c r="F25" s="7">
        <v>-110</v>
      </c>
      <c r="G25" s="8">
        <v>-0.54</v>
      </c>
      <c r="H25" s="5">
        <v>33400</v>
      </c>
      <c r="I25" s="5">
        <v>20440</v>
      </c>
      <c r="J25" s="5">
        <v>20740</v>
      </c>
      <c r="K25" s="5">
        <v>20300</v>
      </c>
      <c r="L25" s="11">
        <v>43263</v>
      </c>
      <c r="M25" s="10">
        <v>0.625</v>
      </c>
      <c r="N25" s="1" t="s">
        <v>320</v>
      </c>
      <c r="O25" s="5"/>
    </row>
    <row r="26" spans="1:15" x14ac:dyDescent="0.15">
      <c r="A26" s="1">
        <v>6577</v>
      </c>
      <c r="B26" s="3" t="s">
        <v>310</v>
      </c>
      <c r="C26" s="1" t="s">
        <v>319</v>
      </c>
      <c r="D26" s="5">
        <v>100</v>
      </c>
      <c r="E26" s="5">
        <v>12530</v>
      </c>
      <c r="F26" s="7">
        <v>530</v>
      </c>
      <c r="G26" s="8">
        <v>4.42</v>
      </c>
      <c r="H26" s="5">
        <v>12800</v>
      </c>
      <c r="I26" s="5">
        <v>12000</v>
      </c>
      <c r="J26" s="5">
        <v>12530</v>
      </c>
      <c r="K26" s="5">
        <v>11550</v>
      </c>
      <c r="L26" s="11">
        <v>43263</v>
      </c>
      <c r="M26" s="10">
        <v>0.625</v>
      </c>
      <c r="N26" s="1" t="s">
        <v>320</v>
      </c>
      <c r="O26" s="5"/>
    </row>
    <row r="27" spans="1:15" x14ac:dyDescent="0.15">
      <c r="A27" s="1">
        <v>7323</v>
      </c>
      <c r="B27" s="3" t="s">
        <v>311</v>
      </c>
      <c r="C27" s="1" t="s">
        <v>319</v>
      </c>
      <c r="D27" s="5">
        <v>100</v>
      </c>
      <c r="E27" s="5">
        <v>3815</v>
      </c>
      <c r="F27" s="7">
        <v>-5</v>
      </c>
      <c r="G27" s="8">
        <v>-0.13</v>
      </c>
      <c r="H27" s="5">
        <v>17200</v>
      </c>
      <c r="I27" s="5">
        <v>3820</v>
      </c>
      <c r="J27" s="5">
        <v>3850</v>
      </c>
      <c r="K27" s="5">
        <v>3750</v>
      </c>
      <c r="L27" s="11">
        <v>43263</v>
      </c>
      <c r="M27" s="10">
        <v>0.625</v>
      </c>
      <c r="N27" s="1" t="s">
        <v>320</v>
      </c>
      <c r="O27" s="5"/>
    </row>
    <row r="28" spans="1:15" x14ac:dyDescent="0.15">
      <c r="A28" s="1">
        <v>6578</v>
      </c>
      <c r="B28" s="3" t="s">
        <v>312</v>
      </c>
      <c r="C28" s="1" t="s">
        <v>307</v>
      </c>
      <c r="D28" s="5">
        <v>100</v>
      </c>
      <c r="E28" s="5">
        <v>2481</v>
      </c>
      <c r="F28" s="7">
        <v>-76</v>
      </c>
      <c r="G28" s="8">
        <v>-2.97</v>
      </c>
      <c r="H28" s="5">
        <v>9300</v>
      </c>
      <c r="I28" s="5">
        <v>2563</v>
      </c>
      <c r="J28" s="5">
        <v>2563</v>
      </c>
      <c r="K28" s="5">
        <v>2461</v>
      </c>
      <c r="L28" s="11">
        <v>43263</v>
      </c>
      <c r="M28" s="10">
        <v>0.625</v>
      </c>
      <c r="N28" s="1" t="s">
        <v>320</v>
      </c>
      <c r="O28" s="5"/>
    </row>
    <row r="29" spans="1:15" x14ac:dyDescent="0.15">
      <c r="A29" s="1">
        <v>4384</v>
      </c>
      <c r="B29" s="3" t="s">
        <v>339</v>
      </c>
      <c r="C29" s="1" t="s">
        <v>319</v>
      </c>
      <c r="D29" s="5">
        <v>100</v>
      </c>
      <c r="E29" s="5">
        <v>2073</v>
      </c>
      <c r="F29" s="7">
        <v>18</v>
      </c>
      <c r="G29" s="8">
        <v>0.88</v>
      </c>
      <c r="H29" s="5">
        <v>122900</v>
      </c>
      <c r="I29" s="5">
        <v>2045</v>
      </c>
      <c r="J29" s="5">
        <v>2079</v>
      </c>
      <c r="K29" s="5">
        <v>2016</v>
      </c>
      <c r="L29" s="11">
        <v>43263</v>
      </c>
      <c r="M29" s="10">
        <v>0.625</v>
      </c>
      <c r="N29" s="1" t="s">
        <v>320</v>
      </c>
      <c r="O29" s="5"/>
    </row>
    <row r="30" spans="1:15" x14ac:dyDescent="0.15">
      <c r="B30" s="3"/>
      <c r="D30" s="5"/>
      <c r="E30" s="5"/>
      <c r="F30" s="7"/>
      <c r="G30" s="8"/>
      <c r="H30" s="5"/>
      <c r="I30" s="5"/>
      <c r="J30" s="5"/>
      <c r="K30" s="5"/>
      <c r="L30" s="11"/>
      <c r="M30" s="10"/>
      <c r="O30" s="5"/>
    </row>
    <row r="31" spans="1:15" x14ac:dyDescent="0.15">
      <c r="B31" s="3"/>
      <c r="D31" s="5"/>
      <c r="E31" s="5"/>
      <c r="F31" s="7"/>
      <c r="G31" s="8"/>
      <c r="H31" s="5"/>
      <c r="I31" s="5"/>
      <c r="J31" s="5"/>
      <c r="K31" s="5"/>
      <c r="L31" s="11"/>
      <c r="M31" s="10"/>
      <c r="O31" s="5"/>
    </row>
    <row r="32" spans="1:15" x14ac:dyDescent="0.15">
      <c r="B32" s="3"/>
      <c r="D32" s="5"/>
      <c r="E32" s="5"/>
      <c r="F32" s="7"/>
      <c r="G32" s="8"/>
      <c r="H32" s="5"/>
      <c r="I32" s="5"/>
      <c r="J32" s="5"/>
      <c r="K32" s="5"/>
      <c r="L32" s="11"/>
      <c r="M32" s="10"/>
      <c r="O32" s="5"/>
    </row>
    <row r="33" spans="2:15" x14ac:dyDescent="0.15">
      <c r="B33" s="3"/>
      <c r="D33" s="5"/>
      <c r="E33" s="5"/>
      <c r="F33" s="7"/>
      <c r="G33" s="8"/>
      <c r="H33" s="5"/>
      <c r="I33" s="5"/>
      <c r="J33" s="5"/>
      <c r="K33" s="5"/>
      <c r="L33" s="11"/>
      <c r="M33" s="10"/>
      <c r="O33" s="5"/>
    </row>
    <row r="34" spans="2:15" x14ac:dyDescent="0.15">
      <c r="B34" s="3"/>
      <c r="D34" s="5"/>
      <c r="E34" s="5"/>
      <c r="F34" s="7"/>
      <c r="G34" s="8"/>
      <c r="H34" s="5"/>
      <c r="I34" s="5"/>
      <c r="J34" s="5"/>
      <c r="K34" s="5"/>
      <c r="L34" s="11"/>
      <c r="M34" s="10"/>
      <c r="O34" s="5"/>
    </row>
    <row r="35" spans="2:15" x14ac:dyDescent="0.15">
      <c r="B35" s="3"/>
      <c r="D35" s="5"/>
      <c r="E35" s="5"/>
      <c r="F35" s="7"/>
      <c r="G35" s="8"/>
      <c r="H35" s="5"/>
      <c r="I35" s="5"/>
      <c r="J35" s="5"/>
      <c r="K35" s="5"/>
      <c r="L35" s="11"/>
      <c r="M35" s="10"/>
      <c r="O35" s="5"/>
    </row>
    <row r="36" spans="2:15" x14ac:dyDescent="0.15">
      <c r="B36" s="3"/>
      <c r="D36" s="5"/>
      <c r="E36" s="5"/>
      <c r="F36" s="7"/>
      <c r="G36" s="8"/>
      <c r="H36" s="5"/>
      <c r="I36" s="5"/>
      <c r="J36" s="5"/>
      <c r="K36" s="5"/>
      <c r="L36" s="11"/>
      <c r="M36" s="10"/>
      <c r="O36" s="5"/>
    </row>
    <row r="37" spans="2:15" x14ac:dyDescent="0.15">
      <c r="B37" s="3"/>
      <c r="D37" s="5"/>
      <c r="E37" s="5"/>
      <c r="F37" s="7"/>
      <c r="G37" s="8"/>
      <c r="H37" s="5"/>
      <c r="I37" s="5"/>
      <c r="J37" s="5"/>
      <c r="K37" s="5"/>
      <c r="L37" s="11"/>
      <c r="M37" s="10"/>
      <c r="O37" s="5"/>
    </row>
    <row r="38" spans="2:15" x14ac:dyDescent="0.15">
      <c r="B38" s="3"/>
      <c r="D38" s="5"/>
      <c r="E38" s="5"/>
      <c r="F38" s="7"/>
      <c r="G38" s="8"/>
      <c r="H38" s="5"/>
      <c r="I38" s="5"/>
      <c r="J38" s="5"/>
      <c r="K38" s="5"/>
      <c r="L38" s="11"/>
      <c r="M38" s="10"/>
      <c r="O38" s="5"/>
    </row>
    <row r="39" spans="2:15" x14ac:dyDescent="0.15">
      <c r="B39" s="3"/>
      <c r="D39" s="5"/>
      <c r="E39" s="5"/>
      <c r="F39" s="7"/>
      <c r="G39" s="8"/>
      <c r="H39" s="5"/>
      <c r="I39" s="5"/>
      <c r="J39" s="5"/>
      <c r="K39" s="5"/>
      <c r="L39" s="11"/>
      <c r="M39" s="10"/>
      <c r="O39" s="5"/>
    </row>
    <row r="40" spans="2:15" x14ac:dyDescent="0.15">
      <c r="B40" s="3"/>
      <c r="D40" s="5"/>
      <c r="E40" s="5"/>
      <c r="F40" s="7"/>
      <c r="G40" s="8"/>
      <c r="H40" s="5"/>
      <c r="I40" s="5"/>
      <c r="J40" s="5"/>
      <c r="K40" s="5"/>
      <c r="L40" s="11"/>
      <c r="M40" s="10"/>
      <c r="O40" s="5"/>
    </row>
    <row r="41" spans="2:15" x14ac:dyDescent="0.15">
      <c r="B41" s="3"/>
      <c r="D41" s="5"/>
      <c r="E41" s="5"/>
      <c r="F41" s="7"/>
      <c r="G41" s="8"/>
      <c r="H41" s="5"/>
      <c r="I41" s="5"/>
      <c r="J41" s="5"/>
      <c r="K41" s="5"/>
      <c r="L41" s="11"/>
      <c r="M41" s="10"/>
      <c r="O41" s="5"/>
    </row>
    <row r="42" spans="2:15" x14ac:dyDescent="0.15">
      <c r="B42" s="3"/>
      <c r="D42" s="5"/>
      <c r="E42" s="5"/>
      <c r="F42" s="7"/>
      <c r="G42" s="8"/>
      <c r="H42" s="5"/>
      <c r="I42" s="5"/>
      <c r="J42" s="5"/>
      <c r="K42" s="5"/>
      <c r="L42" s="11"/>
      <c r="M42" s="10"/>
      <c r="O42" s="5"/>
    </row>
    <row r="43" spans="2:15" x14ac:dyDescent="0.15">
      <c r="B43" s="3"/>
      <c r="D43" s="5"/>
      <c r="E43" s="5"/>
      <c r="F43" s="7"/>
      <c r="G43" s="8"/>
      <c r="H43" s="5"/>
      <c r="I43" s="5"/>
      <c r="J43" s="5"/>
      <c r="K43" s="5"/>
      <c r="L43" s="11"/>
      <c r="M43" s="10"/>
      <c r="O43" s="5"/>
    </row>
    <row r="44" spans="2:15" x14ac:dyDescent="0.15">
      <c r="B44" s="3"/>
      <c r="D44" s="5"/>
      <c r="E44" s="5"/>
      <c r="F44" s="7"/>
      <c r="G44" s="8"/>
      <c r="H44" s="5"/>
      <c r="I44" s="5"/>
      <c r="J44" s="5"/>
      <c r="K44" s="5"/>
      <c r="L44" s="11"/>
      <c r="M44" s="10"/>
      <c r="O44" s="5"/>
    </row>
    <row r="45" spans="2:15" x14ac:dyDescent="0.15">
      <c r="B45" s="3"/>
      <c r="D45" s="5"/>
      <c r="E45" s="5"/>
      <c r="F45" s="7"/>
      <c r="G45" s="8"/>
      <c r="H45" s="5"/>
      <c r="I45" s="5"/>
      <c r="J45" s="5"/>
      <c r="K45" s="5"/>
      <c r="L45" s="11"/>
      <c r="M45" s="10"/>
      <c r="O45" s="5"/>
    </row>
    <row r="46" spans="2:15" x14ac:dyDescent="0.15">
      <c r="B46" s="3"/>
      <c r="D46" s="5"/>
      <c r="E46" s="5"/>
      <c r="F46" s="7"/>
      <c r="G46" s="8"/>
      <c r="H46" s="5"/>
      <c r="I46" s="5"/>
      <c r="J46" s="5"/>
      <c r="K46" s="5"/>
      <c r="L46" s="11"/>
      <c r="M46" s="10"/>
      <c r="O46" s="5"/>
    </row>
    <row r="47" spans="2:15" x14ac:dyDescent="0.15">
      <c r="B47" s="3"/>
      <c r="D47" s="5"/>
      <c r="E47" s="5"/>
      <c r="F47" s="7"/>
      <c r="G47" s="8"/>
      <c r="H47" s="5"/>
      <c r="I47" s="5"/>
      <c r="J47" s="5"/>
      <c r="K47" s="5"/>
      <c r="L47" s="11"/>
      <c r="M47" s="10"/>
      <c r="O47" s="5"/>
    </row>
    <row r="48" spans="2:15" x14ac:dyDescent="0.15">
      <c r="B48" s="3"/>
      <c r="D48" s="5"/>
      <c r="E48" s="5"/>
      <c r="F48" s="7"/>
      <c r="G48" s="8"/>
      <c r="H48" s="5"/>
      <c r="I48" s="5"/>
      <c r="J48" s="5"/>
      <c r="K48" s="5"/>
      <c r="L48" s="11"/>
      <c r="M48" s="10"/>
      <c r="O48" s="5"/>
    </row>
    <row r="49" spans="2:15" x14ac:dyDescent="0.15">
      <c r="B49" s="3"/>
      <c r="D49" s="5"/>
      <c r="E49" s="5"/>
      <c r="F49" s="7"/>
      <c r="G49" s="8"/>
      <c r="H49" s="5"/>
      <c r="I49" s="5"/>
      <c r="J49" s="5"/>
      <c r="K49" s="5"/>
      <c r="L49" s="11"/>
      <c r="M49" s="10"/>
      <c r="O49" s="5"/>
    </row>
    <row r="50" spans="2:15" x14ac:dyDescent="0.15">
      <c r="B50" s="3"/>
      <c r="D50" s="5"/>
      <c r="E50" s="5"/>
      <c r="F50" s="7"/>
      <c r="G50" s="8"/>
      <c r="H50" s="5"/>
      <c r="I50" s="5"/>
      <c r="J50" s="5"/>
      <c r="K50" s="5"/>
      <c r="L50" s="11"/>
      <c r="M50" s="10"/>
      <c r="O50" s="5"/>
    </row>
    <row r="51" spans="2:15" x14ac:dyDescent="0.15">
      <c r="B51" s="3"/>
      <c r="D51" s="5"/>
      <c r="E51" s="5"/>
      <c r="F51" s="7"/>
      <c r="G51" s="8"/>
      <c r="H51" s="5"/>
      <c r="I51" s="5"/>
      <c r="J51" s="5"/>
      <c r="K51" s="5"/>
      <c r="L51" s="11"/>
      <c r="M51" s="10"/>
      <c r="O51" s="5"/>
    </row>
    <row r="52" spans="2:15" x14ac:dyDescent="0.15">
      <c r="B52" s="3"/>
      <c r="D52" s="5"/>
      <c r="E52" s="5"/>
      <c r="F52" s="7"/>
      <c r="G52" s="8"/>
      <c r="H52" s="5"/>
      <c r="I52" s="5"/>
      <c r="J52" s="5"/>
      <c r="K52" s="5"/>
      <c r="L52" s="11"/>
      <c r="M52" s="10"/>
      <c r="O52" s="5"/>
    </row>
    <row r="53" spans="2:15" x14ac:dyDescent="0.15">
      <c r="B53" s="3"/>
      <c r="D53" s="5"/>
      <c r="E53" s="5"/>
      <c r="F53" s="7"/>
      <c r="G53" s="8"/>
      <c r="H53" s="5"/>
      <c r="I53" s="5"/>
      <c r="J53" s="5"/>
      <c r="K53" s="5"/>
      <c r="L53" s="11"/>
      <c r="M53" s="10"/>
      <c r="O53" s="5"/>
    </row>
    <row r="54" spans="2:15" x14ac:dyDescent="0.15">
      <c r="B54" s="3"/>
      <c r="D54" s="5"/>
      <c r="E54" s="5"/>
      <c r="F54" s="7"/>
      <c r="G54" s="8"/>
      <c r="H54" s="5"/>
      <c r="I54" s="5"/>
      <c r="J54" s="5"/>
      <c r="K54" s="5"/>
      <c r="L54" s="11"/>
      <c r="M54" s="10"/>
      <c r="O54" s="5"/>
    </row>
    <row r="55" spans="2:15" x14ac:dyDescent="0.15">
      <c r="B55" s="3"/>
      <c r="D55" s="5"/>
      <c r="E55" s="5"/>
      <c r="F55" s="7"/>
      <c r="G55" s="8"/>
      <c r="H55" s="5"/>
      <c r="I55" s="5"/>
      <c r="J55" s="5"/>
      <c r="K55" s="5"/>
      <c r="L55" s="11"/>
      <c r="M55" s="10"/>
      <c r="O55" s="5"/>
    </row>
    <row r="56" spans="2:15" x14ac:dyDescent="0.15">
      <c r="B56" s="3"/>
      <c r="D56" s="5"/>
      <c r="E56" s="5"/>
      <c r="F56" s="7"/>
      <c r="G56" s="8"/>
      <c r="H56" s="5"/>
      <c r="I56" s="5"/>
      <c r="J56" s="5"/>
      <c r="K56" s="5"/>
      <c r="L56" s="11"/>
      <c r="M56" s="10"/>
      <c r="O56" s="5"/>
    </row>
    <row r="57" spans="2:15" x14ac:dyDescent="0.15">
      <c r="B57" s="3"/>
      <c r="D57" s="5"/>
      <c r="E57" s="5"/>
      <c r="F57" s="7"/>
      <c r="G57" s="8"/>
      <c r="H57" s="5"/>
      <c r="I57" s="5"/>
      <c r="J57" s="5"/>
      <c r="K57" s="5"/>
      <c r="L57" s="11"/>
      <c r="M57" s="10"/>
      <c r="O57" s="5"/>
    </row>
    <row r="58" spans="2:15" x14ac:dyDescent="0.15">
      <c r="B58" s="3"/>
      <c r="D58" s="5"/>
      <c r="E58" s="5"/>
      <c r="F58" s="7"/>
      <c r="G58" s="8"/>
      <c r="H58" s="5"/>
      <c r="I58" s="5"/>
      <c r="J58" s="5"/>
      <c r="K58" s="5"/>
      <c r="L58" s="11"/>
      <c r="M58" s="10"/>
    </row>
    <row r="59" spans="2:15" x14ac:dyDescent="0.15">
      <c r="B59" s="3"/>
      <c r="D59" s="5"/>
      <c r="E59" s="5"/>
      <c r="F59" s="7"/>
      <c r="G59" s="8"/>
      <c r="H59" s="5"/>
      <c r="I59" s="5"/>
      <c r="J59" s="5"/>
      <c r="K59" s="5"/>
      <c r="L59" s="11"/>
      <c r="M59" s="10"/>
    </row>
    <row r="60" spans="2:15" x14ac:dyDescent="0.15">
      <c r="B60" s="3"/>
      <c r="D60" s="5"/>
      <c r="E60" s="5"/>
      <c r="F60" s="7"/>
      <c r="G60" s="8"/>
      <c r="H60" s="5"/>
      <c r="I60" s="5"/>
      <c r="J60" s="5"/>
      <c r="K60" s="5"/>
      <c r="L60" s="11"/>
      <c r="M60" s="10"/>
    </row>
    <row r="61" spans="2:15" x14ac:dyDescent="0.15">
      <c r="B61" s="3"/>
      <c r="D61" s="5"/>
      <c r="E61" s="5"/>
      <c r="F61" s="7"/>
      <c r="G61" s="8"/>
      <c r="H61" s="5"/>
      <c r="I61" s="5"/>
      <c r="J61" s="5"/>
      <c r="K61" s="5"/>
      <c r="L61" s="11"/>
      <c r="M61" s="10"/>
    </row>
    <row r="62" spans="2:15" x14ac:dyDescent="0.15">
      <c r="B62" s="3"/>
      <c r="D62" s="5"/>
      <c r="E62" s="5"/>
      <c r="F62" s="7"/>
      <c r="G62" s="8"/>
      <c r="H62" s="5"/>
      <c r="I62" s="5"/>
      <c r="J62" s="5"/>
      <c r="K62" s="5"/>
      <c r="L62" s="11"/>
      <c r="M62" s="10"/>
    </row>
    <row r="63" spans="2:15" x14ac:dyDescent="0.15">
      <c r="B63" s="3"/>
      <c r="D63" s="5"/>
      <c r="E63" s="5"/>
      <c r="F63" s="7"/>
      <c r="G63" s="8"/>
      <c r="H63" s="5"/>
      <c r="I63" s="5"/>
      <c r="J63" s="5"/>
      <c r="K63" s="5"/>
      <c r="L63" s="11"/>
      <c r="M63" s="10"/>
    </row>
    <row r="64" spans="2:15" x14ac:dyDescent="0.15">
      <c r="B64" s="3"/>
      <c r="D64" s="5"/>
      <c r="E64" s="5"/>
      <c r="F64" s="7"/>
      <c r="G64" s="8"/>
      <c r="H64" s="5"/>
      <c r="I64" s="5"/>
      <c r="J64" s="5"/>
      <c r="K64" s="5"/>
      <c r="L64" s="11"/>
      <c r="M64" s="10"/>
    </row>
    <row r="65" spans="2:13" x14ac:dyDescent="0.15">
      <c r="B65" s="3"/>
      <c r="D65" s="5"/>
      <c r="E65" s="5"/>
      <c r="F65" s="7"/>
      <c r="G65" s="8"/>
      <c r="H65" s="5"/>
      <c r="I65" s="5"/>
      <c r="J65" s="5"/>
      <c r="K65" s="5"/>
      <c r="L65" s="11"/>
      <c r="M65" s="10"/>
    </row>
    <row r="66" spans="2:13" x14ac:dyDescent="0.15">
      <c r="B66" s="3"/>
      <c r="D66" s="5"/>
      <c r="E66" s="5"/>
      <c r="F66" s="7"/>
      <c r="G66" s="8"/>
      <c r="H66" s="5"/>
      <c r="I66" s="5"/>
      <c r="J66" s="5"/>
      <c r="K66" s="5"/>
      <c r="L66" s="11"/>
      <c r="M66" s="10"/>
    </row>
    <row r="67" spans="2:13" x14ac:dyDescent="0.15">
      <c r="B67" s="3"/>
      <c r="D67" s="5"/>
      <c r="E67" s="5"/>
      <c r="F67" s="7"/>
      <c r="G67" s="8"/>
      <c r="H67" s="5"/>
      <c r="I67" s="5"/>
      <c r="J67" s="5"/>
      <c r="K67" s="5"/>
      <c r="L67" s="11"/>
      <c r="M67" s="10"/>
    </row>
    <row r="68" spans="2:13" x14ac:dyDescent="0.15">
      <c r="B68" s="3"/>
      <c r="D68" s="5"/>
      <c r="E68" s="5"/>
      <c r="F68" s="7"/>
      <c r="G68" s="8"/>
      <c r="H68" s="5"/>
      <c r="I68" s="5"/>
      <c r="J68" s="5"/>
      <c r="K68" s="5"/>
      <c r="L68" s="11"/>
      <c r="M68" s="10"/>
    </row>
  </sheetData>
  <phoneticPr fontId="2"/>
  <hyperlinks>
    <hyperlink ref="B2" r:id="rId1" display="https://stocks.finance.yahoo.co.jp/stocks/detail/?code=3825"/>
    <hyperlink ref="B3" r:id="rId2" display="https://stocks.finance.yahoo.co.jp/stocks/detail/?code=8704"/>
    <hyperlink ref="B4" r:id="rId3" display="https://stocks.finance.yahoo.co.jp/stocks/detail/?code=4597"/>
    <hyperlink ref="B5" r:id="rId4" display="https://stocks.finance.yahoo.co.jp/stocks/detail/?code=4380"/>
    <hyperlink ref="B6" r:id="rId5" display="https://stocks.finance.yahoo.co.jp/stocks/detail/?code=3446"/>
    <hyperlink ref="B7" r:id="rId6" display="https://stocks.finance.yahoo.co.jp/stocks/detail/?code=6567"/>
    <hyperlink ref="B8" r:id="rId7" display="https://stocks.finance.yahoo.co.jp/stocks/detail/?code=6568"/>
    <hyperlink ref="B9" r:id="rId8" display="https://stocks.finance.yahoo.co.jp/stocks/detail/?code=6569"/>
    <hyperlink ref="B10" r:id="rId9" display="https://stocks.finance.yahoo.co.jp/stocks/detail/?code=3489"/>
    <hyperlink ref="B11" r:id="rId10" display="https://stocks.finance.yahoo.co.jp/stocks/detail/?code=6570"/>
    <hyperlink ref="B12" r:id="rId11" display="https://stocks.finance.yahoo.co.jp/stocks/detail/?code=3447"/>
    <hyperlink ref="B13" r:id="rId12" display="https://stocks.finance.yahoo.co.jp/stocks/detail/?code=9270"/>
    <hyperlink ref="B14" r:id="rId13" display="https://stocks.finance.yahoo.co.jp/stocks/detail/?code=6571"/>
    <hyperlink ref="B15" r:id="rId14" display="https://stocks.finance.yahoo.co.jp/stocks/detail/?code=9450"/>
    <hyperlink ref="B16" r:id="rId15" display="https://stocks.finance.yahoo.co.jp/stocks/detail/?code=6572"/>
    <hyperlink ref="B17" r:id="rId16" display="https://stocks.finance.yahoo.co.jp/stocks/detail/?code=6573"/>
    <hyperlink ref="B18" r:id="rId17" display="https://stocks.finance.yahoo.co.jp/stocks/detail/?code=3490"/>
    <hyperlink ref="B19" r:id="rId18" display="https://stocks.finance.yahoo.co.jp/stocks/detail/?code=9271"/>
    <hyperlink ref="B20" r:id="rId19" display="https://stocks.finance.yahoo.co.jp/stocks/detail/?code=7320"/>
    <hyperlink ref="B21" r:id="rId20" display="https://stocks.finance.yahoo.co.jp/stocks/detail/?code=9272"/>
    <hyperlink ref="B22" r:id="rId21" display="https://stocks.finance.yahoo.co.jp/stocks/detail/?code=4381"/>
    <hyperlink ref="B23" r:id="rId22" display="https://stocks.finance.yahoo.co.jp/stocks/detail/?code=6575"/>
    <hyperlink ref="B24" r:id="rId23" display="https://stocks.finance.yahoo.co.jp/stocks/detail/?code=6574"/>
    <hyperlink ref="B25" r:id="rId24" display="https://stocks.finance.yahoo.co.jp/stocks/detail/?code=4382"/>
    <hyperlink ref="B26" r:id="rId25" display="https://stocks.finance.yahoo.co.jp/stocks/detail/?code=6577"/>
    <hyperlink ref="B27" r:id="rId26" display="https://stocks.finance.yahoo.co.jp/stocks/detail/?code=7323"/>
    <hyperlink ref="B28" r:id="rId27" display="https://stocks.finance.yahoo.co.jp/stocks/detail/?code=6578"/>
    <hyperlink ref="B29" r:id="rId28" display="https://stocks.finance.yahoo.co.jp/stocks/detail/?code=4384"/>
  </hyperlinks>
  <pageMargins left="0.75" right="0.75" top="1" bottom="1" header="0.51200000000000001" footer="0.51200000000000001"/>
  <headerFooter alignWithMargins="0"/>
  <drawing r:id="rId29"/>
  <legacyDrawing r:id="rId30"/>
  <controls>
    <mc:AlternateContent xmlns:mc="http://schemas.openxmlformats.org/markup-compatibility/2006">
      <mc:Choice Requires="x14">
        <control shapeId="1025" r:id="rId31" name="cmdKabukaGet">
          <controlPr defaultSize="0" autoLine="0" r:id="rId32">
            <anchor moveWithCells="1">
              <from>
                <xdr:col>1</xdr:col>
                <xdr:colOff>1200150</xdr:colOff>
                <xdr:row>0</xdr:row>
                <xdr:rowOff>19050</xdr:rowOff>
              </from>
              <to>
                <xdr:col>1</xdr:col>
                <xdr:colOff>1914525</xdr:colOff>
                <xdr:row>1</xdr:row>
                <xdr:rowOff>9525</xdr:rowOff>
              </to>
            </anchor>
          </controlPr>
        </control>
      </mc:Choice>
      <mc:Fallback>
        <control shapeId="1025" r:id="rId31" name="cmdKabukaGet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FF00"/>
  </sheetPr>
  <dimension ref="A1:S45"/>
  <sheetViews>
    <sheetView topLeftCell="A13" zoomScaleNormal="100" workbookViewId="0">
      <pane xSplit="2" topLeftCell="C1" activePane="topRight" state="frozen"/>
      <selection pane="topRight" activeCell="K36" sqref="K36"/>
    </sheetView>
  </sheetViews>
  <sheetFormatPr defaultColWidth="8.88671875" defaultRowHeight="15.75" x14ac:dyDescent="0.25"/>
  <cols>
    <col min="1" max="1" width="3.21875" style="37" customWidth="1"/>
    <col min="2" max="2" width="14.21875" style="83" customWidth="1"/>
    <col min="3" max="26" width="11.44140625" style="37" customWidth="1"/>
    <col min="27" max="16384" width="8.88671875" style="37"/>
  </cols>
  <sheetData>
    <row r="1" spans="1:16" ht="16.5" thickBot="1" x14ac:dyDescent="0.3">
      <c r="A1" s="84" t="s">
        <v>142</v>
      </c>
    </row>
    <row r="2" spans="1:16" s="84" customFormat="1" ht="16.5" thickBot="1" x14ac:dyDescent="0.3">
      <c r="B2" s="113" t="s">
        <v>124</v>
      </c>
      <c r="C2" s="252">
        <v>43101</v>
      </c>
      <c r="D2" s="253"/>
      <c r="E2" s="252">
        <v>43132</v>
      </c>
      <c r="F2" s="253"/>
      <c r="G2" s="252">
        <v>43160</v>
      </c>
      <c r="H2" s="253"/>
      <c r="I2" s="252">
        <v>43191</v>
      </c>
      <c r="J2" s="253"/>
      <c r="K2" s="252">
        <v>43221</v>
      </c>
      <c r="L2" s="253"/>
      <c r="M2" s="252">
        <v>43252</v>
      </c>
      <c r="N2" s="253"/>
      <c r="O2" s="252">
        <v>43282</v>
      </c>
      <c r="P2" s="253"/>
    </row>
    <row r="3" spans="1:16" ht="16.5" thickBot="1" x14ac:dyDescent="0.3">
      <c r="C3" s="85" t="s">
        <v>115</v>
      </c>
      <c r="D3" s="86" t="s">
        <v>116</v>
      </c>
      <c r="E3" s="85" t="s">
        <v>115</v>
      </c>
      <c r="F3" s="86" t="s">
        <v>116</v>
      </c>
      <c r="G3" s="85" t="s">
        <v>115</v>
      </c>
      <c r="H3" s="86" t="s">
        <v>116</v>
      </c>
      <c r="I3" s="85" t="s">
        <v>115</v>
      </c>
      <c r="J3" s="86" t="s">
        <v>116</v>
      </c>
      <c r="K3" s="85" t="s">
        <v>115</v>
      </c>
      <c r="L3" s="86" t="s">
        <v>116</v>
      </c>
      <c r="M3" s="85" t="s">
        <v>115</v>
      </c>
      <c r="N3" s="86" t="s">
        <v>116</v>
      </c>
      <c r="O3" s="85" t="s">
        <v>115</v>
      </c>
      <c r="P3" s="86" t="s">
        <v>116</v>
      </c>
    </row>
    <row r="4" spans="1:16" x14ac:dyDescent="0.25">
      <c r="B4" s="83" t="s">
        <v>117</v>
      </c>
      <c r="C4" s="87">
        <f>COUNTIFS(セカンダリ投資分析!$N3:$N1048576,"&gt;=0",セカンダリ投資分析!$O3:$O1048576,"&gt;="&amp;C2,セカンダリ投資分析!$O3:$O1048576,"&lt;"&amp;E2)</f>
        <v>0</v>
      </c>
      <c r="D4" s="88">
        <f>COUNTIFS(セカンダリ投資分析!$N3:$N1048576,"&lt;0",セカンダリ投資分析!$O3:$O1048576,"&gt;="&amp;C2,セカンダリ投資分析!$O3:$O1048576,"&lt;"&amp;E2)</f>
        <v>0</v>
      </c>
      <c r="E4" s="87">
        <f>COUNTIFS(セカンダリ投資分析!$N3:$N1048576,"&gt;=0",セカンダリ投資分析!$O3:$O1048576,"&gt;="&amp;E2,セカンダリ投資分析!$O3:$O1048576,"&lt;"&amp;G2)</f>
        <v>0</v>
      </c>
      <c r="F4" s="88">
        <f>COUNTIFS(セカンダリ投資分析!$N3:$N1048576,"&lt;0",セカンダリ投資分析!$O3:$O1048576,"&gt;="&amp;E2,セカンダリ投資分析!$O3:$O1048576,"&lt;"&amp;G2)</f>
        <v>0</v>
      </c>
      <c r="G4" s="87">
        <f>COUNTIFS(セカンダリ投資分析!$N3:$N1048576,"&gt;=0",セカンダリ投資分析!$O3:$O1048576,"&gt;="&amp;G2,セカンダリ投資分析!$O3:$O1048576,"&lt;"&amp;I2)</f>
        <v>0</v>
      </c>
      <c r="H4" s="88">
        <f>COUNTIFS(セカンダリ投資分析!$N3:$N1048576,"&lt;0",セカンダリ投資分析!$O3:$O1048576,"&gt;="&amp;G2,セカンダリ投資分析!$O3:$O1048576,"&lt;"&amp;I2)</f>
        <v>0</v>
      </c>
      <c r="I4" s="87">
        <f>COUNTIFS(セカンダリ投資分析!$N3:$N1048576,"&gt;=0",セカンダリ投資分析!$O3:$O1048576,"&gt;="&amp;I2,セカンダリ投資分析!$O3:$O1048576,"&lt;"&amp;K2)</f>
        <v>0</v>
      </c>
      <c r="J4" s="88">
        <f>COUNTIFS(セカンダリ投資分析!$N3:$N1048576,"&lt;0",セカンダリ投資分析!$O3:$O1048576,"&gt;="&amp;I2,セカンダリ投資分析!$O3:$O1048576,"&lt;"&amp;K2)</f>
        <v>0</v>
      </c>
      <c r="K4" s="87">
        <f>COUNTIFS(セカンダリ投資分析!$N3:$N1048576,"&gt;=0",セカンダリ投資分析!$O3:$O1048576,"&gt;="&amp;K2,セカンダリ投資分析!$O3:$O1048576,"&lt;"&amp;M2)</f>
        <v>0</v>
      </c>
      <c r="L4" s="88">
        <f>COUNTIFS(セカンダリ投資分析!$N3:$N1048576,"&lt;0",セカンダリ投資分析!$O3:$O1048576,"&gt;="&amp;K2,セカンダリ投資分析!$O3:$O1048576,"&lt;"&amp;M2)</f>
        <v>0</v>
      </c>
      <c r="M4" s="87">
        <f>COUNTIFS(セカンダリ投資分析!$N3:$N1048576,"&gt;=0",セカンダリ投資分析!$O3:$O1048576,"&gt;="&amp;M2,セカンダリ投資分析!$O3:$O1048576,"&lt;"&amp;O2)</f>
        <v>0</v>
      </c>
      <c r="N4" s="88">
        <f>COUNTIFS(セカンダリ投資分析!$N3:$N1048576,"&lt;0",セカンダリ投資分析!$O3:$O1048576,"&gt;="&amp;M2,セカンダリ投資分析!$O3:$O1048576,"&lt;"&amp;O2)</f>
        <v>0</v>
      </c>
      <c r="O4" s="87">
        <f>COUNTIFS(セカンダリ投資分析!$N3:$N1048576,"&gt;=0",セカンダリ投資分析!$O3:$O1048576,"&gt;="&amp;O2,セカンダリ投資分析!$O3:$O1048576,"&lt;"&amp;C9)</f>
        <v>0</v>
      </c>
      <c r="P4" s="88">
        <f>COUNTIFS(セカンダリ投資分析!$N3:$N1048576,"&lt;0",セカンダリ投資分析!$O3:$O1048576,"&gt;="&amp;O2,セカンダリ投資分析!$O3:$O1048576,"&lt;"&amp;C9)</f>
        <v>0</v>
      </c>
    </row>
    <row r="5" spans="1:16" ht="16.5" thickBot="1" x14ac:dyDescent="0.3">
      <c r="B5" s="83" t="s">
        <v>118</v>
      </c>
      <c r="C5" s="89">
        <f>ROUND(SUMIFS(セカンダリ投資分析!$N3:$N1048576,セカンダリ投資分析!$N3:$N1048576,"&gt;=0",セカンダリ投資分析!$O3:$O1048576,"&gt;="&amp;C2,セカンダリ投資分析!$O3:$O1048576,"&lt;"&amp;E2),0)</f>
        <v>0</v>
      </c>
      <c r="D5" s="90">
        <f>ROUND(SUMIFS(セカンダリ投資分析!$N3:$N1048576,セカンダリ投資分析!$N3:$N1048576,"&lt;0",セカンダリ投資分析!$O3:$O1048576,"&gt;="&amp;C2,セカンダリ投資分析!$O3:$O1048576,"&lt;"&amp;E2),0)</f>
        <v>0</v>
      </c>
      <c r="E5" s="89">
        <f>ROUND(SUMIFS(セカンダリ投資分析!$N3:$N1048576,セカンダリ投資分析!$N3:$N1048576,"&gt;=0",セカンダリ投資分析!$O3:$O1048576,"&gt;="&amp;E2,セカンダリ投資分析!$O3:$O1048576,"&lt;"&amp;G2),0)</f>
        <v>0</v>
      </c>
      <c r="F5" s="90">
        <f>ROUND(SUMIFS(セカンダリ投資分析!$N3:$N1048576,セカンダリ投資分析!$N3:$N1048576,"&lt;0",セカンダリ投資分析!$O3:$O1048576,"&gt;="&amp;E2,セカンダリ投資分析!$O3:$O1048576,"&lt;"&amp;G2),0)</f>
        <v>0</v>
      </c>
      <c r="G5" s="89">
        <f>ROUND(SUMIFS(セカンダリ投資分析!$N3:$N1048576,セカンダリ投資分析!$N3:$N1048576,"&gt;=0",セカンダリ投資分析!$O3:$O1048576,"&gt;="&amp;G2,セカンダリ投資分析!$O3:$O1048576,"&lt;"&amp;I2),0)</f>
        <v>0</v>
      </c>
      <c r="H5" s="90">
        <f>ROUND(SUMIFS(セカンダリ投資分析!$N3:$N1048576,セカンダリ投資分析!$N3:$N1048576,"&lt;0",セカンダリ投資分析!$O3:$O1048576,"&gt;="&amp;G2,セカンダリ投資分析!$O3:$O1048576,"&lt;"&amp;I2),0)</f>
        <v>0</v>
      </c>
      <c r="I5" s="89">
        <f>ROUND(SUMIFS(セカンダリ投資分析!$N3:$N1048576,セカンダリ投資分析!$N3:$N1048576,"&gt;=0",セカンダリ投資分析!$O3:$O1048576,"&gt;="&amp;I2,セカンダリ投資分析!$O3:$O1048576,"&lt;"&amp;K2),0)</f>
        <v>0</v>
      </c>
      <c r="J5" s="90">
        <f>ROUND(SUMIFS(セカンダリ投資分析!$N3:$N1048576,セカンダリ投資分析!$N3:$N1048576,"&lt;0",セカンダリ投資分析!$O3:$O1048576,"&gt;="&amp;I2,セカンダリ投資分析!$O3:$O1048576,"&lt;"&amp;K2),0)</f>
        <v>0</v>
      </c>
      <c r="K5" s="89">
        <f>ROUND(SUMIFS(セカンダリ投資分析!$N3:$N1048576,セカンダリ投資分析!$N3:$N1048576,"&gt;=0",セカンダリ投資分析!$O3:$O1048576,"&gt;="&amp;K2,セカンダリ投資分析!$O3:$O1048576,"&lt;"&amp;M2),0)</f>
        <v>0</v>
      </c>
      <c r="L5" s="90">
        <f>ROUND(SUMIFS(セカンダリ投資分析!$N3:$N1048576,セカンダリ投資分析!$N3:$N1048576,"&lt;0",セカンダリ投資分析!$O3:$O1048576,"&gt;="&amp;K2,セカンダリ投資分析!$O3:$O1048576,"&lt;"&amp;M2),0)</f>
        <v>0</v>
      </c>
      <c r="M5" s="89">
        <f>ROUND(SUMIFS(セカンダリ投資分析!$N3:$N1048576,セカンダリ投資分析!$N3:$N1048576,"&gt;=0",セカンダリ投資分析!$O3:$O1048576,"&gt;="&amp;M2,セカンダリ投資分析!$O3:$O1048576,"&lt;"&amp;O2),0)</f>
        <v>0</v>
      </c>
      <c r="N5" s="90">
        <f>ROUND(SUMIFS(セカンダリ投資分析!$N3:$N1048576,セカンダリ投資分析!$N3:$N1048576,"&lt;0",セカンダリ投資分析!$O3:$O1048576,"&gt;="&amp;M2,セカンダリ投資分析!$O3:$O1048576,"&lt;"&amp;O2),0)</f>
        <v>0</v>
      </c>
      <c r="O5" s="89">
        <f>ROUND(SUMIFS(セカンダリ投資分析!$N3:$N1048576,セカンダリ投資分析!$N3:$N1048576,"&gt;=0",セカンダリ投資分析!$O3:$O1048576,"&gt;="&amp;O2,セカンダリ投資分析!$O3:$O1048576,"&lt;"&amp;C9),0)</f>
        <v>0</v>
      </c>
      <c r="P5" s="90">
        <f>ROUND(SUMIFS(セカンダリ投資分析!$N3:$N1048576,セカンダリ投資分析!$N3:$N1048576,"&lt;0",セカンダリ投資分析!$O3:$O1048576,"&gt;="&amp;O2,セカンダリ投資分析!$O3:$O1048576,"&lt;"&amp;C9),0)</f>
        <v>0</v>
      </c>
    </row>
    <row r="6" spans="1:16" s="84" customFormat="1" ht="16.5" thickBot="1" x14ac:dyDescent="0.3">
      <c r="B6" s="83" t="s">
        <v>119</v>
      </c>
      <c r="C6" s="250">
        <f>C5+D5</f>
        <v>0</v>
      </c>
      <c r="D6" s="251"/>
      <c r="E6" s="250">
        <f>E5+F5</f>
        <v>0</v>
      </c>
      <c r="F6" s="251"/>
      <c r="G6" s="250">
        <f>G5+H5</f>
        <v>0</v>
      </c>
      <c r="H6" s="251"/>
      <c r="I6" s="250">
        <f>I5+J5</f>
        <v>0</v>
      </c>
      <c r="J6" s="251"/>
      <c r="K6" s="250">
        <f>K5+L5</f>
        <v>0</v>
      </c>
      <c r="L6" s="251"/>
      <c r="M6" s="250">
        <f>M5+N5</f>
        <v>0</v>
      </c>
      <c r="N6" s="251"/>
      <c r="O6" s="250">
        <f>O5+P5</f>
        <v>0</v>
      </c>
      <c r="P6" s="251"/>
    </row>
    <row r="7" spans="1:16" x14ac:dyDescent="0.25">
      <c r="B7" s="83" t="s">
        <v>121</v>
      </c>
      <c r="C7" s="15">
        <f>IF(ISERROR(C5/C4),0,C5/C4)</f>
        <v>0</v>
      </c>
      <c r="D7" s="145">
        <f>IF(D4=0,0,D5/D4)</f>
        <v>0</v>
      </c>
      <c r="E7" s="15">
        <f>IF(ISERROR(E5/E4),0,E5/E4)</f>
        <v>0</v>
      </c>
      <c r="F7" s="145">
        <f>IF(F4=0,0,F5/F4)</f>
        <v>0</v>
      </c>
      <c r="G7" s="15">
        <f>IF(ISERROR(G5/G4),0,G5/G4)</f>
        <v>0</v>
      </c>
      <c r="H7" s="145">
        <f>IF(H4=0,0,H5/H4)</f>
        <v>0</v>
      </c>
      <c r="I7" s="15">
        <f>IF(ISERROR(I5/I4),0,I5/I4)</f>
        <v>0</v>
      </c>
      <c r="J7" s="145">
        <f>IF(J4=0,0,J5/J4)</f>
        <v>0</v>
      </c>
      <c r="K7" s="15">
        <f>IF(ISERROR(K5/K4),0,K5/K4)</f>
        <v>0</v>
      </c>
      <c r="L7" s="145">
        <f>IF(L4=0,0,L5/L4)</f>
        <v>0</v>
      </c>
      <c r="M7" s="15">
        <f>IF(ISERROR(M5/M4),0,M5/M4)</f>
        <v>0</v>
      </c>
      <c r="N7" s="145">
        <f>IF(N4=0,0,N5/N4)</f>
        <v>0</v>
      </c>
      <c r="O7" s="15">
        <f>IF(ISERROR(O5/O4),0,O5/O4)</f>
        <v>0</v>
      </c>
      <c r="P7" s="145">
        <f>IF(P4=0,0,P5/P4)</f>
        <v>0</v>
      </c>
    </row>
    <row r="8" spans="1:16" ht="16.5" thickBot="1" x14ac:dyDescent="0.3">
      <c r="C8" s="15"/>
      <c r="D8" s="15"/>
      <c r="E8" s="15"/>
      <c r="F8" s="15"/>
      <c r="G8" s="15"/>
      <c r="H8" s="15"/>
      <c r="I8" s="15"/>
      <c r="J8" s="15"/>
      <c r="K8" s="15"/>
      <c r="L8" s="145"/>
      <c r="M8" s="15"/>
      <c r="N8" s="15"/>
      <c r="O8" s="15"/>
      <c r="P8" s="15"/>
    </row>
    <row r="9" spans="1:16" ht="16.5" thickBot="1" x14ac:dyDescent="0.3">
      <c r="C9" s="252">
        <v>43313</v>
      </c>
      <c r="D9" s="253"/>
      <c r="E9" s="252">
        <v>43344</v>
      </c>
      <c r="F9" s="253"/>
      <c r="G9" s="252">
        <v>43374</v>
      </c>
      <c r="H9" s="253"/>
      <c r="I9" s="252">
        <v>43405</v>
      </c>
      <c r="J9" s="253"/>
      <c r="K9" s="252">
        <v>43435</v>
      </c>
      <c r="L9" s="253"/>
    </row>
    <row r="10" spans="1:16" ht="16.5" thickBot="1" x14ac:dyDescent="0.3">
      <c r="C10" s="85" t="s">
        <v>115</v>
      </c>
      <c r="D10" s="86" t="s">
        <v>116</v>
      </c>
      <c r="E10" s="85" t="s">
        <v>115</v>
      </c>
      <c r="F10" s="86" t="s">
        <v>116</v>
      </c>
      <c r="G10" s="85" t="s">
        <v>115</v>
      </c>
      <c r="H10" s="86" t="s">
        <v>116</v>
      </c>
      <c r="I10" s="85" t="s">
        <v>115</v>
      </c>
      <c r="J10" s="86" t="s">
        <v>116</v>
      </c>
      <c r="K10" s="85" t="s">
        <v>115</v>
      </c>
      <c r="L10" s="86" t="s">
        <v>116</v>
      </c>
    </row>
    <row r="11" spans="1:16" x14ac:dyDescent="0.25">
      <c r="C11" s="87">
        <f>COUNTIFS(セカンダリ投資分析!$N3:$N1048576,"&gt;=0",セカンダリ投資分析!$O3:$O1048576,"&gt;="&amp;C9,セカンダリ投資分析!$O3:$O1048576,"&lt;"&amp;E9)</f>
        <v>0</v>
      </c>
      <c r="D11" s="88">
        <f>COUNTIFS(セカンダリ投資分析!$N3:$N1048576,"&lt;0",セカンダリ投資分析!$O3:$O1048576,"&gt;="&amp;C9,セカンダリ投資分析!$O3:$O1048576,"&lt;"&amp;E9)</f>
        <v>0</v>
      </c>
      <c r="E11" s="87">
        <f>COUNTIFS(セカンダリ投資分析!$N3:$N1048576,"&gt;=0",セカンダリ投資分析!$O3:$O1048576,"&gt;="&amp;E9,セカンダリ投資分析!$O3:$O1048576,"&lt;"&amp;G9)</f>
        <v>0</v>
      </c>
      <c r="F11" s="88">
        <f>COUNTIFS(セカンダリ投資分析!$N3:$N1048576,"&lt;0",セカンダリ投資分析!$O3:$O1048576,"&gt;="&amp;E9,セカンダリ投資分析!$O3:$O1048576,"&lt;"&amp;G9)</f>
        <v>0</v>
      </c>
      <c r="G11" s="87">
        <f>COUNTIFS(セカンダリ投資分析!$N3:$N1048576,"&gt;=0",セカンダリ投資分析!$O3:$O1048576,"&gt;="&amp;G9,セカンダリ投資分析!$O3:$O1048576,"&lt;"&amp;I9)</f>
        <v>0</v>
      </c>
      <c r="H11" s="88">
        <f>COUNTIFS(セカンダリ投資分析!$N3:$N1048576,"&lt;0",セカンダリ投資分析!$O3:$O1048576,"&gt;="&amp;G9,セカンダリ投資分析!$O3:$O1048576,"&lt;"&amp;I9)</f>
        <v>0</v>
      </c>
      <c r="I11" s="87">
        <f>COUNTIFS(セカンダリ投資分析!$N3:$N1048576,"&gt;=0",セカンダリ投資分析!$O3:$O1048576,"&gt;="&amp;I9,セカンダリ投資分析!$O3:$O1048576,"&lt;"&amp;K9)</f>
        <v>0</v>
      </c>
      <c r="J11" s="88">
        <f>COUNTIFS(セカンダリ投資分析!$N3:$N1048576,"&lt;0",セカンダリ投資分析!$O3:$O1048576,"&gt;="&amp;I9,セカンダリ投資分析!$O3:$O1048576,"&lt;"&amp;K9)</f>
        <v>0</v>
      </c>
      <c r="K11" s="87">
        <f>COUNTIFS(セカンダリ投資分析!$N3:$N1048576,"&gt;=0",セカンダリ投資分析!$O3:$O1048576,"&gt;="&amp;K9,セカンダリ投資分析!$O3:$O1048576,"&lt;"&amp;AA2)</f>
        <v>0</v>
      </c>
      <c r="L11" s="88">
        <f>COUNTIFS(セカンダリ投資分析!$N3:$N1048576,"&lt;0",セカンダリ投資分析!$O3:$O1048576,"&gt;="&amp;K9,セカンダリ投資分析!$O3:$O1048576,"&lt;"&amp;AA2)</f>
        <v>0</v>
      </c>
    </row>
    <row r="12" spans="1:16" ht="16.5" thickBot="1" x14ac:dyDescent="0.3">
      <c r="C12" s="89">
        <f>ROUND(SUMIFS(セカンダリ投資分析!$N3:$N1048576,セカンダリ投資分析!$N3:$N1048576,"&gt;=0",セカンダリ投資分析!$O3:$O1048576,"&gt;="&amp;C9,セカンダリ投資分析!$O3:$O1048576,"&lt;"&amp;E9),0)</f>
        <v>0</v>
      </c>
      <c r="D12" s="90">
        <f>ROUND(SUMIFS(セカンダリ投資分析!$N3:$N1048576,セカンダリ投資分析!$N3:$N1048576,"&lt;0",セカンダリ投資分析!$O3:$O1048576,"&gt;="&amp;C9,セカンダリ投資分析!$O3:$O1048576,"&lt;"&amp;E9),0)</f>
        <v>0</v>
      </c>
      <c r="E12" s="89">
        <f>ROUND(SUMIFS(セカンダリ投資分析!$N3:$N1048576,セカンダリ投資分析!$N3:$N1048576,"&gt;=0",セカンダリ投資分析!$O3:$O1048576,"&gt;="&amp;E9,セカンダリ投資分析!$O3:$O1048576,"&lt;"&amp;G9),0)</f>
        <v>0</v>
      </c>
      <c r="F12" s="90">
        <f>ROUND(SUMIFS(セカンダリ投資分析!$N3:$N1048576,セカンダリ投資分析!$N3:$N1048576,"&lt;0",セカンダリ投資分析!$O3:$O1048576,"&gt;="&amp;E9,セカンダリ投資分析!$O3:$O1048576,"&lt;"&amp;G9),0)</f>
        <v>0</v>
      </c>
      <c r="G12" s="89">
        <f>ROUND(SUMIFS(セカンダリ投資分析!$N3:$N1048576,セカンダリ投資分析!$N3:$N1048576,"&gt;=0",セカンダリ投資分析!$O3:$O1048576,"&gt;="&amp;G9,セカンダリ投資分析!$O3:$O1048576,"&lt;"&amp;I9),0)</f>
        <v>0</v>
      </c>
      <c r="H12" s="90">
        <f>ROUND(SUMIFS(セカンダリ投資分析!$N3:$N1048576,セカンダリ投資分析!$N3:$N1048576,"&lt;0",セカンダリ投資分析!$O3:$O1048576,"&gt;="&amp;G9,セカンダリ投資分析!$O3:$O1048576,"&lt;"&amp;I9),0)</f>
        <v>0</v>
      </c>
      <c r="I12" s="89">
        <f>ROUND(SUMIFS(セカンダリ投資分析!$N3:$N1048576,セカンダリ投資分析!$N3:$N1048576,"&gt;=0",セカンダリ投資分析!$O3:$O1048576,"&gt;="&amp;I9,セカンダリ投資分析!$O3:$O1048576,"&lt;"&amp;K9),0)</f>
        <v>0</v>
      </c>
      <c r="J12" s="90">
        <f>ROUND(SUMIFS(セカンダリ投資分析!$N3:$N1048576,セカンダリ投資分析!$N3:$N1048576,"&lt;0",セカンダリ投資分析!$O3:$O1048576,"&gt;="&amp;I9,セカンダリ投資分析!$O3:$O1048576,"&lt;"&amp;K9),0)</f>
        <v>0</v>
      </c>
      <c r="K12" s="89">
        <f>ROUND(SUMIFS(セカンダリ投資分析!$N3:$N1048576,セカンダリ投資分析!$N3:$N1048576,"&gt;=0",セカンダリ投資分析!$O3:$O1048576,"&gt;="&amp;K9,セカンダリ投資分析!$O3:$O1048576,"&lt;"&amp;AA2),0)</f>
        <v>0</v>
      </c>
      <c r="L12" s="90">
        <f>ROUND(SUMIFS(セカンダリ投資分析!$N3:$N1048576,セカンダリ投資分析!$N3:$N1048576,"&lt;0",セカンダリ投資分析!$O3:$O1048576,"&gt;="&amp;K9,セカンダリ投資分析!$O3:$O1048576,"&lt;"&amp;AA2),0)</f>
        <v>0</v>
      </c>
    </row>
    <row r="13" spans="1:16" ht="16.5" thickBot="1" x14ac:dyDescent="0.3">
      <c r="C13" s="250">
        <f>C12+D12</f>
        <v>0</v>
      </c>
      <c r="D13" s="251"/>
      <c r="E13" s="250">
        <f>E12+F12</f>
        <v>0</v>
      </c>
      <c r="F13" s="251"/>
      <c r="G13" s="250">
        <f>G12+H12</f>
        <v>0</v>
      </c>
      <c r="H13" s="251"/>
      <c r="I13" s="250">
        <f>I12+J12</f>
        <v>0</v>
      </c>
      <c r="J13" s="251"/>
      <c r="K13" s="250">
        <f>K12+L12</f>
        <v>0</v>
      </c>
      <c r="L13" s="251"/>
    </row>
    <row r="14" spans="1:16" x14ac:dyDescent="0.25">
      <c r="C14" s="15">
        <f>IF(ISERROR(C12/C11),0,C12/C11)</f>
        <v>0</v>
      </c>
      <c r="D14" s="145">
        <f>IF(D11=0,0,D12/D11)</f>
        <v>0</v>
      </c>
      <c r="E14" s="15">
        <f>IF(ISERROR(E12/E11),0,E12/E11)</f>
        <v>0</v>
      </c>
      <c r="F14" s="145">
        <f>IF(F11=0,0,F12/F11)</f>
        <v>0</v>
      </c>
      <c r="G14" s="15">
        <f>IF(ISERROR(G12/G11),0,G12/G11)</f>
        <v>0</v>
      </c>
      <c r="H14" s="145">
        <f>IF(H11=0,0,H12/H11)</f>
        <v>0</v>
      </c>
      <c r="I14" s="15">
        <f>IF(ISERROR(I12/I11),0,I12/I11)</f>
        <v>0</v>
      </c>
      <c r="J14" s="145">
        <f>IF(J11=0,0,J12/J11)</f>
        <v>0</v>
      </c>
      <c r="K14" s="15">
        <f>IF(ISERROR(K12/K11),0,K12/K11)</f>
        <v>0</v>
      </c>
      <c r="L14" s="145">
        <f>IF(L11=0,0,L12/L11)</f>
        <v>0</v>
      </c>
    </row>
    <row r="15" spans="1:16" x14ac:dyDescent="0.25">
      <c r="C15" s="12"/>
      <c r="D15" s="12"/>
    </row>
    <row r="16" spans="1:16" x14ac:dyDescent="0.25">
      <c r="B16" s="83" t="s">
        <v>120</v>
      </c>
      <c r="C16" s="91">
        <f>SUM(C6:P6)+SUM(C13:L13)</f>
        <v>0</v>
      </c>
      <c r="E16" s="84"/>
      <c r="F16" s="92"/>
    </row>
    <row r="17" spans="1:19" ht="16.5" thickBot="1" x14ac:dyDescent="0.3">
      <c r="B17" s="83" t="s">
        <v>184</v>
      </c>
      <c r="C17" s="91">
        <f>SUM(D20:E24)</f>
        <v>0</v>
      </c>
      <c r="D17" s="37" t="s">
        <v>145</v>
      </c>
      <c r="E17" s="84"/>
      <c r="F17" s="92"/>
    </row>
    <row r="18" spans="1:19" ht="16.5" thickBot="1" x14ac:dyDescent="0.3">
      <c r="H18" s="12"/>
      <c r="I18" s="14"/>
      <c r="K18" s="14" t="s">
        <v>148</v>
      </c>
      <c r="N18" s="252" t="s">
        <v>183</v>
      </c>
      <c r="O18" s="254"/>
      <c r="P18" s="254"/>
      <c r="Q18" s="253"/>
    </row>
    <row r="19" spans="1:19" ht="16.5" thickBot="1" x14ac:dyDescent="0.3">
      <c r="A19" s="121" t="s">
        <v>141</v>
      </c>
      <c r="C19" s="93" t="s">
        <v>137</v>
      </c>
      <c r="D19" s="93" t="s">
        <v>138</v>
      </c>
      <c r="E19" s="93" t="s">
        <v>150</v>
      </c>
      <c r="F19" s="93" t="s">
        <v>140</v>
      </c>
      <c r="G19" s="93" t="s">
        <v>144</v>
      </c>
      <c r="H19" s="93" t="s">
        <v>185</v>
      </c>
      <c r="I19" s="93" t="s">
        <v>143</v>
      </c>
      <c r="J19" s="133" t="s">
        <v>147</v>
      </c>
      <c r="K19" s="187" t="s">
        <v>149</v>
      </c>
      <c r="N19" s="186" t="s">
        <v>239</v>
      </c>
      <c r="O19" s="221" t="s">
        <v>240</v>
      </c>
      <c r="P19" s="221" t="s">
        <v>233</v>
      </c>
      <c r="Q19" s="221" t="s">
        <v>234</v>
      </c>
      <c r="R19" s="132"/>
      <c r="S19" s="84" t="s">
        <v>235</v>
      </c>
    </row>
    <row r="20" spans="1:19" ht="16.5" thickTop="1" x14ac:dyDescent="0.25">
      <c r="B20" s="131" t="s">
        <v>132</v>
      </c>
      <c r="C20" s="130">
        <f>SUMIF(セカンダリ投資分析!$H$3:'セカンダリ投資分析'!$H$1048349,"=SBI",セカンダリ投資分析!$N$3:'セカンダリ投資分析'!$N$1048349)</f>
        <v>0</v>
      </c>
      <c r="D20" s="135">
        <v>0</v>
      </c>
      <c r="E20" s="135">
        <v>0</v>
      </c>
      <c r="F20" s="130">
        <f>C20+D20+E20</f>
        <v>0</v>
      </c>
      <c r="G20" s="138">
        <v>0</v>
      </c>
      <c r="H20" s="141">
        <v>2017674</v>
      </c>
      <c r="I20" s="127">
        <f>H20+F20+G20</f>
        <v>2017674</v>
      </c>
      <c r="J20" s="146">
        <v>5174</v>
      </c>
      <c r="K20" s="192">
        <f>1486*1000 + 351*1500</f>
        <v>2012500</v>
      </c>
      <c r="L20" s="56"/>
      <c r="N20" s="204">
        <v>-170699</v>
      </c>
      <c r="O20" s="205">
        <v>1800</v>
      </c>
      <c r="P20" s="205">
        <v>0</v>
      </c>
      <c r="Q20" s="205">
        <v>0</v>
      </c>
      <c r="S20" s="84" t="s">
        <v>236</v>
      </c>
    </row>
    <row r="21" spans="1:19" x14ac:dyDescent="0.25">
      <c r="B21" s="122" t="s">
        <v>133</v>
      </c>
      <c r="C21" s="126">
        <f>SUMIF(セカンダリ投資分析!$H$3:'セカンダリ投資分析'!$H$1048349,"=SMBC日興",セカンダリ投資分析!$N$3:'セカンダリ投資分析'!$N$1048349)</f>
        <v>0</v>
      </c>
      <c r="D21" s="136">
        <v>0</v>
      </c>
      <c r="E21" s="136">
        <v>0</v>
      </c>
      <c r="F21" s="126">
        <f t="shared" ref="F21:F24" si="0">C21+D21+E21</f>
        <v>0</v>
      </c>
      <c r="G21" s="139">
        <v>0</v>
      </c>
      <c r="H21" s="142">
        <v>488897</v>
      </c>
      <c r="I21" s="127">
        <f>H21+F21+G21</f>
        <v>488897</v>
      </c>
      <c r="J21" s="190">
        <v>3665</v>
      </c>
      <c r="K21" s="188">
        <f>(1213.08*400)</f>
        <v>485232</v>
      </c>
      <c r="L21" s="56"/>
      <c r="N21" s="206">
        <v>85536</v>
      </c>
      <c r="O21" s="207">
        <v>0</v>
      </c>
      <c r="P21" s="207">
        <v>13099</v>
      </c>
      <c r="Q21" s="207">
        <v>4276</v>
      </c>
    </row>
    <row r="22" spans="1:19" x14ac:dyDescent="0.25">
      <c r="B22" s="123" t="s">
        <v>134</v>
      </c>
      <c r="C22" s="126">
        <f>SUMIF(セカンダリ投資分析!$H$3:'セカンダリ投資分析'!$H$1048349,"=大和",セカンダリ投資分析!$N$3:'セカンダリ投資分析'!$N$1048349)</f>
        <v>0</v>
      </c>
      <c r="D22" s="136">
        <v>0</v>
      </c>
      <c r="E22" s="136">
        <v>0</v>
      </c>
      <c r="F22" s="126">
        <f t="shared" si="0"/>
        <v>0</v>
      </c>
      <c r="G22" s="139">
        <v>0</v>
      </c>
      <c r="H22" s="142">
        <v>386088</v>
      </c>
      <c r="I22" s="127">
        <f>H22+F22+G22</f>
        <v>386088</v>
      </c>
      <c r="J22" s="190">
        <v>386088</v>
      </c>
      <c r="K22" s="188">
        <v>0</v>
      </c>
      <c r="L22" s="56"/>
      <c r="N22" s="206">
        <v>-3918</v>
      </c>
      <c r="O22" s="207">
        <v>0</v>
      </c>
      <c r="P22" s="207">
        <v>0</v>
      </c>
      <c r="Q22" s="207">
        <v>0</v>
      </c>
    </row>
    <row r="23" spans="1:19" x14ac:dyDescent="0.25">
      <c r="B23" s="124" t="s">
        <v>135</v>
      </c>
      <c r="C23" s="126">
        <f>SUMIF(セカンダリ投資分析!$H$3:'セカンダリ投資分析'!$H$1048349,"=マネックス",セカンダリ投資分析!$N$3:'セカンダリ投資分析'!$N$1048349)</f>
        <v>0</v>
      </c>
      <c r="D23" s="136">
        <v>0</v>
      </c>
      <c r="E23" s="136">
        <v>0</v>
      </c>
      <c r="F23" s="126">
        <f t="shared" si="0"/>
        <v>0</v>
      </c>
      <c r="G23" s="139">
        <v>0</v>
      </c>
      <c r="H23" s="142">
        <v>309807</v>
      </c>
      <c r="I23" s="127">
        <f>H23+F23+G23</f>
        <v>309807</v>
      </c>
      <c r="J23" s="190">
        <v>7807</v>
      </c>
      <c r="K23" s="188">
        <f>(604*500)</f>
        <v>302000</v>
      </c>
      <c r="L23" s="56"/>
      <c r="N23" s="206">
        <v>18800</v>
      </c>
      <c r="O23" s="207">
        <v>0</v>
      </c>
      <c r="P23" s="207">
        <v>2877</v>
      </c>
      <c r="Q23" s="207">
        <v>938</v>
      </c>
    </row>
    <row r="24" spans="1:19" ht="16.5" thickBot="1" x14ac:dyDescent="0.3">
      <c r="B24" s="125" t="s">
        <v>136</v>
      </c>
      <c r="C24" s="128">
        <f>SUMIF(セカンダリ投資分析!$H$3:'セカンダリ投資分析'!$H$1048349,"=岡三OL",セカンダリ投資分析!$N$3:'セカンダリ投資分析'!$N$1048349)</f>
        <v>0</v>
      </c>
      <c r="D24" s="137">
        <v>0</v>
      </c>
      <c r="E24" s="137">
        <v>0</v>
      </c>
      <c r="F24" s="128">
        <f t="shared" si="0"/>
        <v>0</v>
      </c>
      <c r="G24" s="140">
        <v>0</v>
      </c>
      <c r="H24" s="143">
        <v>0</v>
      </c>
      <c r="I24" s="129">
        <f>H24+F24</f>
        <v>0</v>
      </c>
      <c r="J24" s="191">
        <f>I24-K24</f>
        <v>0</v>
      </c>
      <c r="K24" s="189">
        <v>0</v>
      </c>
      <c r="L24" s="56"/>
      <c r="N24" s="208">
        <v>0</v>
      </c>
      <c r="O24" s="209">
        <v>0</v>
      </c>
      <c r="P24" s="209">
        <v>0</v>
      </c>
      <c r="Q24" s="209">
        <v>0</v>
      </c>
    </row>
    <row r="25" spans="1:19" x14ac:dyDescent="0.25">
      <c r="M25" s="13" t="s">
        <v>238</v>
      </c>
      <c r="N25" s="210">
        <f>SUM(N19:N23)</f>
        <v>-70281</v>
      </c>
      <c r="O25" s="210">
        <f>SUM(O20:O24)</f>
        <v>1800</v>
      </c>
      <c r="P25" s="210">
        <f>SUM(P20:P24)</f>
        <v>15976</v>
      </c>
      <c r="Q25" s="210">
        <f>SUM(Q20:Q24)</f>
        <v>5214</v>
      </c>
    </row>
    <row r="26" spans="1:19" x14ac:dyDescent="0.25">
      <c r="B26" s="83" t="s">
        <v>139</v>
      </c>
      <c r="C26" s="91">
        <f>SUM(C20:C24)</f>
        <v>0</v>
      </c>
      <c r="D26" s="91">
        <f>SUM(D20:D24)</f>
        <v>0</v>
      </c>
      <c r="E26" s="91">
        <f>SUM(E20:E24)</f>
        <v>0</v>
      </c>
      <c r="H26" s="56">
        <f>SUM(H20:H24)</f>
        <v>3202466</v>
      </c>
      <c r="I26" s="56">
        <f>SUM(I20:I24)</f>
        <v>3202466</v>
      </c>
      <c r="J26" s="56">
        <f>SUM(J20:J24)</f>
        <v>402734</v>
      </c>
      <c r="K26" s="92">
        <f>SUM(K20:K24)</f>
        <v>2799732</v>
      </c>
      <c r="M26" s="13" t="s">
        <v>241</v>
      </c>
      <c r="N26" s="210">
        <f>N25+O25</f>
        <v>-68481</v>
      </c>
      <c r="O26" s="210"/>
      <c r="P26" s="210"/>
    </row>
    <row r="27" spans="1:19" x14ac:dyDescent="0.25">
      <c r="D27" s="144" t="s">
        <v>146</v>
      </c>
      <c r="E27" s="144" t="s">
        <v>146</v>
      </c>
      <c r="G27" s="144" t="s">
        <v>146</v>
      </c>
      <c r="H27" s="144" t="s">
        <v>146</v>
      </c>
      <c r="J27" s="144" t="s">
        <v>146</v>
      </c>
      <c r="M27" s="13" t="s">
        <v>237</v>
      </c>
      <c r="N27" s="92">
        <v>15936</v>
      </c>
    </row>
    <row r="28" spans="1:19" x14ac:dyDescent="0.25">
      <c r="M28" s="13" t="s">
        <v>242</v>
      </c>
      <c r="N28" s="92">
        <f>Q25</f>
        <v>5214</v>
      </c>
    </row>
    <row r="33" spans="10:18" x14ac:dyDescent="0.25">
      <c r="L33" s="84"/>
      <c r="M33" s="239" t="s">
        <v>294</v>
      </c>
      <c r="O33" s="16"/>
      <c r="Q33" s="37" t="s">
        <v>221</v>
      </c>
      <c r="R33" s="16">
        <v>43236</v>
      </c>
    </row>
    <row r="34" spans="10:18" ht="16.5" thickBot="1" x14ac:dyDescent="0.3">
      <c r="J34" s="56"/>
      <c r="L34" s="132" t="s">
        <v>211</v>
      </c>
      <c r="M34" s="219" t="s">
        <v>212</v>
      </c>
      <c r="N34" s="219" t="s">
        <v>213</v>
      </c>
      <c r="O34" s="219" t="s">
        <v>219</v>
      </c>
      <c r="P34" s="220" t="s">
        <v>227</v>
      </c>
      <c r="Q34" s="220" t="s">
        <v>228</v>
      </c>
      <c r="R34" s="220" t="s">
        <v>139</v>
      </c>
    </row>
    <row r="35" spans="10:18" ht="16.5" thickTop="1" x14ac:dyDescent="0.25">
      <c r="L35" s="216" t="s">
        <v>215</v>
      </c>
      <c r="M35" s="227">
        <v>0</v>
      </c>
      <c r="N35" s="227">
        <v>0</v>
      </c>
      <c r="O35" s="227">
        <v>0</v>
      </c>
      <c r="P35" s="218">
        <f>R35-Q35</f>
        <v>1484.666666666667</v>
      </c>
      <c r="Q35" s="218">
        <f>R35*(Q37/R37)</f>
        <v>2969.333333333333</v>
      </c>
      <c r="R35" s="26">
        <v>4454</v>
      </c>
    </row>
    <row r="36" spans="10:18" x14ac:dyDescent="0.25">
      <c r="K36" s="56"/>
      <c r="L36" s="216" t="s">
        <v>222</v>
      </c>
      <c r="M36" s="228" t="s">
        <v>175</v>
      </c>
      <c r="N36" s="229" t="s">
        <v>175</v>
      </c>
      <c r="O36" s="230" t="s">
        <v>220</v>
      </c>
      <c r="P36" s="211">
        <f>P35/R35</f>
        <v>0.33333333333333343</v>
      </c>
      <c r="Q36" s="212">
        <f>1-P36</f>
        <v>0.66666666666666652</v>
      </c>
      <c r="R36" s="28" t="s">
        <v>175</v>
      </c>
    </row>
    <row r="37" spans="10:18" x14ac:dyDescent="0.25">
      <c r="L37" s="216" t="s">
        <v>214</v>
      </c>
      <c r="M37" s="231">
        <v>660000</v>
      </c>
      <c r="N37" s="231">
        <v>100000</v>
      </c>
      <c r="O37" s="232">
        <f>SUM(M37:N37)</f>
        <v>760000</v>
      </c>
      <c r="P37" s="213">
        <v>60000</v>
      </c>
      <c r="Q37" s="213">
        <v>120000</v>
      </c>
      <c r="R37" s="214">
        <f>SUM(P37:Q37)</f>
        <v>180000</v>
      </c>
    </row>
    <row r="38" spans="10:18" x14ac:dyDescent="0.25">
      <c r="L38" s="216" t="s">
        <v>216</v>
      </c>
      <c r="M38" s="233" t="e">
        <f>O38*M36</f>
        <v>#VALUE!</v>
      </c>
      <c r="N38" s="233" t="e">
        <f>O38-M38</f>
        <v>#VALUE!</v>
      </c>
      <c r="O38" s="231">
        <f>M41*O35</f>
        <v>0</v>
      </c>
      <c r="P38" s="224">
        <f>R38*P36</f>
        <v>0</v>
      </c>
      <c r="Q38" s="224">
        <f>R38-P38</f>
        <v>0</v>
      </c>
      <c r="R38" s="222">
        <f>P41*R35</f>
        <v>0</v>
      </c>
    </row>
    <row r="39" spans="10:18" x14ac:dyDescent="0.25">
      <c r="L39" s="216" t="s">
        <v>217</v>
      </c>
      <c r="M39" s="233" t="e">
        <f>M38-M37</f>
        <v>#VALUE!</v>
      </c>
      <c r="N39" s="233" t="e">
        <f>N38-N37</f>
        <v>#VALUE!</v>
      </c>
      <c r="O39" s="232" t="e">
        <f>SUM(M39:N39)</f>
        <v>#VALUE!</v>
      </c>
      <c r="P39" s="224">
        <f>P38-P37</f>
        <v>-60000</v>
      </c>
      <c r="Q39" s="224">
        <f>Q38-Q37</f>
        <v>-120000</v>
      </c>
      <c r="R39" s="214">
        <f>SUM(P39:Q39)</f>
        <v>-180000</v>
      </c>
    </row>
    <row r="40" spans="10:18" ht="16.5" thickBot="1" x14ac:dyDescent="0.3">
      <c r="L40" s="217" t="s">
        <v>218</v>
      </c>
      <c r="M40" s="234" t="e">
        <f>M39/M37</f>
        <v>#VALUE!</v>
      </c>
      <c r="N40" s="234" t="e">
        <f>N39/N37</f>
        <v>#VALUE!</v>
      </c>
      <c r="O40" s="235" t="s">
        <v>220</v>
      </c>
      <c r="P40" s="223">
        <f>P39/P37</f>
        <v>-1</v>
      </c>
      <c r="Q40" s="223">
        <f>Q39/Q37</f>
        <v>-1</v>
      </c>
      <c r="R40" s="31" t="s">
        <v>175</v>
      </c>
    </row>
    <row r="41" spans="10:18" ht="16.5" thickBot="1" x14ac:dyDescent="0.3">
      <c r="L41" s="13" t="s">
        <v>243</v>
      </c>
      <c r="M41" s="244">
        <v>35.700000000000003</v>
      </c>
      <c r="N41" s="245"/>
      <c r="O41" s="246"/>
      <c r="P41" s="247">
        <v>0</v>
      </c>
      <c r="Q41" s="248"/>
      <c r="R41" s="249"/>
    </row>
    <row r="42" spans="10:18" x14ac:dyDescent="0.25">
      <c r="L42" s="37" t="s">
        <v>223</v>
      </c>
      <c r="M42" s="236" t="e">
        <f t="shared" ref="M42:R42" si="1">M37/M35</f>
        <v>#DIV/0!</v>
      </c>
      <c r="N42" s="236" t="e">
        <f t="shared" si="1"/>
        <v>#DIV/0!</v>
      </c>
      <c r="O42" s="236" t="e">
        <f t="shared" si="1"/>
        <v>#DIV/0!</v>
      </c>
      <c r="P42" s="215">
        <f t="shared" si="1"/>
        <v>40.413111809609333</v>
      </c>
      <c r="Q42" s="215">
        <f t="shared" si="1"/>
        <v>40.413111809609347</v>
      </c>
      <c r="R42" s="215">
        <f t="shared" si="1"/>
        <v>40.41311180960934</v>
      </c>
    </row>
    <row r="44" spans="10:18" x14ac:dyDescent="0.25">
      <c r="L44" s="13" t="s">
        <v>245</v>
      </c>
      <c r="M44" s="238">
        <v>540000</v>
      </c>
    </row>
    <row r="45" spans="10:18" x14ac:dyDescent="0.25">
      <c r="L45" s="13" t="s">
        <v>244</v>
      </c>
      <c r="M45" s="237" t="e">
        <f>M38-M44</f>
        <v>#VALUE!</v>
      </c>
    </row>
  </sheetData>
  <mergeCells count="27">
    <mergeCell ref="M2:N2"/>
    <mergeCell ref="O6:P6"/>
    <mergeCell ref="C13:D13"/>
    <mergeCell ref="E13:F13"/>
    <mergeCell ref="G13:H13"/>
    <mergeCell ref="O2:P2"/>
    <mergeCell ref="C9:D9"/>
    <mergeCell ref="E9:F9"/>
    <mergeCell ref="G9:H9"/>
    <mergeCell ref="C2:D2"/>
    <mergeCell ref="E2:F2"/>
    <mergeCell ref="G2:H2"/>
    <mergeCell ref="I2:J2"/>
    <mergeCell ref="K2:L2"/>
    <mergeCell ref="C6:D6"/>
    <mergeCell ref="E6:F6"/>
    <mergeCell ref="G6:H6"/>
    <mergeCell ref="I6:J6"/>
    <mergeCell ref="K6:L6"/>
    <mergeCell ref="M6:N6"/>
    <mergeCell ref="I9:J9"/>
    <mergeCell ref="M41:O41"/>
    <mergeCell ref="P41:R41"/>
    <mergeCell ref="I13:J13"/>
    <mergeCell ref="K9:L9"/>
    <mergeCell ref="K13:L13"/>
    <mergeCell ref="N18:Q18"/>
  </mergeCells>
  <phoneticPr fontId="2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FF00"/>
  </sheetPr>
  <dimension ref="A1:AB42"/>
  <sheetViews>
    <sheetView topLeftCell="A16" zoomScale="115" zoomScaleNormal="115" workbookViewId="0">
      <selection activeCell="B43" sqref="B43"/>
    </sheetView>
  </sheetViews>
  <sheetFormatPr defaultColWidth="8" defaultRowHeight="15.75" x14ac:dyDescent="0.25"/>
  <cols>
    <col min="1" max="1" width="9.109375" style="37" bestFit="1" customWidth="1"/>
    <col min="2" max="2" width="8.6640625" style="37" bestFit="1" customWidth="1"/>
    <col min="3" max="3" width="8.21875" style="37" customWidth="1"/>
    <col min="4" max="4" width="8.21875" style="37" hidden="1" customWidth="1"/>
    <col min="5" max="5" width="8.21875" style="37" customWidth="1"/>
    <col min="6" max="6" width="8.21875" style="37" hidden="1" customWidth="1"/>
    <col min="7" max="7" width="8.21875" style="37" customWidth="1"/>
    <col min="8" max="8" width="8.21875" style="37" hidden="1" customWidth="1"/>
    <col min="9" max="9" width="8.21875" style="37" customWidth="1"/>
    <col min="10" max="10" width="8.21875" style="37" hidden="1" customWidth="1"/>
    <col min="11" max="11" width="8.21875" style="37" customWidth="1"/>
    <col min="12" max="12" width="8.21875" style="37" hidden="1" customWidth="1"/>
    <col min="13" max="13" width="8.21875" style="37" customWidth="1"/>
    <col min="14" max="14" width="8.21875" style="37" hidden="1" customWidth="1"/>
    <col min="15" max="15" width="8.21875" style="37" customWidth="1"/>
    <col min="16" max="16" width="8.21875" style="37" hidden="1" customWidth="1"/>
    <col min="17" max="17" width="8" style="37"/>
    <col min="18" max="18" width="8" style="37" hidden="1" customWidth="1"/>
    <col min="19" max="19" width="8" style="37"/>
    <col min="20" max="20" width="11.5546875" style="37" hidden="1" customWidth="1"/>
    <col min="21" max="21" width="11.21875" style="37" bestFit="1" customWidth="1"/>
    <col min="22" max="22" width="3.44140625" style="37" hidden="1" customWidth="1"/>
    <col min="23" max="23" width="6.21875" style="37" bestFit="1" customWidth="1"/>
    <col min="24" max="24" width="0" style="37" hidden="1" customWidth="1"/>
    <col min="25" max="25" width="9" style="37" bestFit="1" customWidth="1"/>
    <col min="26" max="26" width="0" style="37" hidden="1" customWidth="1"/>
    <col min="27" max="27" width="8" style="37"/>
    <col min="28" max="28" width="11.21875" style="37" bestFit="1" customWidth="1"/>
    <col min="29" max="16384" width="8" style="37"/>
  </cols>
  <sheetData>
    <row r="1" spans="1:28" ht="16.5" thickBot="1" x14ac:dyDescent="0.3"/>
    <row r="2" spans="1:28" ht="16.5" thickBot="1" x14ac:dyDescent="0.3">
      <c r="A2" s="65"/>
      <c r="B2" s="66" t="s">
        <v>103</v>
      </c>
      <c r="C2" s="67" t="s">
        <v>104</v>
      </c>
      <c r="D2" s="67"/>
      <c r="E2" s="67" t="s">
        <v>105</v>
      </c>
      <c r="F2" s="67"/>
      <c r="G2" s="67" t="s">
        <v>39</v>
      </c>
      <c r="H2" s="67"/>
      <c r="I2" s="67" t="s">
        <v>106</v>
      </c>
      <c r="J2" s="67"/>
      <c r="K2" s="67" t="s">
        <v>51</v>
      </c>
      <c r="L2" s="68"/>
      <c r="M2" s="69" t="s">
        <v>56</v>
      </c>
      <c r="N2" s="70"/>
      <c r="O2" s="69" t="s">
        <v>128</v>
      </c>
      <c r="P2" s="70"/>
      <c r="Q2" s="69" t="s">
        <v>161</v>
      </c>
      <c r="R2" s="70"/>
      <c r="S2" s="69" t="s">
        <v>162</v>
      </c>
      <c r="T2" s="70"/>
      <c r="U2" s="69" t="s">
        <v>112</v>
      </c>
      <c r="V2" s="70"/>
    </row>
    <row r="3" spans="1:28" ht="16.5" thickBot="1" x14ac:dyDescent="0.3">
      <c r="A3" s="71" t="s">
        <v>107</v>
      </c>
      <c r="B3" s="81" t="str">
        <f>CONCATENATE((N5+L5+J5+H5+F4+D4+V5+P5+R5+T5),"万")</f>
        <v>409万</v>
      </c>
      <c r="C3" s="43"/>
      <c r="D3" s="43"/>
      <c r="E3" s="43"/>
      <c r="F3" s="43"/>
      <c r="G3" s="43"/>
      <c r="H3" s="43"/>
      <c r="I3" s="43"/>
      <c r="J3" s="43"/>
      <c r="K3" s="43"/>
      <c r="L3" s="43"/>
      <c r="M3" s="43"/>
      <c r="N3" s="64"/>
      <c r="O3" s="43"/>
      <c r="P3" s="64"/>
      <c r="Q3" s="43"/>
      <c r="R3" s="64"/>
      <c r="S3" s="43"/>
      <c r="T3" s="64"/>
      <c r="U3" s="26"/>
      <c r="V3" s="64"/>
    </row>
    <row r="4" spans="1:28" x14ac:dyDescent="0.25">
      <c r="A4" s="72" t="s">
        <v>108</v>
      </c>
      <c r="B4" s="82"/>
      <c r="C4" s="80" t="s">
        <v>166</v>
      </c>
      <c r="D4" s="80" t="str">
        <f>LEFT(C4,LEN(C4)-1)</f>
        <v>7</v>
      </c>
      <c r="E4" s="80" t="s">
        <v>114</v>
      </c>
      <c r="F4" s="49" t="str">
        <f>LEFT(E4,LEN(E4)-1)</f>
        <v>3</v>
      </c>
      <c r="G4" s="49"/>
      <c r="H4" s="49"/>
      <c r="I4" s="49"/>
      <c r="J4" s="49"/>
      <c r="K4" s="49"/>
      <c r="L4" s="49"/>
      <c r="M4" s="49"/>
      <c r="N4" s="64"/>
      <c r="O4" s="49"/>
      <c r="P4" s="64"/>
      <c r="Q4" s="49"/>
      <c r="R4" s="64"/>
      <c r="S4" s="49"/>
      <c r="T4" s="64"/>
      <c r="U4" s="28"/>
      <c r="V4" s="64"/>
      <c r="W4" s="37" t="str">
        <f>CONCATENATE((D4+F4),"万")</f>
        <v>10万</v>
      </c>
      <c r="AB4" s="73" t="s">
        <v>109</v>
      </c>
    </row>
    <row r="5" spans="1:28" ht="16.5" thickBot="1" x14ac:dyDescent="0.3">
      <c r="A5" s="74" t="s">
        <v>110</v>
      </c>
      <c r="B5" s="112"/>
      <c r="C5" s="78"/>
      <c r="D5" s="78"/>
      <c r="E5" s="78"/>
      <c r="F5" s="78"/>
      <c r="G5" s="152" t="s">
        <v>130</v>
      </c>
      <c r="H5" s="78" t="str">
        <f>LEFT(G5,LEN(G5)-1)</f>
        <v>30</v>
      </c>
      <c r="I5" s="152" t="s">
        <v>151</v>
      </c>
      <c r="J5" s="78" t="str">
        <f>LEFT(I5,LEN(I5)-1)</f>
        <v>48</v>
      </c>
      <c r="K5" s="78" t="s">
        <v>163</v>
      </c>
      <c r="L5" s="78" t="str">
        <f>LEFT(K5,LEN(K5)-1)</f>
        <v>39</v>
      </c>
      <c r="M5" s="152" t="s">
        <v>164</v>
      </c>
      <c r="N5" s="79" t="str">
        <f>LEFT(M5,LEN(M5)-1)</f>
        <v>201</v>
      </c>
      <c r="O5" s="78" t="s">
        <v>152</v>
      </c>
      <c r="P5" s="79" t="str">
        <f>LEFT(O5,LEN(O5)-1)</f>
        <v>0</v>
      </c>
      <c r="Q5" s="77" t="s">
        <v>165</v>
      </c>
      <c r="R5" s="79" t="str">
        <f>LEFT(Q5,LEN(Q5)-1)</f>
        <v>66</v>
      </c>
      <c r="S5" s="77" t="s">
        <v>152</v>
      </c>
      <c r="T5" s="79" t="str">
        <f>LEFT(S5,LEN(S5)-1)</f>
        <v>0</v>
      </c>
      <c r="U5" s="78" t="s">
        <v>113</v>
      </c>
      <c r="V5" s="79" t="str">
        <f>LEFT(U5,LEN(U5)-1)</f>
        <v>15</v>
      </c>
      <c r="W5" s="37" t="str">
        <f>CONCATENATE((H5+J5+L5+N5+P5+R5+T5+V5),"万")</f>
        <v>399万</v>
      </c>
      <c r="AB5" s="75">
        <v>43109</v>
      </c>
    </row>
    <row r="6" spans="1:28" x14ac:dyDescent="0.25">
      <c r="A6" s="76" t="s">
        <v>111</v>
      </c>
      <c r="B6" s="37" t="s">
        <v>167</v>
      </c>
      <c r="E6" s="55"/>
    </row>
    <row r="7" spans="1:28" ht="16.5" thickBot="1" x14ac:dyDescent="0.3"/>
    <row r="8" spans="1:28" ht="16.5" thickBot="1" x14ac:dyDescent="0.3">
      <c r="A8" s="65"/>
      <c r="B8" s="66" t="s">
        <v>103</v>
      </c>
      <c r="C8" s="67" t="s">
        <v>104</v>
      </c>
      <c r="D8" s="67"/>
      <c r="E8" s="67" t="s">
        <v>105</v>
      </c>
      <c r="F8" s="67"/>
      <c r="G8" s="67" t="s">
        <v>39</v>
      </c>
      <c r="H8" s="67"/>
      <c r="I8" s="67" t="s">
        <v>106</v>
      </c>
      <c r="J8" s="67"/>
      <c r="K8" s="67" t="s">
        <v>51</v>
      </c>
      <c r="L8" s="68"/>
      <c r="M8" s="69" t="s">
        <v>56</v>
      </c>
      <c r="N8" s="70"/>
      <c r="O8" s="69" t="s">
        <v>128</v>
      </c>
      <c r="P8" s="70"/>
      <c r="Q8" s="69" t="s">
        <v>161</v>
      </c>
      <c r="R8" s="70"/>
      <c r="S8" s="69" t="s">
        <v>162</v>
      </c>
      <c r="T8" s="70"/>
      <c r="U8" s="69" t="s">
        <v>112</v>
      </c>
      <c r="V8" s="70"/>
    </row>
    <row r="9" spans="1:28" ht="16.5" thickBot="1" x14ac:dyDescent="0.3">
      <c r="A9" s="71" t="s">
        <v>107</v>
      </c>
      <c r="B9" s="81" t="str">
        <f>CONCATENATE((N11+L11+J11+H11+F10+D10+V11+P11+R11+T11),"万")</f>
        <v>414万</v>
      </c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64"/>
      <c r="O9" s="43"/>
      <c r="P9" s="64"/>
      <c r="Q9" s="43"/>
      <c r="R9" s="64"/>
      <c r="S9" s="43"/>
      <c r="T9" s="64"/>
      <c r="U9" s="26"/>
      <c r="V9" s="64"/>
    </row>
    <row r="10" spans="1:28" x14ac:dyDescent="0.25">
      <c r="A10" s="72" t="s">
        <v>108</v>
      </c>
      <c r="B10" s="82"/>
      <c r="C10" s="80" t="s">
        <v>181</v>
      </c>
      <c r="D10" s="80" t="str">
        <f>LEFT(C10,LEN(C10)-1)</f>
        <v>13</v>
      </c>
      <c r="E10" s="80" t="s">
        <v>180</v>
      </c>
      <c r="F10" s="49" t="str">
        <f>LEFT(E10,LEN(E10)-1)</f>
        <v>2</v>
      </c>
      <c r="G10" s="49"/>
      <c r="H10" s="49"/>
      <c r="I10" s="49"/>
      <c r="J10" s="49"/>
      <c r="K10" s="49"/>
      <c r="L10" s="49"/>
      <c r="M10" s="49"/>
      <c r="N10" s="64"/>
      <c r="O10" s="49"/>
      <c r="P10" s="64"/>
      <c r="Q10" s="49"/>
      <c r="R10" s="64"/>
      <c r="S10" s="49"/>
      <c r="T10" s="64"/>
      <c r="U10" s="28"/>
      <c r="V10" s="64"/>
      <c r="W10" s="37" t="str">
        <f>CONCATENATE((D10+F10),"万")</f>
        <v>15万</v>
      </c>
      <c r="AB10" s="73" t="s">
        <v>109</v>
      </c>
    </row>
    <row r="11" spans="1:28" ht="16.5" thickBot="1" x14ac:dyDescent="0.3">
      <c r="A11" s="74" t="s">
        <v>110</v>
      </c>
      <c r="B11" s="112"/>
      <c r="C11" s="78"/>
      <c r="D11" s="78"/>
      <c r="E11" s="78"/>
      <c r="F11" s="78"/>
      <c r="G11" s="152" t="s">
        <v>130</v>
      </c>
      <c r="H11" s="78" t="str">
        <f>LEFT(G11,LEN(G11)-1)</f>
        <v>30</v>
      </c>
      <c r="I11" s="152" t="s">
        <v>151</v>
      </c>
      <c r="J11" s="78" t="str">
        <f>LEFT(I11,LEN(I11)-1)</f>
        <v>48</v>
      </c>
      <c r="K11" s="78" t="s">
        <v>163</v>
      </c>
      <c r="L11" s="78" t="str">
        <f>LEFT(K11,LEN(K11)-1)</f>
        <v>39</v>
      </c>
      <c r="M11" s="152" t="s">
        <v>164</v>
      </c>
      <c r="N11" s="79" t="str">
        <f>LEFT(M11,LEN(M11)-1)</f>
        <v>201</v>
      </c>
      <c r="O11" s="78" t="s">
        <v>152</v>
      </c>
      <c r="P11" s="79" t="str">
        <f>LEFT(O11,LEN(O11)-1)</f>
        <v>0</v>
      </c>
      <c r="Q11" s="77" t="s">
        <v>152</v>
      </c>
      <c r="R11" s="79" t="str">
        <f>LEFT(Q11,LEN(Q11)-1)</f>
        <v>0</v>
      </c>
      <c r="S11" s="77" t="s">
        <v>165</v>
      </c>
      <c r="T11" s="79" t="str">
        <f>LEFT(S11,LEN(S11)-1)</f>
        <v>66</v>
      </c>
      <c r="U11" s="78" t="s">
        <v>113</v>
      </c>
      <c r="V11" s="79" t="str">
        <f>LEFT(U11,LEN(U11)-1)</f>
        <v>15</v>
      </c>
      <c r="W11" s="37" t="str">
        <f>CONCATENATE((H11+J11+L11+N11+P11+R11+T11+V11),"万")</f>
        <v>399万</v>
      </c>
      <c r="AB11" s="75">
        <v>43145</v>
      </c>
    </row>
    <row r="12" spans="1:28" x14ac:dyDescent="0.25">
      <c r="A12" s="76" t="s">
        <v>111</v>
      </c>
      <c r="B12" s="37" t="s">
        <v>182</v>
      </c>
      <c r="E12" s="55"/>
    </row>
    <row r="13" spans="1:28" ht="16.5" thickBot="1" x14ac:dyDescent="0.3"/>
    <row r="14" spans="1:28" ht="16.5" thickBot="1" x14ac:dyDescent="0.3">
      <c r="A14" s="65"/>
      <c r="B14" s="66" t="s">
        <v>103</v>
      </c>
      <c r="C14" s="67" t="s">
        <v>104</v>
      </c>
      <c r="D14" s="67"/>
      <c r="E14" s="67" t="s">
        <v>105</v>
      </c>
      <c r="F14" s="67"/>
      <c r="G14" s="67" t="s">
        <v>39</v>
      </c>
      <c r="H14" s="67"/>
      <c r="I14" s="67" t="s">
        <v>106</v>
      </c>
      <c r="J14" s="67"/>
      <c r="K14" s="67" t="s">
        <v>51</v>
      </c>
      <c r="L14" s="68"/>
      <c r="M14" s="69" t="s">
        <v>56</v>
      </c>
      <c r="N14" s="70"/>
      <c r="O14" s="69" t="s">
        <v>128</v>
      </c>
      <c r="P14" s="70"/>
      <c r="Q14" s="69" t="s">
        <v>161</v>
      </c>
      <c r="R14" s="70"/>
      <c r="S14" s="69" t="s">
        <v>162</v>
      </c>
      <c r="T14" s="70"/>
      <c r="U14" s="69" t="s">
        <v>112</v>
      </c>
      <c r="V14" s="70"/>
    </row>
    <row r="15" spans="1:28" ht="16.5" thickBot="1" x14ac:dyDescent="0.3">
      <c r="A15" s="71" t="s">
        <v>107</v>
      </c>
      <c r="B15" s="81" t="str">
        <f>CONCATENATE((N17+L17+J17+H17+F16+D16+V17+P17+R17+T17),"万")</f>
        <v>425万</v>
      </c>
      <c r="C15" s="43"/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64"/>
      <c r="O15" s="43"/>
      <c r="P15" s="64"/>
      <c r="Q15" s="43"/>
      <c r="R15" s="64"/>
      <c r="S15" s="43"/>
      <c r="T15" s="64"/>
      <c r="U15" s="26"/>
      <c r="V15" s="64"/>
    </row>
    <row r="16" spans="1:28" x14ac:dyDescent="0.25">
      <c r="A16" s="72" t="s">
        <v>108</v>
      </c>
      <c r="B16" s="82"/>
      <c r="C16" s="80" t="s">
        <v>209</v>
      </c>
      <c r="D16" s="80" t="str">
        <f>LEFT(C16,LEN(C16)-1)</f>
        <v>25</v>
      </c>
      <c r="E16" s="80" t="s">
        <v>207</v>
      </c>
      <c r="F16" s="49" t="str">
        <f>LEFT(E16,LEN(E16)-1)</f>
        <v>1</v>
      </c>
      <c r="G16" s="49"/>
      <c r="H16" s="49"/>
      <c r="I16" s="49"/>
      <c r="J16" s="49"/>
      <c r="K16" s="49"/>
      <c r="L16" s="49"/>
      <c r="M16" s="49"/>
      <c r="N16" s="64"/>
      <c r="O16" s="49"/>
      <c r="P16" s="64"/>
      <c r="Q16" s="49"/>
      <c r="R16" s="64"/>
      <c r="S16" s="49"/>
      <c r="T16" s="64"/>
      <c r="U16" s="28"/>
      <c r="V16" s="64"/>
      <c r="W16" s="37" t="str">
        <f>CONCATENATE((D16+F16),"万")</f>
        <v>26万</v>
      </c>
      <c r="AB16" s="73" t="s">
        <v>109</v>
      </c>
    </row>
    <row r="17" spans="1:28" ht="16.5" thickBot="1" x14ac:dyDescent="0.3">
      <c r="A17" s="74" t="s">
        <v>110</v>
      </c>
      <c r="B17" s="112"/>
      <c r="C17" s="78"/>
      <c r="D17" s="78"/>
      <c r="E17" s="78"/>
      <c r="F17" s="78"/>
      <c r="G17" s="152" t="s">
        <v>130</v>
      </c>
      <c r="H17" s="78" t="str">
        <f>LEFT(G17,LEN(G17)-1)</f>
        <v>30</v>
      </c>
      <c r="I17" s="152" t="s">
        <v>151</v>
      </c>
      <c r="J17" s="78" t="str">
        <f>LEFT(I17,LEN(I17)-1)</f>
        <v>48</v>
      </c>
      <c r="K17" s="78" t="s">
        <v>163</v>
      </c>
      <c r="L17" s="78" t="str">
        <f>LEFT(K17,LEN(K17)-1)</f>
        <v>39</v>
      </c>
      <c r="M17" s="152" t="s">
        <v>164</v>
      </c>
      <c r="N17" s="79" t="str">
        <f>LEFT(M17,LEN(M17)-1)</f>
        <v>201</v>
      </c>
      <c r="O17" s="78" t="s">
        <v>152</v>
      </c>
      <c r="P17" s="79" t="str">
        <f>LEFT(O17,LEN(O17)-1)</f>
        <v>0</v>
      </c>
      <c r="Q17" s="77" t="s">
        <v>152</v>
      </c>
      <c r="R17" s="79" t="str">
        <f>LEFT(Q17,LEN(Q17)-1)</f>
        <v>0</v>
      </c>
      <c r="S17" s="77" t="s">
        <v>165</v>
      </c>
      <c r="T17" s="79" t="str">
        <f>LEFT(S17,LEN(S17)-1)</f>
        <v>66</v>
      </c>
      <c r="U17" s="78" t="s">
        <v>113</v>
      </c>
      <c r="V17" s="79" t="str">
        <f>LEFT(U17,LEN(U17)-1)</f>
        <v>15</v>
      </c>
      <c r="W17" s="37" t="str">
        <f>CONCATENATE((H17+J17+L17+N17+P17+R17+T17+V17),"万")</f>
        <v>399万</v>
      </c>
      <c r="AB17" s="75">
        <v>43158</v>
      </c>
    </row>
    <row r="18" spans="1:28" x14ac:dyDescent="0.25">
      <c r="A18" s="76" t="s">
        <v>111</v>
      </c>
      <c r="B18" s="37" t="s">
        <v>208</v>
      </c>
      <c r="E18" s="55"/>
    </row>
    <row r="19" spans="1:28" ht="16.5" thickBot="1" x14ac:dyDescent="0.3"/>
    <row r="20" spans="1:28" ht="16.5" thickBot="1" x14ac:dyDescent="0.3">
      <c r="A20" s="65"/>
      <c r="B20" s="66" t="s">
        <v>103</v>
      </c>
      <c r="C20" s="67" t="s">
        <v>104</v>
      </c>
      <c r="D20" s="67"/>
      <c r="E20" s="67" t="s">
        <v>105</v>
      </c>
      <c r="F20" s="67"/>
      <c r="G20" s="67" t="s">
        <v>39</v>
      </c>
      <c r="H20" s="67"/>
      <c r="I20" s="67" t="s">
        <v>106</v>
      </c>
      <c r="J20" s="67"/>
      <c r="K20" s="67" t="s">
        <v>51</v>
      </c>
      <c r="L20" s="68"/>
      <c r="M20" s="69" t="s">
        <v>56</v>
      </c>
      <c r="N20" s="70"/>
      <c r="O20" s="69" t="s">
        <v>128</v>
      </c>
      <c r="P20" s="70"/>
      <c r="Q20" s="69" t="s">
        <v>161</v>
      </c>
      <c r="R20" s="70"/>
      <c r="S20" s="69" t="s">
        <v>162</v>
      </c>
      <c r="T20" s="70"/>
      <c r="U20" s="69" t="s">
        <v>112</v>
      </c>
      <c r="V20" s="70"/>
    </row>
    <row r="21" spans="1:28" ht="16.5" thickBot="1" x14ac:dyDescent="0.3">
      <c r="A21" s="71" t="s">
        <v>107</v>
      </c>
      <c r="B21" s="81" t="str">
        <f>CONCATENATE((N23+L23+J23+H23+F22+D22+V23+P23+R23+T23),"万")</f>
        <v>425万</v>
      </c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64"/>
      <c r="O21" s="43"/>
      <c r="P21" s="64"/>
      <c r="Q21" s="43"/>
      <c r="R21" s="64"/>
      <c r="S21" s="43"/>
      <c r="T21" s="64"/>
      <c r="U21" s="26"/>
      <c r="V21" s="64"/>
    </row>
    <row r="22" spans="1:28" x14ac:dyDescent="0.25">
      <c r="A22" s="72" t="s">
        <v>108</v>
      </c>
      <c r="B22" s="82"/>
      <c r="C22" s="80" t="s">
        <v>166</v>
      </c>
      <c r="D22" s="80" t="str">
        <f>LEFT(C22,LEN(C22)-1)</f>
        <v>7</v>
      </c>
      <c r="E22" s="80" t="s">
        <v>207</v>
      </c>
      <c r="F22" s="49" t="str">
        <f>LEFT(E22,LEN(E22)-1)</f>
        <v>1</v>
      </c>
      <c r="G22" s="49"/>
      <c r="H22" s="49"/>
      <c r="I22" s="49"/>
      <c r="J22" s="49"/>
      <c r="K22" s="49"/>
      <c r="L22" s="49"/>
      <c r="M22" s="49"/>
      <c r="N22" s="64"/>
      <c r="O22" s="49"/>
      <c r="P22" s="64"/>
      <c r="Q22" s="49"/>
      <c r="R22" s="64"/>
      <c r="S22" s="49"/>
      <c r="T22" s="64"/>
      <c r="U22" s="28"/>
      <c r="V22" s="64"/>
      <c r="W22" s="37" t="str">
        <f>CONCATENATE((D22+F22),"万")</f>
        <v>8万</v>
      </c>
      <c r="AB22" s="73" t="s">
        <v>109</v>
      </c>
    </row>
    <row r="23" spans="1:28" ht="16.5" thickBot="1" x14ac:dyDescent="0.3">
      <c r="A23" s="74" t="s">
        <v>110</v>
      </c>
      <c r="B23" s="112"/>
      <c r="C23" s="78"/>
      <c r="D23" s="78"/>
      <c r="E23" s="78"/>
      <c r="F23" s="78"/>
      <c r="G23" s="152" t="s">
        <v>130</v>
      </c>
      <c r="H23" s="78" t="str">
        <f>LEFT(G23,LEN(G23)-1)</f>
        <v>30</v>
      </c>
      <c r="I23" s="152" t="s">
        <v>151</v>
      </c>
      <c r="J23" s="78" t="str">
        <f>LEFT(I23,LEN(I23)-1)</f>
        <v>48</v>
      </c>
      <c r="K23" s="78" t="s">
        <v>163</v>
      </c>
      <c r="L23" s="78" t="str">
        <f>LEFT(K23,LEN(K23)-1)</f>
        <v>39</v>
      </c>
      <c r="M23" s="152" t="s">
        <v>164</v>
      </c>
      <c r="N23" s="79" t="str">
        <f>LEFT(M23,LEN(M23)-1)</f>
        <v>201</v>
      </c>
      <c r="O23" s="78" t="s">
        <v>152</v>
      </c>
      <c r="P23" s="79" t="str">
        <f>LEFT(O23,LEN(O23)-1)</f>
        <v>0</v>
      </c>
      <c r="Q23" s="77" t="s">
        <v>225</v>
      </c>
      <c r="R23" s="79" t="str">
        <f>LEFT(Q23,LEN(Q23)-1)</f>
        <v>18</v>
      </c>
      <c r="S23" s="77" t="s">
        <v>165</v>
      </c>
      <c r="T23" s="79" t="str">
        <f>LEFT(S23,LEN(S23)-1)</f>
        <v>66</v>
      </c>
      <c r="U23" s="78" t="s">
        <v>113</v>
      </c>
      <c r="V23" s="79" t="str">
        <f>LEFT(U23,LEN(U23)-1)</f>
        <v>15</v>
      </c>
      <c r="W23" s="37" t="str">
        <f>CONCATENATE((H23+J23+L23+N23+P23+R23+T23+V23),"万")</f>
        <v>417万</v>
      </c>
      <c r="AB23" s="75">
        <v>43160</v>
      </c>
    </row>
    <row r="24" spans="1:28" x14ac:dyDescent="0.25">
      <c r="A24" s="76" t="s">
        <v>111</v>
      </c>
      <c r="B24" s="37" t="s">
        <v>226</v>
      </c>
      <c r="E24" s="55"/>
    </row>
    <row r="25" spans="1:28" ht="16.5" thickBot="1" x14ac:dyDescent="0.3"/>
    <row r="26" spans="1:28" ht="16.5" thickBot="1" x14ac:dyDescent="0.3">
      <c r="A26" s="65"/>
      <c r="B26" s="66" t="s">
        <v>103</v>
      </c>
      <c r="C26" s="67" t="s">
        <v>104</v>
      </c>
      <c r="D26" s="67"/>
      <c r="E26" s="67" t="s">
        <v>105</v>
      </c>
      <c r="F26" s="67"/>
      <c r="G26" s="67" t="s">
        <v>39</v>
      </c>
      <c r="H26" s="67"/>
      <c r="I26" s="67" t="s">
        <v>106</v>
      </c>
      <c r="J26" s="67"/>
      <c r="K26" s="67" t="s">
        <v>51</v>
      </c>
      <c r="L26" s="68"/>
      <c r="M26" s="69" t="s">
        <v>56</v>
      </c>
      <c r="N26" s="70"/>
      <c r="O26" s="69" t="s">
        <v>128</v>
      </c>
      <c r="P26" s="70"/>
      <c r="Q26" s="69" t="s">
        <v>161</v>
      </c>
      <c r="R26" s="70"/>
      <c r="S26" s="69" t="s">
        <v>162</v>
      </c>
      <c r="T26" s="70"/>
      <c r="U26" s="69" t="s">
        <v>259</v>
      </c>
      <c r="V26" s="70"/>
      <c r="W26" s="69" t="s">
        <v>256</v>
      </c>
      <c r="X26" s="70"/>
      <c r="Y26" s="69" t="s">
        <v>269</v>
      </c>
      <c r="Z26" s="70"/>
    </row>
    <row r="27" spans="1:28" ht="16.5" thickBot="1" x14ac:dyDescent="0.3">
      <c r="A27" s="71" t="s">
        <v>107</v>
      </c>
      <c r="B27" s="81" t="str">
        <f>CONCATENATE((N29+L29+J29+H29+F28+D28+V29+P29+R29+T29+Z29+X29),"万")</f>
        <v>434万</v>
      </c>
      <c r="C27" s="43"/>
      <c r="D27" s="43"/>
      <c r="E27" s="43"/>
      <c r="F27" s="43"/>
      <c r="G27" s="43"/>
      <c r="H27" s="43"/>
      <c r="I27" s="43"/>
      <c r="J27" s="43"/>
      <c r="K27" s="43"/>
      <c r="L27" s="43"/>
      <c r="M27" s="43"/>
      <c r="N27" s="64"/>
      <c r="O27" s="43"/>
      <c r="P27" s="64"/>
      <c r="Q27" s="43"/>
      <c r="R27" s="64"/>
      <c r="S27" s="43"/>
      <c r="T27" s="64"/>
      <c r="U27" s="26"/>
      <c r="V27" s="64"/>
      <c r="W27" s="26"/>
      <c r="X27" s="64"/>
      <c r="Y27" s="26"/>
      <c r="Z27" s="64"/>
    </row>
    <row r="28" spans="1:28" x14ac:dyDescent="0.25">
      <c r="A28" s="72" t="s">
        <v>108</v>
      </c>
      <c r="B28" s="82"/>
      <c r="C28" s="80" t="s">
        <v>255</v>
      </c>
      <c r="D28" s="80" t="str">
        <f>LEFT(C28,LEN(C28)-1)</f>
        <v>17</v>
      </c>
      <c r="E28" s="80" t="s">
        <v>152</v>
      </c>
      <c r="F28" s="49" t="str">
        <f>LEFT(E28,LEN(E28)-1)</f>
        <v>0</v>
      </c>
      <c r="G28" s="49"/>
      <c r="H28" s="49"/>
      <c r="I28" s="49"/>
      <c r="J28" s="49"/>
      <c r="K28" s="49"/>
      <c r="L28" s="49"/>
      <c r="M28" s="49"/>
      <c r="N28" s="64"/>
      <c r="O28" s="49"/>
      <c r="P28" s="64"/>
      <c r="Q28" s="49"/>
      <c r="R28" s="64"/>
      <c r="S28" s="49"/>
      <c r="T28" s="64"/>
      <c r="U28" s="28"/>
      <c r="V28" s="64"/>
      <c r="W28" s="28"/>
      <c r="X28" s="64"/>
      <c r="Y28" s="28"/>
      <c r="Z28" s="64"/>
      <c r="AA28" s="37" t="str">
        <f>CONCATENATE((D28+F28),"万")</f>
        <v>17万</v>
      </c>
      <c r="AB28" s="73" t="s">
        <v>109</v>
      </c>
    </row>
    <row r="29" spans="1:28" ht="16.5" thickBot="1" x14ac:dyDescent="0.3">
      <c r="A29" s="74" t="s">
        <v>110</v>
      </c>
      <c r="B29" s="112"/>
      <c r="C29" s="78"/>
      <c r="D29" s="78"/>
      <c r="E29" s="78"/>
      <c r="F29" s="78"/>
      <c r="G29" s="152" t="s">
        <v>130</v>
      </c>
      <c r="H29" s="78" t="str">
        <f>LEFT(G29,LEN(G29)-1)</f>
        <v>30</v>
      </c>
      <c r="I29" s="152" t="s">
        <v>151</v>
      </c>
      <c r="J29" s="78" t="str">
        <f>LEFT(I29,LEN(I29)-1)</f>
        <v>48</v>
      </c>
      <c r="K29" s="78" t="s">
        <v>163</v>
      </c>
      <c r="L29" s="78" t="str">
        <f>LEFT(K29,LEN(K29)-1)</f>
        <v>39</v>
      </c>
      <c r="M29" s="152" t="s">
        <v>164</v>
      </c>
      <c r="N29" s="79" t="str">
        <f>LEFT(M29,LEN(M29)-1)</f>
        <v>201</v>
      </c>
      <c r="O29" s="78" t="s">
        <v>152</v>
      </c>
      <c r="P29" s="79" t="str">
        <f>LEFT(O29,LEN(O29)-1)</f>
        <v>0</v>
      </c>
      <c r="Q29" s="77" t="s">
        <v>152</v>
      </c>
      <c r="R29" s="79" t="str">
        <f>LEFT(Q29,LEN(Q29)-1)</f>
        <v>0</v>
      </c>
      <c r="S29" s="152" t="s">
        <v>165</v>
      </c>
      <c r="T29" s="79" t="str">
        <f>LEFT(S29,LEN(S29)-1)</f>
        <v>66</v>
      </c>
      <c r="U29" s="78" t="s">
        <v>113</v>
      </c>
      <c r="V29" s="79" t="str">
        <f>LEFT(U29,LEN(U29)-1)</f>
        <v>15</v>
      </c>
      <c r="W29" s="77" t="s">
        <v>257</v>
      </c>
      <c r="X29" s="79" t="str">
        <f>LEFT(W29,LEN(W29)-1)</f>
        <v>6</v>
      </c>
      <c r="Y29" s="77" t="s">
        <v>258</v>
      </c>
      <c r="Z29" s="226" t="str">
        <f>LEFT(Y29,LEN(Y29)-1)</f>
        <v>12</v>
      </c>
      <c r="AA29" s="37" t="str">
        <f>CONCATENATE((H29+J29+L29+N29+P29+R29+T29+V29+Z29+X29),"万")</f>
        <v>417万</v>
      </c>
      <c r="AB29" s="75">
        <v>43186</v>
      </c>
    </row>
    <row r="30" spans="1:28" x14ac:dyDescent="0.25">
      <c r="A30" s="76" t="s">
        <v>111</v>
      </c>
      <c r="B30" s="37" t="s">
        <v>260</v>
      </c>
      <c r="E30" s="55"/>
    </row>
    <row r="31" spans="1:28" ht="16.5" thickBot="1" x14ac:dyDescent="0.3"/>
    <row r="32" spans="1:28" ht="16.5" thickBot="1" x14ac:dyDescent="0.3">
      <c r="A32" s="65"/>
      <c r="B32" s="66" t="s">
        <v>103</v>
      </c>
      <c r="C32" s="67" t="s">
        <v>104</v>
      </c>
      <c r="D32" s="67"/>
      <c r="E32" s="67" t="s">
        <v>105</v>
      </c>
      <c r="F32" s="67"/>
      <c r="G32" s="67" t="s">
        <v>39</v>
      </c>
      <c r="H32" s="67"/>
      <c r="I32" s="67" t="s">
        <v>106</v>
      </c>
      <c r="J32" s="67"/>
      <c r="K32" s="67" t="s">
        <v>51</v>
      </c>
      <c r="L32" s="68"/>
      <c r="M32" s="69" t="s">
        <v>56</v>
      </c>
      <c r="N32" s="70"/>
      <c r="O32" s="69" t="s">
        <v>128</v>
      </c>
      <c r="P32" s="70"/>
      <c r="Q32" s="69" t="s">
        <v>161</v>
      </c>
      <c r="R32" s="70"/>
      <c r="S32" s="69" t="s">
        <v>162</v>
      </c>
      <c r="T32" s="70"/>
      <c r="U32" s="69" t="s">
        <v>259</v>
      </c>
      <c r="V32" s="70"/>
      <c r="W32" s="69" t="s">
        <v>256</v>
      </c>
      <c r="X32" s="70"/>
      <c r="Y32" s="69" t="s">
        <v>269</v>
      </c>
      <c r="Z32" s="70"/>
    </row>
    <row r="33" spans="1:28" ht="16.5" thickBot="1" x14ac:dyDescent="0.3">
      <c r="A33" s="71" t="s">
        <v>107</v>
      </c>
      <c r="B33" s="81" t="str">
        <f>CONCATENATE((N35+L35+J35+H35+F34+D34+V35+P35+R35+T35+Z35+X35),"万")</f>
        <v>423万</v>
      </c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64"/>
      <c r="O33" s="43"/>
      <c r="P33" s="64"/>
      <c r="Q33" s="43"/>
      <c r="R33" s="64"/>
      <c r="S33" s="43"/>
      <c r="T33" s="64"/>
      <c r="U33" s="26"/>
      <c r="V33" s="64"/>
      <c r="W33" s="26"/>
      <c r="X33" s="64"/>
      <c r="Y33" s="26"/>
      <c r="Z33" s="64"/>
    </row>
    <row r="34" spans="1:28" x14ac:dyDescent="0.25">
      <c r="A34" s="72" t="s">
        <v>108</v>
      </c>
      <c r="B34" s="82"/>
      <c r="C34" s="80" t="s">
        <v>271</v>
      </c>
      <c r="D34" s="80" t="str">
        <f>LEFT(C34,LEN(C34)-1)</f>
        <v>5</v>
      </c>
      <c r="E34" s="80" t="s">
        <v>180</v>
      </c>
      <c r="F34" s="49" t="str">
        <f>LEFT(E34,LEN(E34)-1)</f>
        <v>2</v>
      </c>
      <c r="G34" s="49"/>
      <c r="H34" s="49"/>
      <c r="I34" s="49"/>
      <c r="J34" s="49"/>
      <c r="K34" s="49"/>
      <c r="L34" s="49"/>
      <c r="M34" s="49"/>
      <c r="N34" s="64"/>
      <c r="O34" s="49"/>
      <c r="P34" s="64"/>
      <c r="Q34" s="49"/>
      <c r="R34" s="64"/>
      <c r="S34" s="49"/>
      <c r="T34" s="64"/>
      <c r="U34" s="28"/>
      <c r="V34" s="64"/>
      <c r="W34" s="28"/>
      <c r="X34" s="64"/>
      <c r="Y34" s="28"/>
      <c r="Z34" s="64"/>
      <c r="AA34" s="37" t="str">
        <f>CONCATENATE((D34+F34),"万")</f>
        <v>7万</v>
      </c>
      <c r="AB34" s="73" t="s">
        <v>109</v>
      </c>
    </row>
    <row r="35" spans="1:28" ht="16.5" thickBot="1" x14ac:dyDescent="0.3">
      <c r="A35" s="74" t="s">
        <v>110</v>
      </c>
      <c r="B35" s="112"/>
      <c r="C35" s="78"/>
      <c r="D35" s="78"/>
      <c r="E35" s="78"/>
      <c r="F35" s="78"/>
      <c r="G35" s="152" t="s">
        <v>130</v>
      </c>
      <c r="H35" s="78" t="str">
        <f>LEFT(G35,LEN(G35)-1)</f>
        <v>30</v>
      </c>
      <c r="I35" s="152" t="s">
        <v>151</v>
      </c>
      <c r="J35" s="78" t="str">
        <f>LEFT(I35,LEN(I35)-1)</f>
        <v>48</v>
      </c>
      <c r="K35" s="78" t="s">
        <v>268</v>
      </c>
      <c r="L35" s="78" t="str">
        <f>LEFT(K35,LEN(K35)-1)</f>
        <v>38</v>
      </c>
      <c r="M35" s="152" t="s">
        <v>164</v>
      </c>
      <c r="N35" s="79" t="str">
        <f>LEFT(M35,LEN(M35)-1)</f>
        <v>201</v>
      </c>
      <c r="O35" s="78" t="s">
        <v>152</v>
      </c>
      <c r="P35" s="79" t="str">
        <f>LEFT(O35,LEN(O35)-1)</f>
        <v>0</v>
      </c>
      <c r="Q35" s="78" t="s">
        <v>152</v>
      </c>
      <c r="R35" s="79" t="str">
        <f>LEFT(Q35,LEN(Q35)-1)</f>
        <v>0</v>
      </c>
      <c r="S35" s="152" t="s">
        <v>165</v>
      </c>
      <c r="T35" s="79" t="str">
        <f>LEFT(S35,LEN(S35)-1)</f>
        <v>66</v>
      </c>
      <c r="U35" s="78" t="s">
        <v>113</v>
      </c>
      <c r="V35" s="79" t="str">
        <f>LEFT(U35,LEN(U35)-1)</f>
        <v>15</v>
      </c>
      <c r="W35" s="78" t="s">
        <v>257</v>
      </c>
      <c r="X35" s="226" t="str">
        <f>LEFT(W35,LEN(W35)-1)</f>
        <v>6</v>
      </c>
      <c r="Y35" s="78" t="s">
        <v>258</v>
      </c>
      <c r="Z35" s="226" t="str">
        <f>LEFT(Y35,LEN(Y35)-1)</f>
        <v>12</v>
      </c>
      <c r="AA35" s="37" t="str">
        <f>CONCATENATE((H35+J35+L35+N35+P35+R35+T35+V35+Z35+X35),"万")</f>
        <v>416万</v>
      </c>
      <c r="AB35" s="75">
        <v>43227</v>
      </c>
    </row>
    <row r="36" spans="1:28" x14ac:dyDescent="0.25">
      <c r="A36" s="76" t="s">
        <v>111</v>
      </c>
      <c r="B36" s="37" t="s">
        <v>270</v>
      </c>
      <c r="E36" s="55"/>
    </row>
    <row r="37" spans="1:28" ht="16.5" thickBot="1" x14ac:dyDescent="0.3"/>
    <row r="38" spans="1:28" ht="16.5" thickBot="1" x14ac:dyDescent="0.3">
      <c r="A38" s="65"/>
      <c r="B38" s="66" t="s">
        <v>103</v>
      </c>
      <c r="C38" s="67" t="s">
        <v>104</v>
      </c>
      <c r="D38" s="67"/>
      <c r="E38" s="67" t="s">
        <v>105</v>
      </c>
      <c r="F38" s="67"/>
      <c r="G38" s="67" t="s">
        <v>39</v>
      </c>
      <c r="H38" s="67"/>
      <c r="I38" s="67" t="s">
        <v>106</v>
      </c>
      <c r="J38" s="67"/>
      <c r="K38" s="67" t="s">
        <v>51</v>
      </c>
      <c r="L38" s="68"/>
      <c r="M38" s="69" t="s">
        <v>56</v>
      </c>
      <c r="N38" s="70"/>
      <c r="O38" s="69" t="s">
        <v>128</v>
      </c>
      <c r="P38" s="70"/>
      <c r="Q38" s="69" t="s">
        <v>161</v>
      </c>
      <c r="R38" s="70"/>
      <c r="S38" s="69" t="s">
        <v>162</v>
      </c>
      <c r="T38" s="70"/>
      <c r="U38" s="69" t="s">
        <v>259</v>
      </c>
      <c r="V38" s="70"/>
      <c r="W38" s="69" t="s">
        <v>256</v>
      </c>
      <c r="X38" s="70"/>
      <c r="Y38" s="69" t="s">
        <v>269</v>
      </c>
      <c r="Z38" s="70"/>
    </row>
    <row r="39" spans="1:28" ht="16.5" thickBot="1" x14ac:dyDescent="0.3">
      <c r="A39" s="71" t="s">
        <v>107</v>
      </c>
      <c r="B39" s="81" t="str">
        <f>CONCATENATE((N41+L41+J41+H41+F40+D40+V41+P41+R41+T41+Z41+X41),"万")</f>
        <v>367万</v>
      </c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64"/>
      <c r="O39" s="43"/>
      <c r="P39" s="64"/>
      <c r="Q39" s="43"/>
      <c r="R39" s="64"/>
      <c r="S39" s="43"/>
      <c r="T39" s="64"/>
      <c r="U39" s="26"/>
      <c r="V39" s="64"/>
      <c r="W39" s="26"/>
      <c r="X39" s="64"/>
      <c r="Y39" s="26"/>
      <c r="Z39" s="64"/>
    </row>
    <row r="40" spans="1:28" x14ac:dyDescent="0.25">
      <c r="A40" s="72" t="s">
        <v>108</v>
      </c>
      <c r="B40" s="82"/>
      <c r="C40" s="80" t="s">
        <v>292</v>
      </c>
      <c r="D40" s="80" t="str">
        <f>LEFT(C40,LEN(C40)-1)</f>
        <v>16</v>
      </c>
      <c r="E40" s="80" t="s">
        <v>207</v>
      </c>
      <c r="F40" s="49" t="str">
        <f>LEFT(E40,LEN(E40)-1)</f>
        <v>1</v>
      </c>
      <c r="G40" s="49"/>
      <c r="H40" s="49"/>
      <c r="I40" s="49"/>
      <c r="J40" s="49"/>
      <c r="K40" s="49"/>
      <c r="L40" s="49"/>
      <c r="M40" s="49"/>
      <c r="N40" s="64"/>
      <c r="O40" s="49"/>
      <c r="P40" s="64"/>
      <c r="Q40" s="49"/>
      <c r="R40" s="64"/>
      <c r="S40" s="49"/>
      <c r="T40" s="64"/>
      <c r="U40" s="28"/>
      <c r="V40" s="64"/>
      <c r="W40" s="28"/>
      <c r="X40" s="64"/>
      <c r="Y40" s="28"/>
      <c r="Z40" s="64"/>
      <c r="AA40" s="37" t="str">
        <f>CONCATENATE((D40+F40),"万")</f>
        <v>17万</v>
      </c>
      <c r="AB40" s="73" t="s">
        <v>109</v>
      </c>
    </row>
    <row r="41" spans="1:28" ht="16.5" thickBot="1" x14ac:dyDescent="0.3">
      <c r="A41" s="74" t="s">
        <v>110</v>
      </c>
      <c r="B41" s="112"/>
      <c r="C41" s="78"/>
      <c r="D41" s="78"/>
      <c r="E41" s="78"/>
      <c r="F41" s="78"/>
      <c r="G41" s="152" t="s">
        <v>130</v>
      </c>
      <c r="H41" s="78" t="str">
        <f>LEFT(G41,LEN(G41)-1)</f>
        <v>30</v>
      </c>
      <c r="I41" s="152" t="s">
        <v>151</v>
      </c>
      <c r="J41" s="78" t="str">
        <f>LEFT(I41,LEN(I41)-1)</f>
        <v>48</v>
      </c>
      <c r="K41" s="78" t="s">
        <v>268</v>
      </c>
      <c r="L41" s="78" t="str">
        <f>LEFT(K41,LEN(K41)-1)</f>
        <v>38</v>
      </c>
      <c r="M41" s="152" t="s">
        <v>164</v>
      </c>
      <c r="N41" s="79" t="str">
        <f>LEFT(M41,LEN(M41)-1)</f>
        <v>201</v>
      </c>
      <c r="O41" s="78" t="s">
        <v>152</v>
      </c>
      <c r="P41" s="79" t="str">
        <f>LEFT(O41,LEN(O41)-1)</f>
        <v>0</v>
      </c>
      <c r="Q41" s="78" t="s">
        <v>152</v>
      </c>
      <c r="R41" s="79" t="str">
        <f>LEFT(Q41,LEN(Q41)-1)</f>
        <v>0</v>
      </c>
      <c r="S41" s="77" t="s">
        <v>152</v>
      </c>
      <c r="T41" s="79" t="str">
        <f>LEFT(S41,LEN(S41)-1)</f>
        <v>0</v>
      </c>
      <c r="U41" s="78" t="s">
        <v>113</v>
      </c>
      <c r="V41" s="79" t="str">
        <f>LEFT(U41,LEN(U41)-1)</f>
        <v>15</v>
      </c>
      <c r="W41" s="78" t="s">
        <v>257</v>
      </c>
      <c r="X41" s="226" t="str">
        <f>LEFT(W41,LEN(W41)-1)</f>
        <v>6</v>
      </c>
      <c r="Y41" s="78" t="s">
        <v>258</v>
      </c>
      <c r="Z41" s="226" t="str">
        <f>LEFT(Y41,LEN(Y41)-1)</f>
        <v>12</v>
      </c>
      <c r="AA41" s="37" t="str">
        <f>CONCATENATE((H41+J41+L41+N41+P41+R41+T41+V41+Z41+X41),"万")</f>
        <v>350万</v>
      </c>
      <c r="AB41" s="75">
        <v>43248</v>
      </c>
    </row>
    <row r="42" spans="1:28" x14ac:dyDescent="0.25">
      <c r="A42" s="76" t="s">
        <v>111</v>
      </c>
      <c r="B42" s="37" t="s">
        <v>293</v>
      </c>
      <c r="E42" s="55"/>
    </row>
  </sheetData>
  <phoneticPr fontId="2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IPO監視一覧</vt:lpstr>
      <vt:lpstr>セカンダリ投資分析</vt:lpstr>
      <vt:lpstr>参加条件計算</vt:lpstr>
      <vt:lpstr>終値履歴</vt:lpstr>
      <vt:lpstr>株価一覧</vt:lpstr>
      <vt:lpstr>株式売買勝敗サマリ</vt:lpstr>
      <vt:lpstr>口座残高一覧</vt:lpstr>
    </vt:vector>
  </TitlesOfParts>
  <Company>NECグループ標準PCサービス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NEC-USER</dc:creator>
  <cp:lastModifiedBy>NEC-USER</cp:lastModifiedBy>
  <dcterms:created xsi:type="dcterms:W3CDTF">2017-05-21T04:36:32Z</dcterms:created>
  <dcterms:modified xsi:type="dcterms:W3CDTF">2018-06-12T09:41:30Z</dcterms:modified>
</cp:coreProperties>
</file>