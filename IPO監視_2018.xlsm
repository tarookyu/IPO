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6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3" i="7" l="1"/>
  <c r="T23" i="7"/>
  <c r="R23" i="7"/>
  <c r="P23" i="7"/>
  <c r="N23" i="7"/>
  <c r="L23" i="7"/>
  <c r="J23" i="7"/>
  <c r="H23" i="7"/>
  <c r="W23" i="7" s="1"/>
  <c r="F22" i="7"/>
  <c r="D22" i="7"/>
  <c r="W22" i="7" s="1"/>
  <c r="B21" i="7" l="1"/>
  <c r="O42" i="9"/>
  <c r="N42" i="9"/>
  <c r="M42" i="9"/>
  <c r="O37" i="9" l="1"/>
  <c r="M38" i="9"/>
  <c r="N36" i="9"/>
  <c r="M36" i="9"/>
  <c r="M35" i="9"/>
  <c r="M39" i="9" l="1"/>
  <c r="M40" i="9" s="1"/>
  <c r="N38" i="9"/>
  <c r="N39" i="9"/>
  <c r="N40" i="9" s="1"/>
  <c r="V17" i="7"/>
  <c r="T17" i="7"/>
  <c r="R17" i="7"/>
  <c r="P17" i="7"/>
  <c r="N17" i="7"/>
  <c r="L17" i="7"/>
  <c r="J17" i="7"/>
  <c r="H17" i="7"/>
  <c r="W17" i="7" s="1"/>
  <c r="F16" i="7"/>
  <c r="D16" i="7"/>
  <c r="W16" i="7" s="1"/>
  <c r="O39" i="9" l="1"/>
  <c r="B15" i="7"/>
  <c r="G3" i="5"/>
  <c r="N28" i="9" l="1"/>
  <c r="N27" i="9"/>
  <c r="P26" i="9"/>
  <c r="O26" i="9"/>
  <c r="N26" i="9"/>
  <c r="A8" i="4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F15" i="4"/>
  <c r="N15" i="4"/>
  <c r="B16" i="4"/>
  <c r="C16" i="4"/>
  <c r="D16" i="4"/>
  <c r="G16" i="4" s="1"/>
  <c r="E16" i="4"/>
  <c r="F16" i="4"/>
  <c r="N16" i="4"/>
  <c r="B17" i="4"/>
  <c r="C17" i="4"/>
  <c r="D17" i="4"/>
  <c r="G17" i="4" s="1"/>
  <c r="E17" i="4"/>
  <c r="F17" i="4"/>
  <c r="N17" i="4"/>
  <c r="B18" i="4"/>
  <c r="C18" i="4"/>
  <c r="D18" i="4"/>
  <c r="G18" i="4" s="1"/>
  <c r="E18" i="4"/>
  <c r="F18" i="4"/>
  <c r="N18" i="4"/>
  <c r="B19" i="4"/>
  <c r="C19" i="4"/>
  <c r="D19" i="4"/>
  <c r="G19" i="4" s="1"/>
  <c r="E19" i="4"/>
  <c r="F19" i="4"/>
  <c r="N19" i="4"/>
  <c r="B20" i="4"/>
  <c r="C20" i="4"/>
  <c r="D20" i="4"/>
  <c r="G20" i="4" s="1"/>
  <c r="E20" i="4"/>
  <c r="F20" i="4"/>
  <c r="N20" i="4"/>
  <c r="B21" i="4"/>
  <c r="C21" i="4"/>
  <c r="D21" i="4"/>
  <c r="G21" i="4" s="1"/>
  <c r="E21" i="4"/>
  <c r="F21" i="4"/>
  <c r="N21" i="4"/>
  <c r="B22" i="4"/>
  <c r="C22" i="4"/>
  <c r="D22" i="4"/>
  <c r="G22" i="4" s="1"/>
  <c r="E22" i="4"/>
  <c r="F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F24" i="4"/>
  <c r="N24" i="4"/>
  <c r="B25" i="4"/>
  <c r="C25" i="4"/>
  <c r="D25" i="4"/>
  <c r="G25" i="4" s="1"/>
  <c r="E25" i="4"/>
  <c r="F25" i="4"/>
  <c r="N25" i="4"/>
  <c r="B26" i="4"/>
  <c r="C26" i="4"/>
  <c r="D26" i="4"/>
  <c r="G26" i="4" s="1"/>
  <c r="E26" i="4"/>
  <c r="F26" i="4"/>
  <c r="N26" i="4"/>
  <c r="B27" i="4"/>
  <c r="C27" i="4"/>
  <c r="D27" i="4"/>
  <c r="G27" i="4" s="1"/>
  <c r="E27" i="4"/>
  <c r="F27" i="4"/>
  <c r="N27" i="4"/>
  <c r="B28" i="4"/>
  <c r="C28" i="4"/>
  <c r="D28" i="4"/>
  <c r="G28" i="4" s="1"/>
  <c r="E28" i="4"/>
  <c r="F28" i="4"/>
  <c r="N28" i="4"/>
  <c r="B29" i="4"/>
  <c r="C29" i="4"/>
  <c r="D29" i="4"/>
  <c r="G29" i="4" s="1"/>
  <c r="E29" i="4"/>
  <c r="F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F13" i="4" s="1"/>
  <c r="B13" i="4"/>
  <c r="F14" i="4" l="1"/>
  <c r="I24" i="5"/>
  <c r="P18" i="5"/>
  <c r="I17" i="5"/>
  <c r="I13" i="5"/>
  <c r="E22" i="5"/>
  <c r="J22" i="5" s="1"/>
  <c r="I20" i="5"/>
  <c r="E25" i="5"/>
  <c r="M25" i="5" s="1"/>
  <c r="I21" i="5"/>
  <c r="P13" i="5"/>
  <c r="P21" i="5"/>
  <c r="P14" i="5"/>
  <c r="P22" i="5"/>
  <c r="I16" i="5"/>
  <c r="E14" i="5"/>
  <c r="J14" i="5" s="1"/>
  <c r="P17" i="5"/>
  <c r="E18" i="5"/>
  <c r="J18" i="5" s="1"/>
  <c r="I22" i="5"/>
  <c r="I18" i="5"/>
  <c r="I14" i="5"/>
  <c r="I23" i="5"/>
  <c r="P23" i="5"/>
  <c r="I19" i="5"/>
  <c r="P19" i="5"/>
  <c r="I15" i="5"/>
  <c r="P15" i="5"/>
  <c r="P25" i="5"/>
  <c r="I25" i="5"/>
  <c r="P24" i="5"/>
  <c r="P20" i="5"/>
  <c r="P16" i="5"/>
  <c r="P12" i="5"/>
  <c r="I12" i="5"/>
  <c r="H26" i="9"/>
  <c r="K20" i="9"/>
  <c r="K23" i="9"/>
  <c r="C17" i="9"/>
  <c r="C24" i="9"/>
  <c r="C23" i="9"/>
  <c r="C22" i="9"/>
  <c r="C21" i="9"/>
  <c r="C20" i="9"/>
  <c r="F20" i="9" s="1"/>
  <c r="I20" i="9" s="1"/>
  <c r="M18" i="5" l="1"/>
  <c r="M22" i="5"/>
  <c r="J25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C4" i="5" l="1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8" i="4" l="1"/>
  <c r="F11" i="4"/>
  <c r="F12" i="4"/>
  <c r="P3" i="5"/>
  <c r="I3" i="5"/>
  <c r="I5" i="5"/>
  <c r="P4" i="5"/>
  <c r="P5" i="5"/>
  <c r="I4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I11" i="5"/>
  <c r="B11" i="5"/>
  <c r="P10" i="5"/>
  <c r="I10" i="5"/>
  <c r="B10" i="5"/>
  <c r="P9" i="5"/>
  <c r="I9" i="5"/>
  <c r="B9" i="5"/>
  <c r="P8" i="5"/>
  <c r="I8" i="5"/>
  <c r="B8" i="5"/>
  <c r="P7" i="5"/>
  <c r="I7" i="5"/>
  <c r="B7" i="5"/>
  <c r="P6" i="5"/>
  <c r="I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D4" i="5"/>
  <c r="E3" i="5"/>
  <c r="D3" i="5"/>
  <c r="E5" i="5"/>
  <c r="D5" i="5"/>
  <c r="J5" i="5" l="1"/>
  <c r="M5" i="5"/>
  <c r="M4" i="5"/>
  <c r="J4" i="5"/>
  <c r="N3" i="5"/>
  <c r="K3" i="5"/>
  <c r="M3" i="5"/>
  <c r="J3" i="5"/>
  <c r="N5" i="5"/>
  <c r="K5" i="5"/>
  <c r="K4" i="5"/>
  <c r="N4" i="5"/>
  <c r="E15" i="5" l="1"/>
  <c r="D15" i="5"/>
  <c r="E19" i="5"/>
  <c r="D19" i="5"/>
  <c r="D14" i="5"/>
  <c r="E6" i="5"/>
  <c r="D6" i="5"/>
  <c r="E17" i="5"/>
  <c r="D17" i="5"/>
  <c r="D18" i="5"/>
  <c r="E21" i="5"/>
  <c r="D21" i="5"/>
  <c r="E10" i="5"/>
  <c r="D10" i="5"/>
  <c r="E16" i="5"/>
  <c r="D16" i="5"/>
  <c r="E8" i="5"/>
  <c r="D8" i="5"/>
  <c r="E7" i="5"/>
  <c r="D7" i="5"/>
  <c r="E11" i="5"/>
  <c r="D11" i="5"/>
  <c r="E13" i="5"/>
  <c r="D13" i="5"/>
  <c r="E12" i="5"/>
  <c r="D12" i="5"/>
  <c r="D22" i="5"/>
  <c r="D25" i="5"/>
  <c r="E23" i="5"/>
  <c r="D23" i="5"/>
  <c r="E20" i="5"/>
  <c r="D20" i="5"/>
  <c r="E24" i="5"/>
  <c r="D24" i="5"/>
  <c r="E9" i="5"/>
  <c r="D9" i="5"/>
  <c r="J9" i="5" l="1"/>
  <c r="M9" i="5"/>
  <c r="M23" i="5"/>
  <c r="J23" i="5"/>
  <c r="N13" i="5"/>
  <c r="K13" i="5"/>
  <c r="M19" i="5"/>
  <c r="J19" i="5"/>
  <c r="K24" i="5"/>
  <c r="N24" i="5"/>
  <c r="N25" i="5"/>
  <c r="K25" i="5"/>
  <c r="J13" i="5"/>
  <c r="M13" i="5"/>
  <c r="J12" i="5"/>
  <c r="M12" i="5"/>
  <c r="N7" i="5"/>
  <c r="K7" i="5"/>
  <c r="N8" i="5"/>
  <c r="K8" i="5"/>
  <c r="J21" i="5"/>
  <c r="M21" i="5"/>
  <c r="N9" i="5"/>
  <c r="K9" i="5"/>
  <c r="M24" i="5"/>
  <c r="J24" i="5"/>
  <c r="K20" i="5"/>
  <c r="N20" i="5"/>
  <c r="N22" i="5"/>
  <c r="K22" i="5"/>
  <c r="N11" i="5"/>
  <c r="K11" i="5"/>
  <c r="M7" i="5"/>
  <c r="J7" i="5"/>
  <c r="M8" i="5"/>
  <c r="J8" i="5"/>
  <c r="M16" i="5"/>
  <c r="J16" i="5"/>
  <c r="M10" i="5"/>
  <c r="J10" i="5"/>
  <c r="N18" i="5"/>
  <c r="K18" i="5"/>
  <c r="M17" i="5"/>
  <c r="J17" i="5"/>
  <c r="N12" i="5"/>
  <c r="K12" i="5"/>
  <c r="K15" i="5"/>
  <c r="N15" i="5"/>
  <c r="N16" i="5"/>
  <c r="K16" i="5"/>
  <c r="N21" i="5"/>
  <c r="K21" i="5"/>
  <c r="K17" i="5"/>
  <c r="N17" i="5"/>
  <c r="K6" i="5"/>
  <c r="N6" i="5"/>
  <c r="M15" i="5"/>
  <c r="J15" i="5"/>
  <c r="M20" i="5"/>
  <c r="J20" i="5"/>
  <c r="J11" i="5"/>
  <c r="M11" i="5"/>
  <c r="K14" i="5"/>
  <c r="N14" i="5"/>
  <c r="K23" i="5"/>
  <c r="N23" i="5"/>
  <c r="K10" i="5"/>
  <c r="N10" i="5"/>
  <c r="M6" i="5"/>
  <c r="J6" i="5"/>
  <c r="K19" i="5"/>
  <c r="N19" i="5"/>
  <c r="D4" i="6"/>
  <c r="R4" i="5" s="1"/>
  <c r="D5" i="6"/>
  <c r="R5" i="5" s="1"/>
  <c r="D3" i="6"/>
  <c r="R3" i="5" s="1"/>
  <c r="D27" i="6"/>
  <c r="D15" i="6"/>
  <c r="R15" i="5" s="1"/>
  <c r="D30" i="6"/>
  <c r="D26" i="6"/>
  <c r="D16" i="6"/>
  <c r="R16" i="5" s="1"/>
  <c r="D24" i="6"/>
  <c r="D13" i="6"/>
  <c r="R13" i="5" s="1"/>
  <c r="D29" i="6"/>
  <c r="D33" i="6"/>
  <c r="D9" i="6"/>
  <c r="D22" i="6"/>
  <c r="R22" i="5" s="1"/>
  <c r="D31" i="6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D14" i="6"/>
  <c r="D7" i="6"/>
  <c r="R7" i="5" s="1"/>
  <c r="D12" i="6"/>
  <c r="R12" i="5" s="1"/>
  <c r="D8" i="6"/>
  <c r="D28" i="6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F30" i="6"/>
  <c r="E30" i="6" s="1"/>
  <c r="F14" i="6"/>
  <c r="W14" i="5" s="1"/>
  <c r="X14" i="5" s="1"/>
  <c r="F33" i="6"/>
  <c r="E33" i="6" s="1"/>
  <c r="F16" i="6"/>
  <c r="E16" i="6" s="1"/>
  <c r="T16" i="5" s="1"/>
  <c r="F26" i="6"/>
  <c r="E26" i="6" s="1"/>
  <c r="F7" i="6"/>
  <c r="W7" i="5" s="1"/>
  <c r="X7" i="5" s="1"/>
  <c r="F27" i="6"/>
  <c r="E27" i="6" s="1"/>
  <c r="F12" i="6"/>
  <c r="W12" i="5" s="1"/>
  <c r="X12" i="5" s="1"/>
  <c r="F24" i="6"/>
  <c r="E24" i="6" s="1"/>
  <c r="T24" i="5" s="1"/>
  <c r="F10" i="6"/>
  <c r="E10" i="6" s="1"/>
  <c r="T10" i="5" s="1"/>
  <c r="F25" i="6"/>
  <c r="E25" i="6" s="1"/>
  <c r="T25" i="5" s="1"/>
  <c r="U25" i="5" s="1"/>
  <c r="F13" i="6"/>
  <c r="E13" i="6" s="1"/>
  <c r="T13" i="5" s="1"/>
  <c r="F3" i="6"/>
  <c r="E3" i="6" s="1"/>
  <c r="T3" i="5" s="1"/>
  <c r="F5" i="6"/>
  <c r="F28" i="6"/>
  <c r="E28" i="6" s="1"/>
  <c r="F8" i="6"/>
  <c r="F21" i="6"/>
  <c r="F19" i="6"/>
  <c r="E19" i="6" s="1"/>
  <c r="T19" i="5" s="1"/>
  <c r="F32" i="6"/>
  <c r="E32" i="6" s="1"/>
  <c r="F9" i="6"/>
  <c r="W9" i="5" s="1"/>
  <c r="X9" i="5" s="1"/>
  <c r="F23" i="6"/>
  <c r="W23" i="5" s="1"/>
  <c r="X23" i="5" s="1"/>
  <c r="F15" i="6"/>
  <c r="F11" i="6"/>
  <c r="W11" i="5" s="1"/>
  <c r="X11" i="5" s="1"/>
  <c r="F20" i="6"/>
  <c r="W20" i="5" s="1"/>
  <c r="X20" i="5" s="1"/>
  <c r="F17" i="6"/>
  <c r="E17" i="6" s="1"/>
  <c r="T17" i="5" s="1"/>
  <c r="Q17" i="5" s="1"/>
  <c r="F29" i="6"/>
  <c r="E29" i="6" s="1"/>
  <c r="F31" i="6"/>
  <c r="E31" i="6" s="1"/>
  <c r="F4" i="6"/>
  <c r="E4" i="6" s="1"/>
  <c r="T4" i="5" s="1"/>
  <c r="F22" i="6"/>
  <c r="E22" i="6" s="1"/>
  <c r="T22" i="5" s="1"/>
  <c r="F18" i="6"/>
  <c r="E18" i="6" s="1"/>
  <c r="T18" i="5" s="1"/>
  <c r="F6" i="6"/>
  <c r="E12" i="6" l="1"/>
  <c r="T12" i="5" s="1"/>
  <c r="Q12" i="5" s="1"/>
  <c r="W16" i="5"/>
  <c r="X16" i="5" s="1"/>
  <c r="W24" i="5"/>
  <c r="X24" i="5" s="1"/>
  <c r="E7" i="6"/>
  <c r="T7" i="5" s="1"/>
  <c r="U7" i="5" s="1"/>
  <c r="W18" i="5"/>
  <c r="X18" i="5" s="1"/>
  <c r="W25" i="5"/>
  <c r="X25" i="5" s="1"/>
  <c r="W22" i="5"/>
  <c r="X22" i="5" s="1"/>
  <c r="W13" i="5"/>
  <c r="X13" i="5" s="1"/>
  <c r="E9" i="6"/>
  <c r="T9" i="5" s="1"/>
  <c r="U9" i="5" s="1"/>
  <c r="E14" i="6"/>
  <c r="T14" i="5" s="1"/>
  <c r="U14" i="5" s="1"/>
  <c r="E23" i="6"/>
  <c r="T23" i="5" s="1"/>
  <c r="Q23" i="5" s="1"/>
  <c r="W3" i="5"/>
  <c r="X3" i="5" s="1"/>
  <c r="E11" i="6"/>
  <c r="T11" i="5" s="1"/>
  <c r="U11" i="5" s="1"/>
  <c r="U17" i="5"/>
  <c r="E6" i="6"/>
  <c r="T6" i="5" s="1"/>
  <c r="W6" i="5"/>
  <c r="X6" i="5" s="1"/>
  <c r="U19" i="5"/>
  <c r="Q19" i="5"/>
  <c r="E5" i="6"/>
  <c r="T5" i="5" s="1"/>
  <c r="W5" i="5"/>
  <c r="X5" i="5" s="1"/>
  <c r="W21" i="5"/>
  <c r="X21" i="5" s="1"/>
  <c r="E21" i="6"/>
  <c r="T21" i="5" s="1"/>
  <c r="W17" i="5"/>
  <c r="X17" i="5" s="1"/>
  <c r="Q24" i="5"/>
  <c r="U24" i="5"/>
  <c r="Q16" i="5"/>
  <c r="U16" i="5"/>
  <c r="Q4" i="5"/>
  <c r="U4" i="5"/>
  <c r="Q22" i="5"/>
  <c r="U22" i="5"/>
  <c r="W4" i="5"/>
  <c r="X4" i="5" s="1"/>
  <c r="E15" i="6"/>
  <c r="T15" i="5" s="1"/>
  <c r="W15" i="5"/>
  <c r="X15" i="5" s="1"/>
  <c r="W19" i="5"/>
  <c r="X19" i="5" s="1"/>
  <c r="E8" i="6"/>
  <c r="T8" i="5" s="1"/>
  <c r="W8" i="5"/>
  <c r="X8" i="5" s="1"/>
  <c r="E20" i="6"/>
  <c r="T20" i="5" s="1"/>
  <c r="U3" i="5"/>
  <c r="Q3" i="5"/>
  <c r="U13" i="5"/>
  <c r="Q13" i="5"/>
  <c r="U10" i="5"/>
  <c r="Q10" i="5"/>
  <c r="Q18" i="5"/>
  <c r="U18" i="5"/>
  <c r="Q25" i="5"/>
  <c r="W10" i="5"/>
  <c r="X10" i="5" s="1"/>
  <c r="Q7" i="5" l="1"/>
  <c r="U12" i="5"/>
  <c r="Q9" i="5"/>
  <c r="Q14" i="5"/>
  <c r="U23" i="5"/>
  <c r="Q11" i="5"/>
  <c r="U20" i="5"/>
  <c r="Q20" i="5"/>
  <c r="U15" i="5"/>
  <c r="Q15" i="5"/>
  <c r="U21" i="5"/>
  <c r="Q21" i="5"/>
  <c r="U8" i="5"/>
  <c r="Q8" i="5"/>
  <c r="U5" i="5"/>
  <c r="Q5" i="5"/>
  <c r="U6" i="5"/>
  <c r="Q6" i="5"/>
  <c r="AB2" i="5" l="1"/>
  <c r="Z2" i="5"/>
  <c r="AA2" i="5" l="1"/>
</calcChain>
</file>

<file path=xl/sharedStrings.xml><?xml version="1.0" encoding="utf-8"?>
<sst xmlns="http://schemas.openxmlformats.org/spreadsheetml/2006/main" count="497" uniqueCount="254">
  <si>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</si>
  <si>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</si>
  <si>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</si>
  <si>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</si>
  <si>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</si>
  <si>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</si>
  <si>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</si>
  <si>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</si>
  <si>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</si>
  <si>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</si>
  <si>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</si>
  <si>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</si>
  <si>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</si>
  <si>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</si>
  <si>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</si>
  <si>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</si>
  <si>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</si>
  <si>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</si>
  <si>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</si>
  <si>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</si>
  <si>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</si>
  <si>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</si>
  <si>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</si>
  <si>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</si>
  <si>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</si>
  <si>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</si>
  <si>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</si>
  <si>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</si>
  <si>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</si>
  <si>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</si>
  <si>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</si>
  <si>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</si>
  <si>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</si>
  <si>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</si>
  <si>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</si>
  <si>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</si>
  <si>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</si>
  <si>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</si>
  <si>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</si>
  <si>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</si>
  <si>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</si>
  <si>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</si>
  <si>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</si>
  <si>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</si>
  <si>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</si>
  <si>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</si>
  <si>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</si>
  <si>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</si>
  <si>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</si>
  <si>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</si>
  <si>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</si>
  <si>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</si>
  <si>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</si>
  <si>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</si>
  <si>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</si>
  <si>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</si>
  <si>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</si>
  <si>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</si>
  <si>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</si>
  <si>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</si>
  <si>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</si>
  <si>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</si>
  <si>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</si>
  <si>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</si>
  <si>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</si>
  <si>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</si>
  <si>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</si>
  <si>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</si>
  <si>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</si>
  <si>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</si>
  <si>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</si>
  <si>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</si>
  <si>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</si>
  <si>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</si>
  <si>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</si>
  <si>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</si>
  <si>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</si>
  <si>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</si>
  <si>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</si>
  <si>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</si>
  <si>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</si>
  <si>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</si>
  <si>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</si>
  <si>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</si>
  <si>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</si>
  <si>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</si>
  <si>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</si>
  <si>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</si>
  <si>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</si>
  <si>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</si>
  <si>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</si>
  <si>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</si>
  <si>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</si>
  <si>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</si>
  <si>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</si>
  <si>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</si>
  <si>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</si>
  <si>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</si>
  <si>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</si>
  <si>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</si>
  <si>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</si>
  <si>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</si>
  <si>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</si>
  <si>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</si>
  <si>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</si>
  <si>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</si>
  <si>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</si>
  <si>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</si>
  <si>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</si>
  <si>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</si>
  <si>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</si>
  <si>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</si>
  <si>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</si>
  <si>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</si>
  <si>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</si>
  <si>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</si>
  <si>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</si>
  <si>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</si>
  <si>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</si>
  <si>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</si>
  <si>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</si>
  <si>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</si>
  <si>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</si>
  <si>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</si>
  <si>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</si>
  <si>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</si>
  <si>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</si>
  <si>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</si>
  <si>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</si>
  <si>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</si>
  <si>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</si>
  <si>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</si>
  <si>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</si>
  <si>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</si>
  <si>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</si>
  <si>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</si>
  <si>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</si>
  <si>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</si>
  <si>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</si>
  <si>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</si>
  <si>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</si>
  <si>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</si>
  <si>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</si>
  <si>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</si>
  <si>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</si>
  <si>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</si>
  <si>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</si>
  <si>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</si>
  <si>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</si>
  <si>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</si>
  <si>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</si>
  <si>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</si>
  <si>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</si>
  <si>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</si>
  <si>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</si>
  <si>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</si>
  <si>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</si>
  <si>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</si>
  <si>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</si>
  <si>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</si>
  <si>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</si>
  <si>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</si>
  <si>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</si>
  <si>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</si>
  <si>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</si>
  <si>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</si>
  <si>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</si>
  <si>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</si>
  <si>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</si>
  <si>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</si>
  <si>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</si>
  <si>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</si>
  <si>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</si>
  <si>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</si>
  <si>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</si>
  <si>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</si>
  <si>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</si>
  <si>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</si>
  <si>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</si>
  <si>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応募予定</t>
    <rPh sb="0" eb="2">
      <t>オウボ</t>
    </rPh>
    <rPh sb="2" eb="4">
      <t>ヨテイ</t>
    </rPh>
    <phoneticPr fontId="2"/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</si>
  <si>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</si>
  <si>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</si>
  <si>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</si>
  <si>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</si>
  <si>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</si>
  <si>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</si>
  <si>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</si>
  <si>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</si>
  <si>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繰越額</t>
    <rPh sb="0" eb="1">
      <t>ク</t>
    </rPh>
    <rPh sb="1" eb="2">
      <t>コ</t>
    </rPh>
    <rPh sb="2" eb="3">
      <t>ガク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</si>
  <si>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</si>
  <si>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</si>
  <si>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</si>
  <si>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</si>
  <si>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</si>
  <si>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</si>
  <si>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</si>
  <si>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</si>
  <si>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</si>
  <si>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応募予定</t>
    <rPh sb="0" eb="2">
      <t>オウボ</t>
    </rPh>
    <rPh sb="2" eb="4">
      <t>ヨテイ</t>
    </rPh>
    <phoneticPr fontId="2"/>
  </si>
  <si>
    <t>-</t>
    <phoneticPr fontId="2"/>
  </si>
  <si>
    <t>源泉徴収税額</t>
    <rPh sb="0" eb="2">
      <t>ゲンセン</t>
    </rPh>
    <rPh sb="2" eb="4">
      <t>チョウシュウ</t>
    </rPh>
    <rPh sb="4" eb="6">
      <t>ゼイガク</t>
    </rPh>
    <phoneticPr fontId="2"/>
  </si>
  <si>
    <t>還付金対象</t>
    <rPh sb="0" eb="3">
      <t>カンプキン</t>
    </rPh>
    <rPh sb="3" eb="5">
      <t>タイショウ</t>
    </rPh>
    <phoneticPr fontId="2"/>
  </si>
  <si>
    <t>繰越負債</t>
    <rPh sb="0" eb="2">
      <t>クリコシ</t>
    </rPh>
    <rPh sb="2" eb="4">
      <t>フサイ</t>
    </rPh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</si>
  <si>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</si>
  <si>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</si>
  <si>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</si>
  <si>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</si>
  <si>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応募予定</t>
    <rPh sb="0" eb="2">
      <t>オウボ</t>
    </rPh>
    <rPh sb="2" eb="4">
      <t>ヨテイ</t>
    </rPh>
    <phoneticPr fontId="2"/>
  </si>
  <si>
    <t>-</t>
    <phoneticPr fontId="2"/>
  </si>
  <si>
    <t>ＲＰＡHD</t>
    <phoneticPr fontId="2"/>
  </si>
  <si>
    <t>応募予定</t>
    <rPh sb="0" eb="2">
      <t>オウボ</t>
    </rPh>
    <rPh sb="2" eb="4">
      <t>ヨテイ</t>
    </rPh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</si>
  <si>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</si>
  <si>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</si>
  <si>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</si>
  <si>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</si>
  <si>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</si>
  <si>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</si>
  <si>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</si>
  <si>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</si>
  <si>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</si>
  <si>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</si>
  <si>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</si>
  <si>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</si>
  <si>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応募中</t>
    <rPh sb="0" eb="2">
      <t>オウボ</t>
    </rPh>
    <rPh sb="2" eb="3">
      <t>チュウ</t>
    </rPh>
    <phoneticPr fontId="2"/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</si>
  <si>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</si>
  <si>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</si>
  <si>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</si>
  <si>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</si>
  <si>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</si>
  <si>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</si>
  <si>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</si>
  <si>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</si>
  <si>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</si>
  <si>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</si>
  <si>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</si>
  <si>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</si>
  <si>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</si>
  <si>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</si>
  <si>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</si>
  <si>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</si>
  <si>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</si>
  <si>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</si>
  <si>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</si>
  <si>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</si>
  <si>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</si>
  <si>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</si>
  <si>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</si>
  <si>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</si>
  <si>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</si>
  <si>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</si>
  <si>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</si>
  <si>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</si>
  <si>
    <t>18万</t>
    <rPh sb="2" eb="3">
      <t>マン</t>
    </rPh>
    <phoneticPr fontId="8"/>
  </si>
  <si>
    <t>ACDトークン対応</t>
    <rPh sb="7" eb="9">
      <t>タイオウ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</si>
</sst>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#,##0.0;[Red]\-#,##0.0"/>
    <numFmt numFmtId="185" formatCode="0.0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39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1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3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2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2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4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5" borderId="7" xfId="3" applyNumberFormat="1" applyFont="1" applyFill="1" applyBorder="1">
      <alignment vertical="center"/>
    </xf>
    <xf numFmtId="38" fontId="7" fillId="15" borderId="8" xfId="3" applyNumberFormat="1" applyFont="1" applyFill="1" applyBorder="1">
      <alignment vertical="center"/>
    </xf>
    <xf numFmtId="38" fontId="7" fillId="15" borderId="10" xfId="3" applyNumberFormat="1" applyFont="1" applyFill="1" applyBorder="1">
      <alignment vertical="center"/>
    </xf>
    <xf numFmtId="38" fontId="7" fillId="15" borderId="7" xfId="7" applyFont="1" applyFill="1" applyBorder="1">
      <alignment vertical="center"/>
    </xf>
    <xf numFmtId="38" fontId="7" fillId="15" borderId="8" xfId="7" applyFont="1" applyFill="1" applyBorder="1">
      <alignment vertical="center"/>
    </xf>
    <xf numFmtId="38" fontId="7" fillId="15" borderId="10" xfId="7" applyFont="1" applyFill="1" applyBorder="1">
      <alignment vertical="center"/>
    </xf>
    <xf numFmtId="3" fontId="7" fillId="15" borderId="7" xfId="3" applyNumberFormat="1" applyFont="1" applyFill="1" applyBorder="1">
      <alignment vertical="center"/>
    </xf>
    <xf numFmtId="3" fontId="7" fillId="15" borderId="8" xfId="3" applyNumberFormat="1" applyFont="1" applyFill="1" applyBorder="1">
      <alignment vertical="center"/>
    </xf>
    <xf numFmtId="3" fontId="7" fillId="15" borderId="10" xfId="3" applyNumberFormat="1" applyFont="1" applyFill="1" applyBorder="1">
      <alignment vertical="center"/>
    </xf>
    <xf numFmtId="0" fontId="9" fillId="15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5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6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7" borderId="11" xfId="3" applyFont="1" applyFill="1" applyBorder="1" applyAlignment="1">
      <alignment horizontal="center" vertical="center"/>
    </xf>
    <xf numFmtId="179" fontId="9" fillId="17" borderId="11" xfId="3" applyNumberFormat="1" applyFont="1" applyFill="1" applyBorder="1" applyAlignment="1">
      <alignment horizontal="center" vertical="center"/>
    </xf>
    <xf numFmtId="14" fontId="9" fillId="17" borderId="11" xfId="3" applyNumberFormat="1" applyFont="1" applyFill="1" applyBorder="1" applyAlignment="1">
      <alignment horizontal="center" vertical="center"/>
    </xf>
    <xf numFmtId="38" fontId="9" fillId="17" borderId="11" xfId="3" applyNumberFormat="1" applyFont="1" applyFill="1" applyBorder="1" applyAlignment="1">
      <alignment horizontal="center" vertical="center"/>
    </xf>
    <xf numFmtId="181" fontId="9" fillId="17" borderId="11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179" fontId="7" fillId="17" borderId="8" xfId="3" applyNumberFormat="1" applyFont="1" applyFill="1" applyBorder="1" applyAlignment="1">
      <alignment horizontal="center" vertical="center"/>
    </xf>
    <xf numFmtId="14" fontId="7" fillId="17" borderId="8" xfId="3" applyNumberFormat="1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181" fontId="7" fillId="17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4" xfId="3" applyFont="1" applyFill="1" applyBorder="1" applyAlignment="1">
      <alignment horizontal="center" vertical="center"/>
    </xf>
    <xf numFmtId="0" fontId="9" fillId="6" borderId="45" xfId="3" applyFont="1" applyFill="1" applyBorder="1">
      <alignment vertical="center"/>
    </xf>
    <xf numFmtId="0" fontId="9" fillId="6" borderId="46" xfId="3" applyFont="1" applyFill="1" applyBorder="1" applyAlignment="1">
      <alignment horizontal="center" vertical="center"/>
    </xf>
    <xf numFmtId="38" fontId="7" fillId="15" borderId="38" xfId="7" applyFont="1" applyFill="1" applyBorder="1">
      <alignment vertical="center"/>
    </xf>
    <xf numFmtId="38" fontId="7" fillId="15" borderId="47" xfId="7" applyFont="1" applyFill="1" applyBorder="1">
      <alignment vertical="center"/>
    </xf>
    <xf numFmtId="3" fontId="7" fillId="15" borderId="22" xfId="3" applyNumberFormat="1" applyFont="1" applyFill="1" applyBorder="1">
      <alignment vertical="center"/>
    </xf>
    <xf numFmtId="3" fontId="7" fillId="15" borderId="25" xfId="3" applyNumberFormat="1" applyFont="1" applyFill="1" applyBorder="1">
      <alignment vertical="center"/>
    </xf>
    <xf numFmtId="38" fontId="7" fillId="15" borderId="42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2" xfId="7" applyFont="1" applyBorder="1">
      <alignment vertical="center"/>
    </xf>
    <xf numFmtId="38" fontId="7" fillId="0" borderId="43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8" xfId="7" applyNumberFormat="1" applyFont="1" applyBorder="1" applyAlignment="1">
      <alignment horizontal="center" vertical="center"/>
    </xf>
    <xf numFmtId="184" fontId="7" fillId="0" borderId="8" xfId="3" applyNumberFormat="1" applyFont="1" applyBorder="1" applyAlignment="1">
      <alignment horizontal="center" vertical="center"/>
    </xf>
    <xf numFmtId="183" fontId="7" fillId="0" borderId="10" xfId="8" applyNumberFormat="1" applyFont="1" applyBorder="1" applyAlignment="1">
      <alignment horizontal="center" vertical="center"/>
    </xf>
    <xf numFmtId="38" fontId="7" fillId="15" borderId="8" xfId="7" applyFont="1" applyFill="1" applyBorder="1" applyAlignment="1">
      <alignment horizontal="center" vertical="center"/>
    </xf>
    <xf numFmtId="185" fontId="7" fillId="0" borderId="0" xfId="3" applyNumberFormat="1" applyFont="1" applyAlignment="1">
      <alignment horizontal="center" vertical="center"/>
    </xf>
    <xf numFmtId="0" fontId="14" fillId="9" borderId="49" xfId="3" applyFont="1" applyFill="1" applyBorder="1" applyAlignment="1">
      <alignment horizontal="center" vertical="center"/>
    </xf>
    <xf numFmtId="0" fontId="14" fillId="9" borderId="49" xfId="3" applyFont="1" applyFill="1" applyBorder="1">
      <alignment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48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stocks.finance.yahoo.co.jp/stocks/detail/?code=8704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zoomScale="80" zoomScaleNormal="80" workbookViewId="0">
      <pane ySplit="2" topLeftCell="A3" activePane="bottomLeft" state="frozen"/>
      <selection activeCell="U183" sqref="U183"/>
      <selection pane="bottomLeft" activeCell="P5" sqref="P5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30" t="s">
        <v>14</v>
      </c>
      <c r="B1" s="230"/>
      <c r="D1" s="13" t="s">
        <v>15</v>
      </c>
      <c r="E1" s="14" t="s">
        <v>16</v>
      </c>
      <c r="H1" s="136"/>
      <c r="I1" s="136"/>
      <c r="J1" s="136"/>
      <c r="K1" s="136"/>
      <c r="L1" s="136"/>
      <c r="M1" s="136"/>
      <c r="N1" s="16" t="s">
        <v>133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8" t="s">
        <v>131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172</v>
      </c>
      <c r="C3" s="159">
        <v>43137</v>
      </c>
      <c r="D3" s="159">
        <v>43144</v>
      </c>
      <c r="E3" s="159">
        <v>43145</v>
      </c>
      <c r="F3" s="63" t="s">
        <v>40</v>
      </c>
      <c r="G3" s="160">
        <v>1240</v>
      </c>
      <c r="H3" s="161" t="s">
        <v>60</v>
      </c>
      <c r="I3" s="63" t="s">
        <v>173</v>
      </c>
      <c r="J3" s="63" t="s">
        <v>173</v>
      </c>
      <c r="K3" s="63" t="s">
        <v>192</v>
      </c>
      <c r="L3" s="63" t="s">
        <v>173</v>
      </c>
      <c r="M3" s="63" t="s">
        <v>173</v>
      </c>
      <c r="N3" s="63" t="s">
        <v>62</v>
      </c>
      <c r="O3" s="159">
        <v>43154</v>
      </c>
      <c r="P3" s="162">
        <v>5380</v>
      </c>
      <c r="Q3" s="155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1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178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173</v>
      </c>
      <c r="J4" s="49" t="s">
        <v>173</v>
      </c>
      <c r="K4" s="49" t="s">
        <v>180</v>
      </c>
      <c r="L4" s="49" t="s">
        <v>173</v>
      </c>
      <c r="M4" s="49" t="s">
        <v>192</v>
      </c>
      <c r="N4" s="163" t="s">
        <v>47</v>
      </c>
      <c r="O4" s="52">
        <v>43159</v>
      </c>
      <c r="P4" s="50">
        <v>9700</v>
      </c>
      <c r="Q4" s="155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5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181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180</v>
      </c>
      <c r="J5" s="49" t="s">
        <v>173</v>
      </c>
      <c r="K5" s="49" t="s">
        <v>192</v>
      </c>
      <c r="L5" s="49" t="s">
        <v>173</v>
      </c>
      <c r="M5" s="49" t="s">
        <v>192</v>
      </c>
      <c r="N5" s="49" t="s">
        <v>53</v>
      </c>
      <c r="O5" s="52">
        <v>43161</v>
      </c>
      <c r="P5" s="50"/>
      <c r="Q5" s="155" t="str">
        <f t="shared" si="2"/>
        <v>-100%</v>
      </c>
      <c r="R5" s="49"/>
      <c r="T5" s="27" t="s">
        <v>48</v>
      </c>
      <c r="U5" s="28" t="s">
        <v>49</v>
      </c>
      <c r="V5" s="26">
        <f t="shared" si="0"/>
        <v>1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182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180</v>
      </c>
      <c r="J6" s="49" t="s">
        <v>173</v>
      </c>
      <c r="K6" s="49" t="s">
        <v>180</v>
      </c>
      <c r="L6" s="49" t="s">
        <v>173</v>
      </c>
      <c r="M6" s="49" t="s">
        <v>180</v>
      </c>
      <c r="N6" s="163" t="s">
        <v>47</v>
      </c>
      <c r="O6" s="52">
        <v>43174</v>
      </c>
      <c r="P6" s="50"/>
      <c r="Q6" s="155" t="str">
        <f t="shared" si="2"/>
        <v>-100%</v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183</v>
      </c>
      <c r="C7" s="52">
        <v>43159</v>
      </c>
      <c r="D7" s="52">
        <v>43165</v>
      </c>
      <c r="E7" s="52">
        <v>43166</v>
      </c>
      <c r="F7" s="49"/>
      <c r="G7" s="51">
        <v>3250</v>
      </c>
      <c r="H7" s="49" t="s">
        <v>52</v>
      </c>
      <c r="I7" s="49" t="s">
        <v>173</v>
      </c>
      <c r="J7" s="49" t="s">
        <v>180</v>
      </c>
      <c r="K7" s="49" t="s">
        <v>180</v>
      </c>
      <c r="L7" s="49" t="s">
        <v>173</v>
      </c>
      <c r="M7" s="49" t="s">
        <v>223</v>
      </c>
      <c r="N7" s="49" t="s">
        <v>62</v>
      </c>
      <c r="O7" s="52">
        <v>43175</v>
      </c>
      <c r="P7" s="50"/>
      <c r="Q7" s="155" t="str">
        <f t="shared" si="2"/>
        <v>-100%</v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184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41</v>
      </c>
      <c r="I8" s="49" t="s">
        <v>173</v>
      </c>
      <c r="J8" s="49" t="s">
        <v>173</v>
      </c>
      <c r="K8" s="49" t="s">
        <v>180</v>
      </c>
      <c r="L8" s="49" t="s">
        <v>173</v>
      </c>
      <c r="M8" s="49" t="s">
        <v>223</v>
      </c>
      <c r="N8" s="49" t="s">
        <v>53</v>
      </c>
      <c r="O8" s="52">
        <v>43175</v>
      </c>
      <c r="P8" s="50"/>
      <c r="Q8" s="155" t="str">
        <f t="shared" si="2"/>
        <v>-100%</v>
      </c>
      <c r="R8" s="49"/>
      <c r="T8" s="28" t="s">
        <v>164</v>
      </c>
      <c r="U8" s="28" t="s">
        <v>62</v>
      </c>
      <c r="V8" s="26">
        <f t="shared" si="0"/>
        <v>5</v>
      </c>
      <c r="W8" s="29" t="s">
        <v>63</v>
      </c>
    </row>
    <row r="9" spans="1:24" x14ac:dyDescent="0.25">
      <c r="A9" s="12">
        <f t="shared" si="1"/>
        <v>7</v>
      </c>
      <c r="B9" s="49" t="s">
        <v>193</v>
      </c>
      <c r="C9" s="52">
        <v>43160</v>
      </c>
      <c r="D9" s="52">
        <v>43166</v>
      </c>
      <c r="E9" s="52">
        <v>43167</v>
      </c>
      <c r="F9" s="49" t="s">
        <v>42</v>
      </c>
      <c r="G9" s="51"/>
      <c r="H9" s="49" t="s">
        <v>41</v>
      </c>
      <c r="I9" s="49" t="s">
        <v>195</v>
      </c>
      <c r="J9" s="49" t="s">
        <v>194</v>
      </c>
      <c r="K9" s="49" t="s">
        <v>195</v>
      </c>
      <c r="L9" s="49" t="s">
        <v>194</v>
      </c>
      <c r="M9" s="49" t="s">
        <v>195</v>
      </c>
      <c r="N9" s="49" t="s">
        <v>53</v>
      </c>
      <c r="O9" s="52">
        <v>43178</v>
      </c>
      <c r="P9" s="50"/>
      <c r="Q9" s="155" t="str">
        <f t="shared" si="2"/>
        <v/>
      </c>
      <c r="R9" s="49"/>
      <c r="T9" s="28" t="s">
        <v>163</v>
      </c>
      <c r="U9" s="28" t="s">
        <v>53</v>
      </c>
      <c r="V9" s="28">
        <f t="shared" si="0"/>
        <v>6</v>
      </c>
    </row>
    <row r="10" spans="1:24" x14ac:dyDescent="0.25">
      <c r="A10" s="12">
        <f t="shared" si="1"/>
        <v>8</v>
      </c>
      <c r="B10" s="49" t="s">
        <v>196</v>
      </c>
      <c r="C10" s="52">
        <v>43161</v>
      </c>
      <c r="D10" s="52">
        <v>43167</v>
      </c>
      <c r="E10" s="52">
        <v>43168</v>
      </c>
      <c r="F10" s="49" t="s">
        <v>42</v>
      </c>
      <c r="G10" s="51"/>
      <c r="H10" s="49" t="s">
        <v>52</v>
      </c>
      <c r="I10" s="49" t="s">
        <v>199</v>
      </c>
      <c r="J10" s="49" t="s">
        <v>197</v>
      </c>
      <c r="K10" s="49" t="s">
        <v>198</v>
      </c>
      <c r="L10" s="49" t="s">
        <v>197</v>
      </c>
      <c r="M10" s="49" t="s">
        <v>179</v>
      </c>
      <c r="N10" s="49" t="s">
        <v>53</v>
      </c>
      <c r="O10" s="52">
        <v>43179</v>
      </c>
      <c r="P10" s="50"/>
      <c r="Q10" s="155" t="str">
        <f t="shared" si="2"/>
        <v/>
      </c>
      <c r="R10" s="49"/>
      <c r="T10" s="29" t="s">
        <v>61</v>
      </c>
      <c r="U10" s="31" t="s">
        <v>135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203</v>
      </c>
      <c r="C11" s="52">
        <v>43165</v>
      </c>
      <c r="D11" s="52">
        <v>43171</v>
      </c>
      <c r="E11" s="52">
        <v>43172</v>
      </c>
      <c r="F11" s="49" t="s">
        <v>40</v>
      </c>
      <c r="G11" s="51"/>
      <c r="H11" s="49" t="s">
        <v>52</v>
      </c>
      <c r="I11" s="49" t="s">
        <v>180</v>
      </c>
      <c r="J11" s="49" t="s">
        <v>204</v>
      </c>
      <c r="K11" s="49" t="s">
        <v>180</v>
      </c>
      <c r="L11" s="49" t="s">
        <v>204</v>
      </c>
      <c r="M11" s="49" t="s">
        <v>179</v>
      </c>
      <c r="N11" s="163" t="s">
        <v>47</v>
      </c>
      <c r="O11" s="52">
        <v>43181</v>
      </c>
      <c r="P11" s="50"/>
      <c r="Q11" s="155" t="str">
        <f t="shared" si="2"/>
        <v/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 t="s">
        <v>205</v>
      </c>
      <c r="C12" s="52">
        <v>43166</v>
      </c>
      <c r="D12" s="52">
        <v>43172</v>
      </c>
      <c r="E12" s="52">
        <v>43173</v>
      </c>
      <c r="F12" s="49"/>
      <c r="G12" s="51"/>
      <c r="H12" s="49" t="s">
        <v>52</v>
      </c>
      <c r="I12" s="49" t="s">
        <v>173</v>
      </c>
      <c r="J12" s="49" t="s">
        <v>173</v>
      </c>
      <c r="K12" s="49" t="s">
        <v>207</v>
      </c>
      <c r="L12" s="49" t="s">
        <v>173</v>
      </c>
      <c r="M12" s="49" t="s">
        <v>179</v>
      </c>
      <c r="N12" s="163" t="s">
        <v>36</v>
      </c>
      <c r="O12" s="52">
        <v>43182</v>
      </c>
      <c r="P12" s="50"/>
      <c r="Q12" s="155" t="str">
        <f t="shared" si="2"/>
        <v/>
      </c>
      <c r="R12" s="49"/>
    </row>
    <row r="13" spans="1:24" x14ac:dyDescent="0.25">
      <c r="A13" s="12">
        <f t="shared" si="1"/>
        <v>11</v>
      </c>
      <c r="B13" s="49" t="s">
        <v>206</v>
      </c>
      <c r="C13" s="52">
        <v>43166</v>
      </c>
      <c r="D13" s="52">
        <v>43172</v>
      </c>
      <c r="E13" s="52">
        <v>43173</v>
      </c>
      <c r="F13" s="49" t="s">
        <v>40</v>
      </c>
      <c r="G13" s="51"/>
      <c r="H13" s="49" t="s">
        <v>46</v>
      </c>
      <c r="I13" s="49" t="s">
        <v>208</v>
      </c>
      <c r="J13" s="49" t="s">
        <v>173</v>
      </c>
      <c r="K13" s="49" t="s">
        <v>208</v>
      </c>
      <c r="L13" s="49" t="s">
        <v>173</v>
      </c>
      <c r="M13" s="49" t="s">
        <v>179</v>
      </c>
      <c r="N13" s="163" t="s">
        <v>47</v>
      </c>
      <c r="O13" s="52">
        <v>43182</v>
      </c>
      <c r="P13" s="50"/>
      <c r="Q13" s="155" t="str">
        <f t="shared" si="2"/>
        <v/>
      </c>
      <c r="R13" s="49"/>
    </row>
    <row r="14" spans="1:24" x14ac:dyDescent="0.25">
      <c r="A14" s="12">
        <f t="shared" si="1"/>
        <v>12</v>
      </c>
      <c r="B14" s="49" t="s">
        <v>209</v>
      </c>
      <c r="C14" s="52">
        <v>43167</v>
      </c>
      <c r="D14" s="52">
        <v>43173</v>
      </c>
      <c r="E14" s="52">
        <v>43174</v>
      </c>
      <c r="F14" s="49" t="s">
        <v>40</v>
      </c>
      <c r="G14" s="51"/>
      <c r="H14" s="49" t="s">
        <v>46</v>
      </c>
      <c r="I14" s="49" t="s">
        <v>211</v>
      </c>
      <c r="J14" s="49" t="s">
        <v>211</v>
      </c>
      <c r="K14" s="49" t="s">
        <v>210</v>
      </c>
      <c r="L14" s="49" t="s">
        <v>211</v>
      </c>
      <c r="M14" s="49" t="s">
        <v>179</v>
      </c>
      <c r="N14" s="163" t="s">
        <v>49</v>
      </c>
      <c r="O14" s="52">
        <v>43186</v>
      </c>
      <c r="P14" s="50"/>
      <c r="Q14" s="155" t="str">
        <f t="shared" si="2"/>
        <v/>
      </c>
      <c r="R14" s="49"/>
    </row>
    <row r="15" spans="1:24" x14ac:dyDescent="0.25">
      <c r="A15" s="12">
        <f t="shared" si="1"/>
        <v>13</v>
      </c>
      <c r="B15" s="49" t="s">
        <v>212</v>
      </c>
      <c r="C15" s="52">
        <v>43168</v>
      </c>
      <c r="D15" s="52">
        <v>43174</v>
      </c>
      <c r="E15" s="52">
        <v>43175</v>
      </c>
      <c r="F15" s="49" t="s">
        <v>40</v>
      </c>
      <c r="G15" s="51"/>
      <c r="H15" s="49" t="s">
        <v>60</v>
      </c>
      <c r="I15" s="49" t="s">
        <v>213</v>
      </c>
      <c r="J15" s="49" t="s">
        <v>173</v>
      </c>
      <c r="K15" s="49" t="s">
        <v>213</v>
      </c>
      <c r="L15" s="49" t="s">
        <v>173</v>
      </c>
      <c r="M15" s="49" t="s">
        <v>179</v>
      </c>
      <c r="N15" s="49" t="s">
        <v>62</v>
      </c>
      <c r="O15" s="52">
        <v>43187</v>
      </c>
      <c r="P15" s="50"/>
      <c r="Q15" s="155" t="str">
        <f t="shared" si="2"/>
        <v/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214</v>
      </c>
      <c r="C16" s="52">
        <v>43171</v>
      </c>
      <c r="D16" s="52">
        <v>43175</v>
      </c>
      <c r="E16" s="52">
        <v>43178</v>
      </c>
      <c r="F16" s="49" t="s">
        <v>35</v>
      </c>
      <c r="G16" s="164"/>
      <c r="H16" s="49" t="s">
        <v>46</v>
      </c>
      <c r="I16" s="49" t="s">
        <v>218</v>
      </c>
      <c r="J16" s="49" t="s">
        <v>218</v>
      </c>
      <c r="K16" s="49" t="s">
        <v>218</v>
      </c>
      <c r="L16" s="49" t="s">
        <v>217</v>
      </c>
      <c r="M16" s="49" t="s">
        <v>179</v>
      </c>
      <c r="N16" s="49" t="s">
        <v>62</v>
      </c>
      <c r="O16" s="52">
        <v>43188</v>
      </c>
      <c r="P16" s="50"/>
      <c r="Q16" s="155" t="str">
        <f t="shared" si="2"/>
        <v/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215</v>
      </c>
      <c r="C17" s="52">
        <v>43172</v>
      </c>
      <c r="D17" s="52">
        <v>43178</v>
      </c>
      <c r="E17" s="52">
        <v>43179</v>
      </c>
      <c r="F17" s="49" t="s">
        <v>40</v>
      </c>
      <c r="G17" s="51"/>
      <c r="H17" s="49" t="s">
        <v>60</v>
      </c>
      <c r="I17" s="49" t="s">
        <v>217</v>
      </c>
      <c r="J17" s="49" t="s">
        <v>217</v>
      </c>
      <c r="K17" s="49" t="s">
        <v>218</v>
      </c>
      <c r="L17" s="49" t="s">
        <v>217</v>
      </c>
      <c r="M17" s="49" t="s">
        <v>218</v>
      </c>
      <c r="N17" s="163" t="s">
        <v>47</v>
      </c>
      <c r="O17" s="52">
        <v>43188</v>
      </c>
      <c r="P17" s="50"/>
      <c r="Q17" s="155" t="str">
        <f t="shared" si="2"/>
        <v/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216</v>
      </c>
      <c r="C18" s="52">
        <v>43172</v>
      </c>
      <c r="D18" s="52">
        <v>43178</v>
      </c>
      <c r="E18" s="52">
        <v>43179</v>
      </c>
      <c r="F18" s="49" t="s">
        <v>40</v>
      </c>
      <c r="G18" s="51"/>
      <c r="H18" s="49" t="s">
        <v>60</v>
      </c>
      <c r="I18" s="49" t="s">
        <v>217</v>
      </c>
      <c r="J18" s="49" t="s">
        <v>217</v>
      </c>
      <c r="K18" s="49" t="s">
        <v>218</v>
      </c>
      <c r="L18" s="49" t="s">
        <v>217</v>
      </c>
      <c r="M18" s="49" t="s">
        <v>179</v>
      </c>
      <c r="N18" s="49" t="s">
        <v>62</v>
      </c>
      <c r="O18" s="52">
        <v>43189</v>
      </c>
      <c r="P18" s="50"/>
      <c r="Q18" s="155" t="str">
        <f t="shared" si="2"/>
        <v/>
      </c>
      <c r="R18" s="49"/>
    </row>
    <row r="19" spans="1:20" x14ac:dyDescent="0.25">
      <c r="A19" s="12">
        <f t="shared" si="1"/>
        <v>17</v>
      </c>
      <c r="B19" s="49" t="s">
        <v>222</v>
      </c>
      <c r="C19" s="52">
        <v>43173</v>
      </c>
      <c r="D19" s="52">
        <v>43179</v>
      </c>
      <c r="E19" s="52">
        <v>43181</v>
      </c>
      <c r="F19" s="49" t="s">
        <v>40</v>
      </c>
      <c r="G19" s="51"/>
      <c r="H19" s="49" t="s">
        <v>60</v>
      </c>
      <c r="I19" s="49" t="s">
        <v>173</v>
      </c>
      <c r="J19" s="49" t="s">
        <v>173</v>
      </c>
      <c r="K19" s="49" t="s">
        <v>180</v>
      </c>
      <c r="L19" s="49" t="s">
        <v>173</v>
      </c>
      <c r="M19" s="49" t="s">
        <v>180</v>
      </c>
      <c r="N19" s="49" t="s">
        <v>53</v>
      </c>
      <c r="O19" s="52">
        <v>43193</v>
      </c>
      <c r="P19" s="50"/>
      <c r="Q19" s="155" t="str">
        <f t="shared" si="2"/>
        <v/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237</v>
      </c>
      <c r="C20" s="52">
        <v>43174</v>
      </c>
      <c r="D20" s="52">
        <v>43181</v>
      </c>
      <c r="E20" s="52">
        <v>43182</v>
      </c>
      <c r="F20" s="49" t="s">
        <v>40</v>
      </c>
      <c r="G20" s="51"/>
      <c r="H20" s="49" t="s">
        <v>60</v>
      </c>
      <c r="I20" s="49" t="s">
        <v>173</v>
      </c>
      <c r="J20" s="49" t="s">
        <v>173</v>
      </c>
      <c r="K20" s="49" t="s">
        <v>180</v>
      </c>
      <c r="L20" s="49" t="s">
        <v>173</v>
      </c>
      <c r="M20" s="49" t="s">
        <v>180</v>
      </c>
      <c r="N20" s="49" t="s">
        <v>53</v>
      </c>
      <c r="O20" s="52">
        <v>43194</v>
      </c>
      <c r="P20" s="50"/>
      <c r="Q20" s="155" t="str">
        <f t="shared" si="2"/>
        <v/>
      </c>
      <c r="R20" s="49"/>
      <c r="T20" s="116" t="s">
        <v>157</v>
      </c>
    </row>
    <row r="21" spans="1:20" x14ac:dyDescent="0.25">
      <c r="A21" s="12">
        <f t="shared" si="1"/>
        <v>19</v>
      </c>
      <c r="B21" s="49"/>
      <c r="C21" s="52"/>
      <c r="D21" s="52"/>
      <c r="E21" s="52"/>
      <c r="F21" s="49"/>
      <c r="G21" s="51"/>
      <c r="H21" s="49"/>
      <c r="I21" s="49"/>
      <c r="J21" s="49"/>
      <c r="K21" s="49"/>
      <c r="L21" s="49"/>
      <c r="M21" s="49"/>
      <c r="N21" s="49"/>
      <c r="O21" s="52"/>
      <c r="P21" s="50"/>
      <c r="Q21" s="155" t="str">
        <f t="shared" si="2"/>
        <v/>
      </c>
      <c r="R21" s="49"/>
    </row>
    <row r="22" spans="1:20" x14ac:dyDescent="0.25">
      <c r="A22" s="12">
        <f t="shared" si="1"/>
        <v>20</v>
      </c>
      <c r="B22" s="49"/>
      <c r="C22" s="52"/>
      <c r="D22" s="52"/>
      <c r="E22" s="52"/>
      <c r="F22" s="49"/>
      <c r="G22" s="51"/>
      <c r="H22" s="49"/>
      <c r="I22" s="49"/>
      <c r="J22" s="49"/>
      <c r="K22" s="49"/>
      <c r="L22" s="49"/>
      <c r="M22" s="49"/>
      <c r="N22" s="163"/>
      <c r="O22" s="52"/>
      <c r="P22" s="50"/>
      <c r="Q22" s="155" t="str">
        <f t="shared" si="2"/>
        <v/>
      </c>
      <c r="R22" s="49"/>
      <c r="T22" s="12" t="s">
        <v>69</v>
      </c>
    </row>
    <row r="23" spans="1:20" x14ac:dyDescent="0.25">
      <c r="A23" s="12">
        <f t="shared" si="1"/>
        <v>21</v>
      </c>
      <c r="B23" s="155"/>
      <c r="C23" s="165"/>
      <c r="D23" s="165"/>
      <c r="E23" s="52"/>
      <c r="F23" s="49"/>
      <c r="G23" s="166"/>
      <c r="H23" s="155"/>
      <c r="I23" s="49"/>
      <c r="J23" s="49"/>
      <c r="K23" s="49"/>
      <c r="L23" s="49"/>
      <c r="M23" s="49"/>
      <c r="N23" s="155"/>
      <c r="O23" s="165"/>
      <c r="P23" s="167"/>
      <c r="Q23" s="155" t="str">
        <f t="shared" si="2"/>
        <v/>
      </c>
      <c r="R23" s="155"/>
      <c r="T23" s="116" t="s">
        <v>129</v>
      </c>
    </row>
    <row r="24" spans="1:20" x14ac:dyDescent="0.25">
      <c r="A24" s="12">
        <f t="shared" si="1"/>
        <v>22</v>
      </c>
      <c r="B24" s="155"/>
      <c r="C24" s="52"/>
      <c r="D24" s="52"/>
      <c r="E24" s="165"/>
      <c r="F24" s="49"/>
      <c r="G24" s="168"/>
      <c r="H24" s="155"/>
      <c r="I24" s="49"/>
      <c r="J24" s="49"/>
      <c r="K24" s="163"/>
      <c r="L24" s="49"/>
      <c r="M24" s="49"/>
      <c r="N24" s="155"/>
      <c r="O24" s="165"/>
      <c r="P24" s="167"/>
      <c r="Q24" s="155" t="str">
        <f t="shared" si="2"/>
        <v/>
      </c>
      <c r="R24" s="49"/>
    </row>
    <row r="25" spans="1:20" x14ac:dyDescent="0.25">
      <c r="A25" s="12">
        <f t="shared" si="1"/>
        <v>23</v>
      </c>
      <c r="B25" s="49"/>
      <c r="C25" s="52"/>
      <c r="D25" s="52"/>
      <c r="E25" s="52"/>
      <c r="F25" s="49"/>
      <c r="G25" s="51"/>
      <c r="H25" s="49"/>
      <c r="I25" s="49"/>
      <c r="J25" s="49"/>
      <c r="K25" s="49"/>
      <c r="L25" s="49"/>
      <c r="M25" s="49"/>
      <c r="N25" s="163"/>
      <c r="O25" s="165"/>
      <c r="P25" s="50"/>
      <c r="Q25" s="155" t="str">
        <f t="shared" si="2"/>
        <v/>
      </c>
      <c r="R25" s="49"/>
    </row>
    <row r="26" spans="1:20" x14ac:dyDescent="0.25">
      <c r="A26" s="12">
        <f t="shared" si="1"/>
        <v>24</v>
      </c>
      <c r="B26" s="49"/>
      <c r="C26" s="52"/>
      <c r="D26" s="52"/>
      <c r="E26" s="165"/>
      <c r="F26" s="49"/>
      <c r="G26" s="51"/>
      <c r="H26" s="49"/>
      <c r="I26" s="49"/>
      <c r="J26" s="49"/>
      <c r="K26" s="49"/>
      <c r="L26" s="49"/>
      <c r="M26" s="49"/>
      <c r="N26" s="163"/>
      <c r="O26" s="165"/>
      <c r="P26" s="50"/>
      <c r="Q26" s="155" t="str">
        <f t="shared" si="2"/>
        <v/>
      </c>
      <c r="R26" s="49"/>
    </row>
    <row r="27" spans="1:20" x14ac:dyDescent="0.25">
      <c r="A27" s="12">
        <f t="shared" si="1"/>
        <v>25</v>
      </c>
      <c r="B27" s="155"/>
      <c r="C27" s="52"/>
      <c r="D27" s="52"/>
      <c r="E27" s="165"/>
      <c r="F27" s="49"/>
      <c r="G27" s="166"/>
      <c r="H27" s="155"/>
      <c r="I27" s="49"/>
      <c r="J27" s="49"/>
      <c r="K27" s="49"/>
      <c r="L27" s="49"/>
      <c r="M27" s="49"/>
      <c r="N27" s="169"/>
      <c r="O27" s="165"/>
      <c r="P27" s="167"/>
      <c r="Q27" s="155" t="str">
        <f t="shared" si="2"/>
        <v/>
      </c>
      <c r="R27" s="155"/>
    </row>
    <row r="28" spans="1:20" x14ac:dyDescent="0.25">
      <c r="A28" s="12">
        <f t="shared" si="1"/>
        <v>26</v>
      </c>
      <c r="B28" s="49"/>
      <c r="C28" s="52"/>
      <c r="D28" s="52"/>
      <c r="E28" s="165"/>
      <c r="F28" s="49"/>
      <c r="G28" s="51"/>
      <c r="H28" s="49"/>
      <c r="I28" s="49"/>
      <c r="J28" s="49"/>
      <c r="K28" s="49"/>
      <c r="L28" s="49"/>
      <c r="M28" s="49"/>
      <c r="N28" s="49"/>
      <c r="O28" s="165"/>
      <c r="P28" s="50"/>
      <c r="Q28" s="155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4"/>
      <c r="H29" s="49"/>
      <c r="I29" s="49"/>
      <c r="J29" s="49"/>
      <c r="K29" s="49"/>
      <c r="L29" s="49"/>
      <c r="M29" s="49"/>
      <c r="N29" s="49"/>
      <c r="O29" s="165"/>
      <c r="P29" s="50"/>
      <c r="Q29" s="155" t="str">
        <f t="shared" si="2"/>
        <v/>
      </c>
      <c r="R29" s="49"/>
    </row>
    <row r="30" spans="1:20" x14ac:dyDescent="0.25">
      <c r="A30" s="12">
        <f t="shared" si="1"/>
        <v>28</v>
      </c>
      <c r="B30" s="155"/>
      <c r="C30" s="165"/>
      <c r="D30" s="165"/>
      <c r="E30" s="165"/>
      <c r="F30" s="49"/>
      <c r="G30" s="166"/>
      <c r="H30" s="49"/>
      <c r="I30" s="49"/>
      <c r="J30" s="49"/>
      <c r="K30" s="49"/>
      <c r="L30" s="49"/>
      <c r="M30" s="49"/>
      <c r="N30" s="169"/>
      <c r="O30" s="165"/>
      <c r="P30" s="167"/>
      <c r="Q30" s="155" t="str">
        <f t="shared" si="2"/>
        <v/>
      </c>
      <c r="R30" s="155"/>
    </row>
    <row r="31" spans="1:20" x14ac:dyDescent="0.25">
      <c r="A31" s="12">
        <f t="shared" si="1"/>
        <v>29</v>
      </c>
      <c r="B31" s="49"/>
      <c r="C31" s="165"/>
      <c r="D31" s="165"/>
      <c r="E31" s="165"/>
      <c r="F31" s="49"/>
      <c r="G31" s="51"/>
      <c r="H31" s="49"/>
      <c r="I31" s="49"/>
      <c r="J31" s="49"/>
      <c r="K31" s="49"/>
      <c r="L31" s="49"/>
      <c r="M31" s="49"/>
      <c r="N31" s="163"/>
      <c r="O31" s="165"/>
      <c r="P31" s="50"/>
      <c r="Q31" s="155" t="str">
        <f t="shared" si="2"/>
        <v/>
      </c>
      <c r="R31" s="49"/>
    </row>
    <row r="32" spans="1:20" x14ac:dyDescent="0.25">
      <c r="A32" s="12">
        <f t="shared" si="1"/>
        <v>30</v>
      </c>
      <c r="B32" s="155"/>
      <c r="C32" s="165"/>
      <c r="D32" s="165"/>
      <c r="E32" s="165"/>
      <c r="F32" s="49"/>
      <c r="G32" s="166"/>
      <c r="H32" s="49"/>
      <c r="I32" s="155"/>
      <c r="J32" s="155"/>
      <c r="K32" s="155"/>
      <c r="L32" s="155"/>
      <c r="M32" s="155"/>
      <c r="N32" s="169"/>
      <c r="O32" s="165"/>
      <c r="P32" s="167"/>
      <c r="Q32" s="155" t="str">
        <f t="shared" si="2"/>
        <v/>
      </c>
      <c r="R32" s="155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5"/>
      <c r="J33" s="155"/>
      <c r="K33" s="155"/>
      <c r="L33" s="155"/>
      <c r="M33" s="155"/>
      <c r="N33" s="163"/>
      <c r="O33" s="52"/>
      <c r="P33" s="50"/>
      <c r="Q33" s="155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5"/>
      <c r="J34" s="155"/>
      <c r="K34" s="155"/>
      <c r="L34" s="155"/>
      <c r="M34" s="155"/>
      <c r="N34" s="49"/>
      <c r="O34" s="52"/>
      <c r="P34" s="50"/>
      <c r="Q34" s="155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5"/>
      <c r="J35" s="155"/>
      <c r="K35" s="155"/>
      <c r="L35" s="155"/>
      <c r="M35" s="155"/>
      <c r="N35" s="49"/>
      <c r="O35" s="52"/>
      <c r="P35" s="50"/>
      <c r="Q35" s="155" t="str">
        <f t="shared" si="2"/>
        <v/>
      </c>
      <c r="R35" s="49"/>
    </row>
    <row r="36" spans="1:18" x14ac:dyDescent="0.25">
      <c r="A36" s="12">
        <f t="shared" si="1"/>
        <v>34</v>
      </c>
      <c r="B36" s="155"/>
      <c r="C36" s="165"/>
      <c r="D36" s="165"/>
      <c r="E36" s="165"/>
      <c r="F36" s="49"/>
      <c r="G36" s="166"/>
      <c r="H36" s="49"/>
      <c r="I36" s="155"/>
      <c r="J36" s="155"/>
      <c r="K36" s="155"/>
      <c r="L36" s="155"/>
      <c r="M36" s="155"/>
      <c r="N36" s="155"/>
      <c r="O36" s="165"/>
      <c r="P36" s="167"/>
      <c r="Q36" s="155" t="str">
        <f t="shared" si="2"/>
        <v/>
      </c>
      <c r="R36" s="155"/>
    </row>
    <row r="37" spans="1:18" x14ac:dyDescent="0.25">
      <c r="A37" s="12">
        <f t="shared" si="1"/>
        <v>35</v>
      </c>
      <c r="B37" s="49"/>
      <c r="C37" s="165"/>
      <c r="D37" s="165"/>
      <c r="E37" s="165"/>
      <c r="F37" s="49"/>
      <c r="G37" s="51"/>
      <c r="H37" s="49"/>
      <c r="I37" s="155"/>
      <c r="J37" s="155"/>
      <c r="K37" s="155"/>
      <c r="L37" s="155"/>
      <c r="M37" s="155"/>
      <c r="N37" s="49"/>
      <c r="O37" s="165"/>
      <c r="P37" s="50"/>
      <c r="Q37" s="155" t="str">
        <f t="shared" si="2"/>
        <v/>
      </c>
      <c r="R37" s="49"/>
    </row>
    <row r="38" spans="1:18" x14ac:dyDescent="0.25">
      <c r="A38" s="12">
        <f t="shared" si="1"/>
        <v>36</v>
      </c>
      <c r="B38" s="155"/>
      <c r="C38" s="165"/>
      <c r="D38" s="165"/>
      <c r="E38" s="165"/>
      <c r="F38" s="49"/>
      <c r="G38" s="166"/>
      <c r="H38" s="49"/>
      <c r="I38" s="155"/>
      <c r="J38" s="155"/>
      <c r="K38" s="155"/>
      <c r="L38" s="155"/>
      <c r="M38" s="155"/>
      <c r="N38" s="169"/>
      <c r="O38" s="165"/>
      <c r="P38" s="167"/>
      <c r="Q38" s="155" t="str">
        <f t="shared" si="2"/>
        <v/>
      </c>
      <c r="R38" s="155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5"/>
      <c r="K39" s="155"/>
      <c r="L39" s="155"/>
      <c r="M39" s="49"/>
      <c r="N39" s="49"/>
      <c r="O39" s="52"/>
      <c r="P39" s="50"/>
      <c r="Q39" s="155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5"/>
      <c r="K40" s="155"/>
      <c r="L40" s="155"/>
      <c r="M40" s="49"/>
      <c r="N40" s="49"/>
      <c r="O40" s="52"/>
      <c r="P40" s="50"/>
      <c r="Q40" s="155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5"/>
      <c r="K41" s="49"/>
      <c r="L41" s="155"/>
      <c r="M41" s="49"/>
      <c r="N41" s="49"/>
      <c r="O41" s="52"/>
      <c r="P41" s="50"/>
      <c r="Q41" s="155" t="str">
        <f t="shared" si="2"/>
        <v/>
      </c>
      <c r="R41" s="49"/>
    </row>
    <row r="42" spans="1:18" x14ac:dyDescent="0.25">
      <c r="A42" s="12">
        <f t="shared" si="1"/>
        <v>40</v>
      </c>
      <c r="B42" s="155"/>
      <c r="C42" s="52"/>
      <c r="D42" s="52"/>
      <c r="E42" s="52"/>
      <c r="F42" s="49"/>
      <c r="G42" s="166"/>
      <c r="H42" s="49"/>
      <c r="I42" s="49"/>
      <c r="J42" s="155"/>
      <c r="K42" s="49"/>
      <c r="L42" s="155"/>
      <c r="M42" s="49"/>
      <c r="N42" s="155"/>
      <c r="O42" s="52"/>
      <c r="P42" s="167"/>
      <c r="Q42" s="155" t="str">
        <f t="shared" si="2"/>
        <v/>
      </c>
      <c r="R42" s="155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3"/>
      <c r="O43" s="52"/>
      <c r="P43" s="50"/>
      <c r="Q43" s="155" t="str">
        <f t="shared" si="2"/>
        <v/>
      </c>
      <c r="R43" s="49"/>
    </row>
    <row r="44" spans="1:18" x14ac:dyDescent="0.25">
      <c r="A44" s="12">
        <f t="shared" si="1"/>
        <v>42</v>
      </c>
      <c r="B44" s="155"/>
      <c r="C44" s="165"/>
      <c r="D44" s="165"/>
      <c r="E44" s="165"/>
      <c r="F44" s="49"/>
      <c r="G44" s="166"/>
      <c r="H44" s="49"/>
      <c r="I44" s="49"/>
      <c r="J44" s="49"/>
      <c r="K44" s="49"/>
      <c r="L44" s="49"/>
      <c r="M44" s="49"/>
      <c r="N44" s="155"/>
      <c r="O44" s="165"/>
      <c r="P44" s="167"/>
      <c r="Q44" s="155" t="str">
        <f t="shared" si="2"/>
        <v/>
      </c>
      <c r="R44" s="155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5" t="str">
        <f t="shared" si="2"/>
        <v/>
      </c>
      <c r="R45" s="49"/>
    </row>
    <row r="46" spans="1:18" x14ac:dyDescent="0.25">
      <c r="A46" s="12">
        <f t="shared" si="1"/>
        <v>44</v>
      </c>
      <c r="B46" s="155"/>
      <c r="C46" s="165"/>
      <c r="D46" s="165"/>
      <c r="E46" s="165"/>
      <c r="F46" s="49"/>
      <c r="G46" s="166"/>
      <c r="H46" s="49"/>
      <c r="I46" s="155"/>
      <c r="J46" s="49"/>
      <c r="K46" s="49"/>
      <c r="L46" s="49"/>
      <c r="M46" s="49"/>
      <c r="N46" s="155"/>
      <c r="O46" s="165"/>
      <c r="P46" s="167"/>
      <c r="Q46" s="155" t="str">
        <f t="shared" si="2"/>
        <v/>
      </c>
      <c r="R46" s="155"/>
    </row>
    <row r="47" spans="1:18" x14ac:dyDescent="0.25">
      <c r="A47" s="12">
        <f t="shared" si="1"/>
        <v>45</v>
      </c>
      <c r="B47" s="49"/>
      <c r="C47" s="52"/>
      <c r="D47" s="165"/>
      <c r="E47" s="165"/>
      <c r="F47" s="49"/>
      <c r="G47" s="51"/>
      <c r="H47" s="49"/>
      <c r="I47" s="49"/>
      <c r="J47" s="49"/>
      <c r="K47" s="49"/>
      <c r="L47" s="49"/>
      <c r="M47" s="49"/>
      <c r="N47" s="163"/>
      <c r="O47" s="165"/>
      <c r="P47" s="50"/>
      <c r="Q47" s="155" t="str">
        <f t="shared" si="2"/>
        <v/>
      </c>
      <c r="R47" s="49"/>
    </row>
    <row r="48" spans="1:18" x14ac:dyDescent="0.25">
      <c r="A48" s="12">
        <f t="shared" si="1"/>
        <v>46</v>
      </c>
      <c r="B48" s="155"/>
      <c r="C48" s="52"/>
      <c r="D48" s="165"/>
      <c r="E48" s="165"/>
      <c r="F48" s="49"/>
      <c r="G48" s="166"/>
      <c r="H48" s="49"/>
      <c r="I48" s="49"/>
      <c r="J48" s="49"/>
      <c r="K48" s="49"/>
      <c r="L48" s="49"/>
      <c r="M48" s="49"/>
      <c r="N48" s="155"/>
      <c r="O48" s="165"/>
      <c r="P48" s="167"/>
      <c r="Q48" s="155" t="str">
        <f t="shared" si="2"/>
        <v/>
      </c>
      <c r="R48" s="155"/>
    </row>
    <row r="49" spans="1:18" x14ac:dyDescent="0.25">
      <c r="A49" s="12">
        <f t="shared" si="1"/>
        <v>47</v>
      </c>
      <c r="B49" s="155"/>
      <c r="C49" s="165"/>
      <c r="D49" s="165"/>
      <c r="E49" s="165"/>
      <c r="F49" s="49"/>
      <c r="G49" s="166"/>
      <c r="H49" s="49"/>
      <c r="I49" s="49"/>
      <c r="J49" s="49"/>
      <c r="K49" s="49"/>
      <c r="L49" s="49"/>
      <c r="M49" s="49"/>
      <c r="N49" s="169"/>
      <c r="O49" s="165"/>
      <c r="P49" s="167"/>
      <c r="Q49" s="155" t="str">
        <f t="shared" si="2"/>
        <v/>
      </c>
      <c r="R49" s="155"/>
    </row>
    <row r="50" spans="1:18" x14ac:dyDescent="0.25">
      <c r="A50" s="12">
        <f t="shared" si="1"/>
        <v>48</v>
      </c>
      <c r="B50" s="155"/>
      <c r="C50" s="165"/>
      <c r="D50" s="165"/>
      <c r="E50" s="165"/>
      <c r="F50" s="49"/>
      <c r="G50" s="166"/>
      <c r="H50" s="49"/>
      <c r="I50" s="155"/>
      <c r="J50" s="155"/>
      <c r="K50" s="49"/>
      <c r="L50" s="155"/>
      <c r="M50" s="49"/>
      <c r="N50" s="169"/>
      <c r="O50" s="165"/>
      <c r="P50" s="167"/>
      <c r="Q50" s="155" t="str">
        <f t="shared" si="2"/>
        <v/>
      </c>
      <c r="R50" s="155"/>
    </row>
    <row r="51" spans="1:18" x14ac:dyDescent="0.25">
      <c r="A51" s="12">
        <f t="shared" si="1"/>
        <v>49</v>
      </c>
      <c r="B51" s="155"/>
      <c r="C51" s="165"/>
      <c r="D51" s="165"/>
      <c r="E51" s="165"/>
      <c r="F51" s="49"/>
      <c r="G51" s="166"/>
      <c r="H51" s="49"/>
      <c r="I51" s="155"/>
      <c r="J51" s="155"/>
      <c r="K51" s="155"/>
      <c r="L51" s="155"/>
      <c r="M51" s="49"/>
      <c r="N51" s="155"/>
      <c r="O51" s="165"/>
      <c r="P51" s="167"/>
      <c r="Q51" s="155" t="str">
        <f t="shared" si="2"/>
        <v/>
      </c>
      <c r="R51" s="155"/>
    </row>
    <row r="52" spans="1:18" x14ac:dyDescent="0.25">
      <c r="A52" s="12">
        <f t="shared" si="1"/>
        <v>50</v>
      </c>
      <c r="B52" s="155"/>
      <c r="C52" s="165"/>
      <c r="D52" s="165"/>
      <c r="E52" s="165"/>
      <c r="F52" s="49"/>
      <c r="G52" s="170"/>
      <c r="H52" s="49"/>
      <c r="I52" s="155"/>
      <c r="J52" s="155"/>
      <c r="K52" s="155"/>
      <c r="L52" s="155"/>
      <c r="M52" s="155"/>
      <c r="N52" s="155"/>
      <c r="O52" s="165"/>
      <c r="P52" s="167"/>
      <c r="Q52" s="155" t="str">
        <f t="shared" si="2"/>
        <v/>
      </c>
      <c r="R52" s="49"/>
    </row>
    <row r="53" spans="1:18" x14ac:dyDescent="0.25">
      <c r="A53" s="12">
        <f t="shared" si="1"/>
        <v>51</v>
      </c>
      <c r="B53" s="155"/>
      <c r="C53" s="165"/>
      <c r="D53" s="165"/>
      <c r="E53" s="165"/>
      <c r="F53" s="49"/>
      <c r="G53" s="166"/>
      <c r="H53" s="49"/>
      <c r="I53" s="155"/>
      <c r="J53" s="155"/>
      <c r="K53" s="155"/>
      <c r="L53" s="155"/>
      <c r="M53" s="155"/>
      <c r="N53" s="169"/>
      <c r="O53" s="165"/>
      <c r="P53" s="167"/>
      <c r="Q53" s="155" t="str">
        <f t="shared" si="2"/>
        <v/>
      </c>
      <c r="R53" s="171"/>
    </row>
    <row r="54" spans="1:18" x14ac:dyDescent="0.25">
      <c r="A54" s="12">
        <f t="shared" si="1"/>
        <v>52</v>
      </c>
      <c r="B54" s="155"/>
      <c r="C54" s="165"/>
      <c r="D54" s="165"/>
      <c r="E54" s="165"/>
      <c r="F54" s="49"/>
      <c r="G54" s="166"/>
      <c r="H54" s="49"/>
      <c r="I54" s="49"/>
      <c r="J54" s="49"/>
      <c r="K54" s="49"/>
      <c r="L54" s="49"/>
      <c r="M54" s="155"/>
      <c r="N54" s="155"/>
      <c r="O54" s="165"/>
      <c r="P54" s="167"/>
      <c r="Q54" s="155" t="str">
        <f t="shared" si="2"/>
        <v/>
      </c>
      <c r="R54" s="155"/>
    </row>
    <row r="55" spans="1:18" x14ac:dyDescent="0.25">
      <c r="A55" s="12">
        <f t="shared" si="1"/>
        <v>53</v>
      </c>
      <c r="B55" s="155"/>
      <c r="C55" s="165"/>
      <c r="D55" s="165"/>
      <c r="E55" s="165"/>
      <c r="F55" s="49"/>
      <c r="G55" s="166"/>
      <c r="H55" s="49"/>
      <c r="I55" s="155"/>
      <c r="J55" s="155"/>
      <c r="K55" s="49"/>
      <c r="L55" s="155"/>
      <c r="M55" s="155"/>
      <c r="N55" s="169"/>
      <c r="O55" s="165"/>
      <c r="P55" s="167"/>
      <c r="Q55" s="155" t="str">
        <f t="shared" si="2"/>
        <v/>
      </c>
      <c r="R55" s="155"/>
    </row>
    <row r="56" spans="1:18" x14ac:dyDescent="0.25">
      <c r="A56" s="12">
        <f t="shared" si="1"/>
        <v>54</v>
      </c>
      <c r="B56" s="155"/>
      <c r="C56" s="165"/>
      <c r="D56" s="165"/>
      <c r="E56" s="165"/>
      <c r="F56" s="49"/>
      <c r="G56" s="166"/>
      <c r="H56" s="49"/>
      <c r="I56" s="155"/>
      <c r="J56" s="155"/>
      <c r="K56" s="49"/>
      <c r="L56" s="155"/>
      <c r="M56" s="155"/>
      <c r="N56" s="155"/>
      <c r="O56" s="165"/>
      <c r="P56" s="167"/>
      <c r="Q56" s="155" t="str">
        <f t="shared" si="2"/>
        <v/>
      </c>
      <c r="R56" s="155"/>
    </row>
    <row r="57" spans="1:18" x14ac:dyDescent="0.25">
      <c r="A57" s="12">
        <f t="shared" si="1"/>
        <v>55</v>
      </c>
      <c r="B57" s="155"/>
      <c r="C57" s="165"/>
      <c r="D57" s="165"/>
      <c r="E57" s="165"/>
      <c r="F57" s="49"/>
      <c r="G57" s="166"/>
      <c r="H57" s="49"/>
      <c r="I57" s="155"/>
      <c r="J57" s="155"/>
      <c r="K57" s="49"/>
      <c r="L57" s="155"/>
      <c r="M57" s="155"/>
      <c r="N57" s="155"/>
      <c r="O57" s="165"/>
      <c r="P57" s="167"/>
      <c r="Q57" s="155" t="str">
        <f t="shared" si="2"/>
        <v/>
      </c>
      <c r="R57" s="155"/>
    </row>
    <row r="58" spans="1:18" x14ac:dyDescent="0.25">
      <c r="A58" s="12">
        <f t="shared" si="1"/>
        <v>56</v>
      </c>
      <c r="B58" s="155"/>
      <c r="C58" s="165"/>
      <c r="D58" s="165"/>
      <c r="E58" s="165"/>
      <c r="F58" s="49"/>
      <c r="G58" s="166"/>
      <c r="H58" s="49"/>
      <c r="I58" s="155"/>
      <c r="J58" s="155"/>
      <c r="K58" s="155"/>
      <c r="L58" s="155"/>
      <c r="M58" s="49"/>
      <c r="N58" s="155"/>
      <c r="O58" s="165"/>
      <c r="P58" s="167"/>
      <c r="Q58" s="155" t="str">
        <f t="shared" si="2"/>
        <v/>
      </c>
      <c r="R58" s="155"/>
    </row>
    <row r="59" spans="1:18" x14ac:dyDescent="0.25">
      <c r="A59" s="12">
        <f t="shared" si="1"/>
        <v>57</v>
      </c>
      <c r="B59" s="155"/>
      <c r="C59" s="165"/>
      <c r="D59" s="165"/>
      <c r="E59" s="165"/>
      <c r="F59" s="49"/>
      <c r="G59" s="166"/>
      <c r="H59" s="49"/>
      <c r="I59" s="155"/>
      <c r="J59" s="155"/>
      <c r="K59" s="49"/>
      <c r="L59" s="155"/>
      <c r="M59" s="49"/>
      <c r="N59" s="155"/>
      <c r="O59" s="165"/>
      <c r="P59" s="167"/>
      <c r="Q59" s="155" t="str">
        <f t="shared" si="2"/>
        <v/>
      </c>
      <c r="R59" s="155"/>
    </row>
    <row r="60" spans="1:18" x14ac:dyDescent="0.25">
      <c r="A60" s="12">
        <f t="shared" si="1"/>
        <v>58</v>
      </c>
      <c r="B60" s="155"/>
      <c r="C60" s="165"/>
      <c r="D60" s="165"/>
      <c r="E60" s="165"/>
      <c r="F60" s="49"/>
      <c r="G60" s="166"/>
      <c r="H60" s="49"/>
      <c r="I60" s="155"/>
      <c r="J60" s="155"/>
      <c r="K60" s="155"/>
      <c r="L60" s="155"/>
      <c r="M60" s="49"/>
      <c r="N60" s="155"/>
      <c r="O60" s="165"/>
      <c r="P60" s="167"/>
      <c r="Q60" s="155" t="str">
        <f t="shared" si="2"/>
        <v/>
      </c>
      <c r="R60" s="155"/>
    </row>
    <row r="61" spans="1:18" x14ac:dyDescent="0.25">
      <c r="A61" s="12">
        <f t="shared" si="1"/>
        <v>59</v>
      </c>
      <c r="B61" s="155"/>
      <c r="C61" s="155"/>
      <c r="D61" s="155"/>
      <c r="E61" s="155"/>
      <c r="F61" s="49"/>
      <c r="G61" s="166"/>
      <c r="H61" s="49"/>
      <c r="I61" s="155"/>
      <c r="J61" s="155"/>
      <c r="K61" s="155"/>
      <c r="L61" s="155"/>
      <c r="M61" s="155"/>
      <c r="N61" s="169"/>
      <c r="O61" s="165"/>
      <c r="P61" s="167"/>
      <c r="Q61" s="155" t="str">
        <f t="shared" si="2"/>
        <v/>
      </c>
      <c r="R61" s="155"/>
    </row>
    <row r="62" spans="1:18" x14ac:dyDescent="0.25">
      <c r="A62" s="12">
        <f t="shared" si="1"/>
        <v>60</v>
      </c>
      <c r="B62" s="155"/>
      <c r="C62" s="165"/>
      <c r="D62" s="165"/>
      <c r="E62" s="165"/>
      <c r="F62" s="49"/>
      <c r="G62" s="166"/>
      <c r="H62" s="49"/>
      <c r="I62" s="155"/>
      <c r="J62" s="155"/>
      <c r="K62" s="155"/>
      <c r="L62" s="155"/>
      <c r="M62" s="155"/>
      <c r="N62" s="155"/>
      <c r="O62" s="165"/>
      <c r="P62" s="167"/>
      <c r="Q62" s="155" t="str">
        <f t="shared" si="2"/>
        <v/>
      </c>
      <c r="R62" s="155"/>
    </row>
    <row r="63" spans="1:18" x14ac:dyDescent="0.25">
      <c r="A63" s="12">
        <f t="shared" si="1"/>
        <v>61</v>
      </c>
      <c r="B63" s="155"/>
      <c r="C63" s="165"/>
      <c r="D63" s="165"/>
      <c r="E63" s="165"/>
      <c r="F63" s="49"/>
      <c r="G63" s="166"/>
      <c r="H63" s="49"/>
      <c r="I63" s="155"/>
      <c r="J63" s="155"/>
      <c r="K63" s="155"/>
      <c r="L63" s="155"/>
      <c r="M63" s="155"/>
      <c r="N63" s="155"/>
      <c r="O63" s="165"/>
      <c r="P63" s="167"/>
      <c r="Q63" s="155" t="str">
        <f t="shared" si="2"/>
        <v/>
      </c>
      <c r="R63" s="155"/>
    </row>
    <row r="64" spans="1:18" x14ac:dyDescent="0.25">
      <c r="A64" s="12">
        <f t="shared" si="1"/>
        <v>62</v>
      </c>
      <c r="B64" s="155"/>
      <c r="C64" s="165"/>
      <c r="D64" s="165"/>
      <c r="E64" s="165"/>
      <c r="F64" s="49"/>
      <c r="G64" s="166"/>
      <c r="H64" s="49"/>
      <c r="I64" s="155"/>
      <c r="J64" s="155"/>
      <c r="K64" s="155"/>
      <c r="L64" s="155"/>
      <c r="M64" s="155"/>
      <c r="N64" s="155"/>
      <c r="O64" s="165"/>
      <c r="P64" s="167"/>
      <c r="Q64" s="155" t="str">
        <f t="shared" si="2"/>
        <v/>
      </c>
      <c r="R64" s="155"/>
    </row>
    <row r="65" spans="1:18" x14ac:dyDescent="0.25">
      <c r="A65" s="12">
        <f t="shared" si="1"/>
        <v>63</v>
      </c>
      <c r="B65" s="155"/>
      <c r="C65" s="165"/>
      <c r="D65" s="165"/>
      <c r="E65" s="165"/>
      <c r="F65" s="49"/>
      <c r="G65" s="166"/>
      <c r="H65" s="49"/>
      <c r="I65" s="155"/>
      <c r="J65" s="155"/>
      <c r="K65" s="155"/>
      <c r="L65" s="155"/>
      <c r="M65" s="155"/>
      <c r="N65" s="169"/>
      <c r="O65" s="165"/>
      <c r="P65" s="167"/>
      <c r="Q65" s="155" t="str">
        <f t="shared" si="2"/>
        <v/>
      </c>
      <c r="R65" s="155"/>
    </row>
    <row r="66" spans="1:18" x14ac:dyDescent="0.25">
      <c r="A66" s="12">
        <f t="shared" si="1"/>
        <v>64</v>
      </c>
      <c r="B66" s="155"/>
      <c r="C66" s="165"/>
      <c r="D66" s="165"/>
      <c r="E66" s="165"/>
      <c r="F66" s="49"/>
      <c r="G66" s="166"/>
      <c r="H66" s="49"/>
      <c r="I66" s="155"/>
      <c r="J66" s="155"/>
      <c r="K66" s="155"/>
      <c r="L66" s="155"/>
      <c r="M66" s="155"/>
      <c r="N66" s="169"/>
      <c r="O66" s="165"/>
      <c r="P66" s="167"/>
      <c r="Q66" s="155" t="str">
        <f t="shared" si="2"/>
        <v/>
      </c>
      <c r="R66" s="155"/>
    </row>
    <row r="67" spans="1:18" x14ac:dyDescent="0.25">
      <c r="A67" s="12">
        <f t="shared" si="1"/>
        <v>65</v>
      </c>
      <c r="B67" s="155"/>
      <c r="C67" s="165"/>
      <c r="D67" s="165"/>
      <c r="E67" s="165"/>
      <c r="F67" s="49"/>
      <c r="G67" s="166"/>
      <c r="H67" s="49"/>
      <c r="I67" s="155"/>
      <c r="J67" s="155"/>
      <c r="K67" s="155"/>
      <c r="L67" s="155"/>
      <c r="M67" s="155"/>
      <c r="N67" s="155"/>
      <c r="O67" s="165"/>
      <c r="P67" s="167"/>
      <c r="Q67" s="155" t="str">
        <f t="shared" si="2"/>
        <v/>
      </c>
      <c r="R67" s="155"/>
    </row>
    <row r="68" spans="1:18" x14ac:dyDescent="0.25">
      <c r="A68" s="12">
        <f t="shared" ref="A68:A105" si="3">ROW()-2</f>
        <v>66</v>
      </c>
      <c r="B68" s="155"/>
      <c r="C68" s="165"/>
      <c r="D68" s="165"/>
      <c r="E68" s="165"/>
      <c r="F68" s="49"/>
      <c r="G68" s="166"/>
      <c r="H68" s="49"/>
      <c r="I68" s="155"/>
      <c r="J68" s="155"/>
      <c r="K68" s="155"/>
      <c r="L68" s="155"/>
      <c r="M68" s="155"/>
      <c r="N68" s="155"/>
      <c r="O68" s="165"/>
      <c r="P68" s="167"/>
      <c r="Q68" s="155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5"/>
    </row>
    <row r="69" spans="1:18" x14ac:dyDescent="0.25">
      <c r="A69" s="12">
        <f t="shared" si="3"/>
        <v>67</v>
      </c>
      <c r="B69" s="155"/>
      <c r="C69" s="165"/>
      <c r="D69" s="165"/>
      <c r="E69" s="165"/>
      <c r="F69" s="49"/>
      <c r="G69" s="166"/>
      <c r="H69" s="49"/>
      <c r="I69" s="155"/>
      <c r="J69" s="155"/>
      <c r="K69" s="155"/>
      <c r="L69" s="155"/>
      <c r="M69" s="155"/>
      <c r="N69" s="169"/>
      <c r="O69" s="165"/>
      <c r="P69" s="167"/>
      <c r="Q69" s="155" t="str">
        <f t="shared" si="4"/>
        <v/>
      </c>
      <c r="R69" s="155"/>
    </row>
    <row r="70" spans="1:18" x14ac:dyDescent="0.25">
      <c r="A70" s="12">
        <f t="shared" si="3"/>
        <v>68</v>
      </c>
      <c r="B70" s="155"/>
      <c r="C70" s="165"/>
      <c r="D70" s="165"/>
      <c r="E70" s="165"/>
      <c r="F70" s="49"/>
      <c r="G70" s="166"/>
      <c r="H70" s="49"/>
      <c r="I70" s="155"/>
      <c r="J70" s="155"/>
      <c r="K70" s="155"/>
      <c r="L70" s="155"/>
      <c r="M70" s="155"/>
      <c r="N70" s="169"/>
      <c r="O70" s="165"/>
      <c r="P70" s="167"/>
      <c r="Q70" s="155" t="str">
        <f t="shared" si="4"/>
        <v/>
      </c>
      <c r="R70" s="155"/>
    </row>
    <row r="71" spans="1:18" x14ac:dyDescent="0.25">
      <c r="A71" s="12">
        <f t="shared" si="3"/>
        <v>69</v>
      </c>
      <c r="B71" s="155"/>
      <c r="C71" s="165"/>
      <c r="D71" s="165"/>
      <c r="E71" s="165"/>
      <c r="F71" s="49"/>
      <c r="G71" s="166"/>
      <c r="H71" s="49"/>
      <c r="I71" s="155"/>
      <c r="J71" s="155"/>
      <c r="K71" s="169"/>
      <c r="L71" s="155"/>
      <c r="M71" s="155"/>
      <c r="N71" s="169"/>
      <c r="O71" s="165"/>
      <c r="P71" s="167"/>
      <c r="Q71" s="155" t="str">
        <f t="shared" si="4"/>
        <v/>
      </c>
      <c r="R71" s="155"/>
    </row>
    <row r="72" spans="1:18" x14ac:dyDescent="0.25">
      <c r="A72" s="12">
        <f t="shared" si="3"/>
        <v>70</v>
      </c>
      <c r="B72" s="155"/>
      <c r="C72" s="165"/>
      <c r="D72" s="165"/>
      <c r="E72" s="165"/>
      <c r="F72" s="49"/>
      <c r="G72" s="166"/>
      <c r="H72" s="49"/>
      <c r="I72" s="155"/>
      <c r="J72" s="155"/>
      <c r="K72" s="155"/>
      <c r="L72" s="155"/>
      <c r="M72" s="155"/>
      <c r="N72" s="169"/>
      <c r="O72" s="165"/>
      <c r="P72" s="167"/>
      <c r="Q72" s="155" t="str">
        <f t="shared" si="4"/>
        <v/>
      </c>
      <c r="R72" s="155"/>
    </row>
    <row r="73" spans="1:18" x14ac:dyDescent="0.25">
      <c r="A73" s="12">
        <f t="shared" si="3"/>
        <v>71</v>
      </c>
      <c r="B73" s="155"/>
      <c r="C73" s="165"/>
      <c r="D73" s="165"/>
      <c r="E73" s="165"/>
      <c r="F73" s="49"/>
      <c r="G73" s="166"/>
      <c r="H73" s="49"/>
      <c r="I73" s="155"/>
      <c r="J73" s="155"/>
      <c r="K73" s="155"/>
      <c r="L73" s="155"/>
      <c r="M73" s="155"/>
      <c r="N73" s="155"/>
      <c r="O73" s="165"/>
      <c r="P73" s="167"/>
      <c r="Q73" s="155" t="str">
        <f t="shared" si="4"/>
        <v/>
      </c>
      <c r="R73" s="155"/>
    </row>
    <row r="74" spans="1:18" x14ac:dyDescent="0.25">
      <c r="A74" s="12">
        <f t="shared" si="3"/>
        <v>72</v>
      </c>
      <c r="B74" s="155"/>
      <c r="C74" s="165"/>
      <c r="D74" s="165"/>
      <c r="E74" s="165"/>
      <c r="F74" s="49"/>
      <c r="G74" s="166"/>
      <c r="H74" s="49"/>
      <c r="I74" s="155"/>
      <c r="J74" s="155"/>
      <c r="K74" s="155"/>
      <c r="L74" s="155"/>
      <c r="M74" s="155"/>
      <c r="N74" s="155"/>
      <c r="O74" s="165"/>
      <c r="P74" s="167"/>
      <c r="Q74" s="155" t="str">
        <f t="shared" si="4"/>
        <v/>
      </c>
      <c r="R74" s="155"/>
    </row>
    <row r="75" spans="1:18" x14ac:dyDescent="0.25">
      <c r="A75" s="12">
        <f t="shared" si="3"/>
        <v>73</v>
      </c>
      <c r="B75" s="155"/>
      <c r="C75" s="165"/>
      <c r="D75" s="165"/>
      <c r="E75" s="165"/>
      <c r="F75" s="49"/>
      <c r="G75" s="170"/>
      <c r="H75" s="49"/>
      <c r="I75" s="155"/>
      <c r="J75" s="155"/>
      <c r="K75" s="155"/>
      <c r="L75" s="155"/>
      <c r="M75" s="155"/>
      <c r="N75" s="155"/>
      <c r="O75" s="165"/>
      <c r="P75" s="167"/>
      <c r="Q75" s="155" t="str">
        <f t="shared" si="4"/>
        <v/>
      </c>
      <c r="R75" s="155"/>
    </row>
    <row r="76" spans="1:18" x14ac:dyDescent="0.25">
      <c r="A76" s="12">
        <f t="shared" si="3"/>
        <v>74</v>
      </c>
      <c r="B76" s="155"/>
      <c r="C76" s="165"/>
      <c r="D76" s="165"/>
      <c r="E76" s="165"/>
      <c r="F76" s="49"/>
      <c r="G76" s="166"/>
      <c r="H76" s="49"/>
      <c r="I76" s="155"/>
      <c r="J76" s="155"/>
      <c r="K76" s="155"/>
      <c r="L76" s="155"/>
      <c r="M76" s="155"/>
      <c r="N76" s="169"/>
      <c r="O76" s="165"/>
      <c r="P76" s="167"/>
      <c r="Q76" s="155" t="str">
        <f t="shared" si="4"/>
        <v/>
      </c>
      <c r="R76" s="155"/>
    </row>
    <row r="77" spans="1:18" x14ac:dyDescent="0.25">
      <c r="A77" s="12">
        <f t="shared" si="3"/>
        <v>75</v>
      </c>
      <c r="B77" s="155"/>
      <c r="C77" s="165"/>
      <c r="D77" s="165"/>
      <c r="E77" s="165"/>
      <c r="F77" s="49"/>
      <c r="G77" s="166"/>
      <c r="H77" s="49"/>
      <c r="I77" s="155"/>
      <c r="J77" s="155"/>
      <c r="K77" s="155"/>
      <c r="L77" s="155"/>
      <c r="M77" s="155"/>
      <c r="N77" s="169"/>
      <c r="O77" s="165"/>
      <c r="P77" s="167"/>
      <c r="Q77" s="155" t="str">
        <f t="shared" si="4"/>
        <v/>
      </c>
      <c r="R77" s="155"/>
    </row>
    <row r="78" spans="1:18" x14ac:dyDescent="0.25">
      <c r="A78" s="12">
        <f t="shared" si="3"/>
        <v>76</v>
      </c>
      <c r="B78" s="155"/>
      <c r="C78" s="165"/>
      <c r="D78" s="165"/>
      <c r="E78" s="165"/>
      <c r="F78" s="49"/>
      <c r="G78" s="166"/>
      <c r="H78" s="49"/>
      <c r="I78" s="155"/>
      <c r="J78" s="155"/>
      <c r="K78" s="155"/>
      <c r="L78" s="155"/>
      <c r="M78" s="155"/>
      <c r="N78" s="155"/>
      <c r="O78" s="165"/>
      <c r="P78" s="167"/>
      <c r="Q78" s="155" t="str">
        <f t="shared" si="4"/>
        <v/>
      </c>
      <c r="R78" s="155"/>
    </row>
    <row r="79" spans="1:18" x14ac:dyDescent="0.25">
      <c r="A79" s="12">
        <f t="shared" si="3"/>
        <v>77</v>
      </c>
      <c r="B79" s="155"/>
      <c r="C79" s="165"/>
      <c r="D79" s="165"/>
      <c r="E79" s="165"/>
      <c r="F79" s="49"/>
      <c r="G79" s="166"/>
      <c r="H79" s="49"/>
      <c r="I79" s="155"/>
      <c r="J79" s="155"/>
      <c r="K79" s="155"/>
      <c r="L79" s="155"/>
      <c r="M79" s="155"/>
      <c r="N79" s="155"/>
      <c r="O79" s="165"/>
      <c r="P79" s="167"/>
      <c r="Q79" s="155" t="str">
        <f t="shared" si="4"/>
        <v/>
      </c>
      <c r="R79" s="155"/>
    </row>
    <row r="80" spans="1:18" x14ac:dyDescent="0.25">
      <c r="A80" s="12">
        <f t="shared" si="3"/>
        <v>78</v>
      </c>
      <c r="B80" s="155"/>
      <c r="C80" s="165"/>
      <c r="D80" s="165"/>
      <c r="E80" s="165"/>
      <c r="F80" s="49"/>
      <c r="G80" s="166"/>
      <c r="H80" s="49"/>
      <c r="I80" s="155"/>
      <c r="J80" s="155"/>
      <c r="K80" s="155"/>
      <c r="L80" s="155"/>
      <c r="M80" s="155"/>
      <c r="N80" s="155"/>
      <c r="O80" s="165"/>
      <c r="P80" s="167"/>
      <c r="Q80" s="155" t="str">
        <f t="shared" si="4"/>
        <v/>
      </c>
      <c r="R80" s="155"/>
    </row>
    <row r="81" spans="1:18" x14ac:dyDescent="0.25">
      <c r="A81" s="12">
        <f t="shared" si="3"/>
        <v>79</v>
      </c>
      <c r="B81" s="155"/>
      <c r="C81" s="165"/>
      <c r="D81" s="165"/>
      <c r="E81" s="165"/>
      <c r="F81" s="49"/>
      <c r="G81" s="166"/>
      <c r="H81" s="49"/>
      <c r="I81" s="155"/>
      <c r="J81" s="155"/>
      <c r="K81" s="155"/>
      <c r="L81" s="155"/>
      <c r="M81" s="155"/>
      <c r="N81" s="155"/>
      <c r="O81" s="165"/>
      <c r="P81" s="167"/>
      <c r="Q81" s="155" t="str">
        <f t="shared" si="4"/>
        <v/>
      </c>
      <c r="R81" s="155"/>
    </row>
    <row r="82" spans="1:18" x14ac:dyDescent="0.25">
      <c r="A82" s="12">
        <f t="shared" si="3"/>
        <v>80</v>
      </c>
      <c r="B82" s="155"/>
      <c r="C82" s="165"/>
      <c r="D82" s="165"/>
      <c r="E82" s="165"/>
      <c r="F82" s="49"/>
      <c r="G82" s="166"/>
      <c r="H82" s="49"/>
      <c r="I82" s="155"/>
      <c r="J82" s="155"/>
      <c r="K82" s="155"/>
      <c r="L82" s="155"/>
      <c r="M82" s="155"/>
      <c r="N82" s="169"/>
      <c r="O82" s="165"/>
      <c r="P82" s="167"/>
      <c r="Q82" s="155" t="str">
        <f t="shared" si="4"/>
        <v/>
      </c>
      <c r="R82" s="155"/>
    </row>
    <row r="83" spans="1:18" x14ac:dyDescent="0.25">
      <c r="A83" s="12">
        <f t="shared" si="3"/>
        <v>81</v>
      </c>
      <c r="B83" s="155"/>
      <c r="C83" s="165"/>
      <c r="D83" s="165"/>
      <c r="E83" s="165"/>
      <c r="F83" s="49"/>
      <c r="G83" s="166"/>
      <c r="H83" s="49"/>
      <c r="I83" s="155"/>
      <c r="J83" s="155"/>
      <c r="K83" s="155"/>
      <c r="L83" s="155"/>
      <c r="M83" s="155"/>
      <c r="N83" s="169"/>
      <c r="O83" s="165"/>
      <c r="P83" s="167"/>
      <c r="Q83" s="155" t="str">
        <f t="shared" si="4"/>
        <v/>
      </c>
      <c r="R83" s="155"/>
    </row>
    <row r="84" spans="1:18" x14ac:dyDescent="0.25">
      <c r="A84" s="12">
        <f t="shared" si="3"/>
        <v>82</v>
      </c>
      <c r="B84" s="155"/>
      <c r="C84" s="165"/>
      <c r="D84" s="165"/>
      <c r="E84" s="165"/>
      <c r="F84" s="49"/>
      <c r="G84" s="166"/>
      <c r="H84" s="49"/>
      <c r="I84" s="155"/>
      <c r="J84" s="155"/>
      <c r="K84" s="155"/>
      <c r="L84" s="155"/>
      <c r="M84" s="155"/>
      <c r="N84" s="169"/>
      <c r="O84" s="165"/>
      <c r="P84" s="167"/>
      <c r="Q84" s="155" t="str">
        <f t="shared" si="4"/>
        <v/>
      </c>
      <c r="R84" s="155"/>
    </row>
    <row r="85" spans="1:18" x14ac:dyDescent="0.25">
      <c r="A85" s="12">
        <f t="shared" si="3"/>
        <v>83</v>
      </c>
      <c r="B85" s="155"/>
      <c r="C85" s="165"/>
      <c r="D85" s="165"/>
      <c r="E85" s="165"/>
      <c r="F85" s="49"/>
      <c r="G85" s="166"/>
      <c r="H85" s="49"/>
      <c r="I85" s="155"/>
      <c r="J85" s="155"/>
      <c r="K85" s="155"/>
      <c r="L85" s="155"/>
      <c r="M85" s="155"/>
      <c r="N85" s="155"/>
      <c r="O85" s="165"/>
      <c r="P85" s="167"/>
      <c r="Q85" s="155" t="str">
        <f t="shared" si="4"/>
        <v/>
      </c>
      <c r="R85" s="155"/>
    </row>
    <row r="86" spans="1:18" x14ac:dyDescent="0.25">
      <c r="A86" s="12">
        <f t="shared" si="3"/>
        <v>84</v>
      </c>
      <c r="B86" s="155"/>
      <c r="C86" s="165"/>
      <c r="D86" s="165"/>
      <c r="E86" s="165"/>
      <c r="F86" s="49"/>
      <c r="G86" s="166"/>
      <c r="H86" s="49"/>
      <c r="I86" s="155"/>
      <c r="J86" s="155"/>
      <c r="K86" s="155"/>
      <c r="L86" s="155"/>
      <c r="M86" s="155"/>
      <c r="N86" s="155"/>
      <c r="O86" s="165"/>
      <c r="P86" s="167"/>
      <c r="Q86" s="155" t="str">
        <f t="shared" si="4"/>
        <v/>
      </c>
      <c r="R86" s="155"/>
    </row>
    <row r="87" spans="1:18" x14ac:dyDescent="0.25">
      <c r="A87" s="12">
        <f t="shared" si="3"/>
        <v>85</v>
      </c>
      <c r="B87" s="155"/>
      <c r="C87" s="165"/>
      <c r="D87" s="165"/>
      <c r="E87" s="165"/>
      <c r="F87" s="49"/>
      <c r="G87" s="166"/>
      <c r="H87" s="49"/>
      <c r="I87" s="155"/>
      <c r="J87" s="155"/>
      <c r="K87" s="155"/>
      <c r="L87" s="155"/>
      <c r="M87" s="155"/>
      <c r="N87" s="155"/>
      <c r="O87" s="165"/>
      <c r="P87" s="167"/>
      <c r="Q87" s="155" t="str">
        <f t="shared" si="4"/>
        <v/>
      </c>
      <c r="R87" s="155"/>
    </row>
    <row r="88" spans="1:18" x14ac:dyDescent="0.25">
      <c r="A88" s="12">
        <f t="shared" si="3"/>
        <v>86</v>
      </c>
      <c r="B88" s="155"/>
      <c r="C88" s="165"/>
      <c r="D88" s="165"/>
      <c r="E88" s="165"/>
      <c r="F88" s="49"/>
      <c r="G88" s="166"/>
      <c r="H88" s="49"/>
      <c r="I88" s="155"/>
      <c r="J88" s="155"/>
      <c r="K88" s="155"/>
      <c r="L88" s="155"/>
      <c r="M88" s="155"/>
      <c r="N88" s="155"/>
      <c r="O88" s="165"/>
      <c r="P88" s="167"/>
      <c r="Q88" s="155" t="str">
        <f t="shared" si="4"/>
        <v/>
      </c>
      <c r="R88" s="155"/>
    </row>
    <row r="89" spans="1:18" x14ac:dyDescent="0.25">
      <c r="A89" s="12">
        <f t="shared" si="3"/>
        <v>87</v>
      </c>
      <c r="B89" s="155"/>
      <c r="C89" s="165"/>
      <c r="D89" s="165"/>
      <c r="E89" s="165"/>
      <c r="F89" s="49"/>
      <c r="G89" s="166"/>
      <c r="H89" s="49"/>
      <c r="I89" s="155"/>
      <c r="J89" s="155"/>
      <c r="K89" s="155"/>
      <c r="L89" s="155"/>
      <c r="M89" s="155"/>
      <c r="N89" s="169"/>
      <c r="O89" s="165"/>
      <c r="P89" s="167"/>
      <c r="Q89" s="155" t="str">
        <f t="shared" si="4"/>
        <v/>
      </c>
      <c r="R89" s="155"/>
    </row>
    <row r="90" spans="1:18" x14ac:dyDescent="0.25">
      <c r="A90" s="12">
        <f t="shared" si="3"/>
        <v>88</v>
      </c>
      <c r="B90" s="155"/>
      <c r="C90" s="165"/>
      <c r="D90" s="165"/>
      <c r="E90" s="165"/>
      <c r="F90" s="49"/>
      <c r="G90" s="166"/>
      <c r="H90" s="49"/>
      <c r="I90" s="155"/>
      <c r="J90" s="155"/>
      <c r="K90" s="155"/>
      <c r="L90" s="155"/>
      <c r="M90" s="155"/>
      <c r="N90" s="155"/>
      <c r="O90" s="165"/>
      <c r="P90" s="167"/>
      <c r="Q90" s="155" t="str">
        <f t="shared" si="4"/>
        <v/>
      </c>
      <c r="R90" s="155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5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5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5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5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5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5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5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5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5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5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5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5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5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5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5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3" priority="7" operator="lessThan">
      <formula>"D"</formula>
    </cfRule>
    <cfRule type="cellIs" dxfId="42" priority="8" operator="equal">
      <formula>"D"</formula>
    </cfRule>
  </conditionalFormatting>
  <conditionalFormatting sqref="A1:G1 I1:XFD1 A76:D76 A77:B78 F76:P76 G77:P78 A2:XFD2 A106:XFD1048576 A79:P105 Q3:XFD105 A3:P75">
    <cfRule type="expression" dxfId="41" priority="6">
      <formula>CELL("ROW")=ROW()</formula>
    </cfRule>
  </conditionalFormatting>
  <conditionalFormatting sqref="E76">
    <cfRule type="expression" dxfId="40" priority="5">
      <formula>CELL("ROW")=ROW()</formula>
    </cfRule>
  </conditionalFormatting>
  <conditionalFormatting sqref="C77:D77 F77">
    <cfRule type="expression" dxfId="39" priority="4">
      <formula>CELL("ROW")=ROW()</formula>
    </cfRule>
  </conditionalFormatting>
  <conditionalFormatting sqref="E77">
    <cfRule type="expression" dxfId="38" priority="3">
      <formula>CELL("ROW")=ROW()</formula>
    </cfRule>
  </conditionalFormatting>
  <conditionalFormatting sqref="C78:D78 F78">
    <cfRule type="expression" dxfId="37" priority="2">
      <formula>CELL("ROW")=ROW()</formula>
    </cfRule>
  </conditionalFormatting>
  <conditionalFormatting sqref="E78">
    <cfRule type="expression" dxfId="36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R15" sqref="R15"/>
    </sheetView>
  </sheetViews>
  <sheetFormatPr defaultColWidth="8" defaultRowHeight="15.75" x14ac:dyDescent="0.25"/>
  <cols>
    <col min="1" max="1" width="5" style="209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31" t="s">
        <v>70</v>
      </c>
      <c r="B1" s="231"/>
      <c r="D1" s="37"/>
      <c r="E1" s="37"/>
      <c r="F1" s="157" t="s">
        <v>71</v>
      </c>
      <c r="H1" s="37"/>
      <c r="I1" s="37"/>
      <c r="J1" s="37"/>
      <c r="K1" s="37"/>
      <c r="M1" s="37"/>
      <c r="N1" s="37"/>
      <c r="O1" s="37"/>
      <c r="P1" s="37"/>
      <c r="Q1" s="121" t="s">
        <v>72</v>
      </c>
      <c r="R1" s="36"/>
    </row>
    <row r="2" spans="1:21" ht="16.5" thickBot="1" x14ac:dyDescent="0.3">
      <c r="A2" s="205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8" t="s">
        <v>177</v>
      </c>
    </row>
    <row r="3" spans="1:21" ht="16.5" thickTop="1" x14ac:dyDescent="0.25">
      <c r="A3" s="206"/>
      <c r="B3" s="172" t="s">
        <v>175</v>
      </c>
      <c r="C3" s="173"/>
      <c r="D3" s="174"/>
      <c r="E3" s="173"/>
      <c r="F3" s="175"/>
      <c r="G3" s="176"/>
      <c r="H3" s="110" t="s">
        <v>87</v>
      </c>
      <c r="I3" s="111">
        <f>(1585*8+1085*2)/10</f>
        <v>1485</v>
      </c>
      <c r="J3" s="111">
        <v>1000</v>
      </c>
      <c r="K3" s="111"/>
      <c r="L3" s="119"/>
      <c r="M3" s="119"/>
      <c r="N3" s="120"/>
      <c r="O3" s="107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203">
        <v>42983</v>
      </c>
    </row>
    <row r="4" spans="1:21" x14ac:dyDescent="0.25">
      <c r="A4" s="206"/>
      <c r="B4" s="172"/>
      <c r="C4" s="173"/>
      <c r="D4" s="174"/>
      <c r="E4" s="173"/>
      <c r="F4" s="175"/>
      <c r="G4" s="176"/>
      <c r="H4" s="122" t="s">
        <v>45</v>
      </c>
      <c r="I4" s="111">
        <v>1212</v>
      </c>
      <c r="J4" s="111">
        <v>400</v>
      </c>
      <c r="K4" s="111"/>
      <c r="L4" s="119"/>
      <c r="M4" s="119"/>
      <c r="N4" s="120"/>
      <c r="O4" s="107">
        <v>43101</v>
      </c>
      <c r="P4" s="42">
        <v>400</v>
      </c>
      <c r="Q4" s="42">
        <v>32</v>
      </c>
      <c r="R4" s="42"/>
      <c r="S4" s="42"/>
      <c r="T4" s="19"/>
      <c r="U4" s="203">
        <v>42929</v>
      </c>
    </row>
    <row r="5" spans="1:21" x14ac:dyDescent="0.25">
      <c r="A5" s="206"/>
      <c r="B5" s="172" t="s">
        <v>174</v>
      </c>
      <c r="C5" s="173"/>
      <c r="D5" s="174"/>
      <c r="E5" s="173"/>
      <c r="F5" s="175"/>
      <c r="G5" s="176"/>
      <c r="H5" s="110" t="s">
        <v>87</v>
      </c>
      <c r="I5" s="111">
        <v>350</v>
      </c>
      <c r="J5" s="111">
        <v>1500</v>
      </c>
      <c r="K5" s="111"/>
      <c r="L5" s="119"/>
      <c r="M5" s="119"/>
      <c r="N5" s="120"/>
      <c r="O5" s="107">
        <v>43101</v>
      </c>
      <c r="P5" s="15">
        <v>487</v>
      </c>
      <c r="Q5" s="15">
        <v>38</v>
      </c>
      <c r="R5" s="104"/>
      <c r="S5" s="104"/>
      <c r="T5" s="19"/>
      <c r="U5" s="203">
        <v>42926</v>
      </c>
    </row>
    <row r="6" spans="1:21" x14ac:dyDescent="0.25">
      <c r="A6" s="207"/>
      <c r="B6" s="177" t="s">
        <v>176</v>
      </c>
      <c r="C6" s="178"/>
      <c r="D6" s="179"/>
      <c r="E6" s="178"/>
      <c r="F6" s="180"/>
      <c r="G6" s="181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7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8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5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8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2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8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0</v>
      </c>
      <c r="F9" s="46">
        <f t="shared" si="0"/>
        <v>-141839.29999999999</v>
      </c>
      <c r="G9" s="47">
        <f t="shared" ca="1" si="2"/>
        <v>-2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8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0</v>
      </c>
      <c r="F10" s="46">
        <f t="shared" si="0"/>
        <v>-186462.9</v>
      </c>
      <c r="G10" s="47">
        <f t="shared" ca="1" si="2"/>
        <v>-11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8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0</v>
      </c>
      <c r="F11" s="46">
        <f t="shared" si="0"/>
        <v>-258976.24999999997</v>
      </c>
      <c r="G11" s="47">
        <f t="shared" ca="1" si="2"/>
        <v>-12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8" t="str">
        <f>IPO監視一覧!H8</f>
        <v>C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0</v>
      </c>
      <c r="F12" s="46">
        <f t="shared" si="0"/>
        <v>-111558.99999999999</v>
      </c>
      <c r="G12" s="47">
        <f ca="1">NETWORKDAYS(D12,TODAY())</f>
        <v>-12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8" t="str">
        <f>IPO監視一覧!H9</f>
        <v>C</v>
      </c>
      <c r="B13" s="49" t="str">
        <f>IPO監視一覧!B9</f>
        <v>共和コーポレーション</v>
      </c>
      <c r="C13" s="50">
        <f>IPO監視一覧!G9</f>
        <v>0</v>
      </c>
      <c r="D13" s="52">
        <f>IPO監視一覧!O9</f>
        <v>43178</v>
      </c>
      <c r="E13" s="50">
        <f>IPO監視一覧!P9</f>
        <v>0</v>
      </c>
      <c r="F13" s="199">
        <f>IF((E13-C13)&gt;0,(E13-C13)*100*0.79685,(E13-C13)*100)</f>
        <v>0</v>
      </c>
      <c r="G13" s="53">
        <f t="shared" ref="G13" ca="1" si="4">NETWORKDAYS(D13,TODAY())</f>
        <v>-13</v>
      </c>
      <c r="H13" s="53"/>
      <c r="I13" s="200"/>
      <c r="J13" s="200"/>
      <c r="K13" s="200"/>
      <c r="L13" s="200"/>
      <c r="M13" s="200"/>
      <c r="N13" s="201">
        <f>(K13-I13)*J13-M13-L13</f>
        <v>0</v>
      </c>
      <c r="O13" s="37"/>
      <c r="P13" s="37"/>
      <c r="Q13" s="37"/>
      <c r="R13" s="37"/>
      <c r="S13" s="37"/>
    </row>
    <row r="14" spans="1:21" s="202" customFormat="1" x14ac:dyDescent="0.25">
      <c r="A14" s="208" t="str">
        <f>IPO監視一覧!H10</f>
        <v>D</v>
      </c>
      <c r="B14" s="49" t="str">
        <f>IPO監視一覧!B10</f>
        <v>信和</v>
      </c>
      <c r="C14" s="50">
        <f>IPO監視一覧!G10</f>
        <v>0</v>
      </c>
      <c r="D14" s="52">
        <f>IPO監視一覧!O10</f>
        <v>43179</v>
      </c>
      <c r="E14" s="50">
        <f>IPO監視一覧!P10</f>
        <v>0</v>
      </c>
      <c r="F14" s="199">
        <f>IF((E14-C14)&gt;0,(E14-C14)*100*0.79685,(E14-C14)*100)</f>
        <v>0</v>
      </c>
      <c r="G14" s="53">
        <f t="shared" ref="G14" ca="1" si="5">NETWORKDAYS(D14,TODAY())</f>
        <v>-14</v>
      </c>
      <c r="H14" s="53"/>
      <c r="I14" s="200"/>
      <c r="J14" s="200"/>
      <c r="K14" s="200"/>
      <c r="L14" s="200"/>
      <c r="M14" s="200"/>
      <c r="N14" s="201">
        <f>(K14-I14)*J14-M14-L14</f>
        <v>0</v>
      </c>
    </row>
    <row r="15" spans="1:21" s="202" customFormat="1" x14ac:dyDescent="0.25">
      <c r="A15" s="208" t="str">
        <f>IPO監視一覧!H11</f>
        <v>D</v>
      </c>
      <c r="B15" s="49" t="str">
        <f>IPO監視一覧!B11</f>
        <v>ＳＯＵ</v>
      </c>
      <c r="C15" s="50">
        <f>IPO監視一覧!G11</f>
        <v>0</v>
      </c>
      <c r="D15" s="52">
        <f>IPO監視一覧!O11</f>
        <v>43181</v>
      </c>
      <c r="E15" s="50">
        <f>IPO監視一覧!P11</f>
        <v>0</v>
      </c>
      <c r="F15" s="199">
        <f t="shared" ref="F15:F41" si="6">IF((E15-C15)&gt;0,(E15-C15)*100*0.79685,(E15-C15)*100)</f>
        <v>0</v>
      </c>
      <c r="G15" s="53">
        <f t="shared" ref="G15:G41" ca="1" si="7">NETWORKDAYS(D15,TODAY())</f>
        <v>-16</v>
      </c>
      <c r="H15" s="53"/>
      <c r="I15" s="200"/>
      <c r="J15" s="200"/>
      <c r="K15" s="200"/>
      <c r="L15" s="200"/>
      <c r="M15" s="200"/>
      <c r="N15" s="201">
        <f t="shared" ref="N15:N41" si="8">(K15-I15)*J15-M15-L15</f>
        <v>0</v>
      </c>
    </row>
    <row r="16" spans="1:21" s="202" customFormat="1" x14ac:dyDescent="0.25">
      <c r="A16" s="208" t="str">
        <f>IPO監視一覧!H12</f>
        <v>D</v>
      </c>
      <c r="B16" s="49" t="str">
        <f>IPO監視一覧!B12</f>
        <v>キュービーネットHD</v>
      </c>
      <c r="C16" s="50">
        <f>IPO監視一覧!G12</f>
        <v>0</v>
      </c>
      <c r="D16" s="52">
        <f>IPO監視一覧!O12</f>
        <v>43182</v>
      </c>
      <c r="E16" s="50">
        <f>IPO監視一覧!P12</f>
        <v>0</v>
      </c>
      <c r="F16" s="199">
        <f t="shared" si="6"/>
        <v>0</v>
      </c>
      <c r="G16" s="53">
        <f t="shared" ca="1" si="7"/>
        <v>-17</v>
      </c>
      <c r="H16" s="53"/>
      <c r="I16" s="200"/>
      <c r="J16" s="200"/>
      <c r="K16" s="200"/>
      <c r="L16" s="200"/>
      <c r="M16" s="200"/>
      <c r="N16" s="201">
        <f t="shared" si="8"/>
        <v>0</v>
      </c>
    </row>
    <row r="17" spans="1:14" s="202" customFormat="1" x14ac:dyDescent="0.25">
      <c r="A17" s="208" t="str">
        <f>IPO監視一覧!H13</f>
        <v>B</v>
      </c>
      <c r="B17" s="49" t="str">
        <f>IPO監視一覧!B13</f>
        <v>ファイバーゲート</v>
      </c>
      <c r="C17" s="50">
        <f>IPO監視一覧!G13</f>
        <v>0</v>
      </c>
      <c r="D17" s="52">
        <f>IPO監視一覧!O13</f>
        <v>43182</v>
      </c>
      <c r="E17" s="50">
        <f>IPO監視一覧!P13</f>
        <v>0</v>
      </c>
      <c r="F17" s="199">
        <f t="shared" si="6"/>
        <v>0</v>
      </c>
      <c r="G17" s="53">
        <f t="shared" ca="1" si="7"/>
        <v>-17</v>
      </c>
      <c r="H17" s="53"/>
      <c r="I17" s="200"/>
      <c r="J17" s="200"/>
      <c r="K17" s="200"/>
      <c r="L17" s="200"/>
      <c r="M17" s="200"/>
      <c r="N17" s="201">
        <f t="shared" si="8"/>
        <v>0</v>
      </c>
    </row>
    <row r="18" spans="1:14" s="202" customFormat="1" x14ac:dyDescent="0.25">
      <c r="A18" s="208" t="str">
        <f>IPO監視一覧!H14</f>
        <v>B</v>
      </c>
      <c r="B18" s="49" t="str">
        <f>IPO監視一覧!B14</f>
        <v>ＲＰＡHD</v>
      </c>
      <c r="C18" s="50">
        <f>IPO監視一覧!G14</f>
        <v>0</v>
      </c>
      <c r="D18" s="52">
        <f>IPO監視一覧!O14</f>
        <v>43186</v>
      </c>
      <c r="E18" s="50">
        <f>IPO監視一覧!P14</f>
        <v>0</v>
      </c>
      <c r="F18" s="199">
        <f t="shared" si="6"/>
        <v>0</v>
      </c>
      <c r="G18" s="53">
        <f t="shared" ca="1" si="7"/>
        <v>-19</v>
      </c>
      <c r="H18" s="53"/>
      <c r="I18" s="200"/>
      <c r="J18" s="200"/>
      <c r="K18" s="200"/>
      <c r="L18" s="200"/>
      <c r="M18" s="200"/>
      <c r="N18" s="201">
        <f t="shared" si="8"/>
        <v>0</v>
      </c>
    </row>
    <row r="19" spans="1:14" s="202" customFormat="1" x14ac:dyDescent="0.25">
      <c r="A19" s="208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0</v>
      </c>
      <c r="D19" s="52">
        <f>IPO監視一覧!O15</f>
        <v>43187</v>
      </c>
      <c r="E19" s="50">
        <f>IPO監視一覧!P15</f>
        <v>0</v>
      </c>
      <c r="F19" s="199">
        <f t="shared" si="6"/>
        <v>0</v>
      </c>
      <c r="G19" s="53">
        <f t="shared" ca="1" si="7"/>
        <v>-20</v>
      </c>
      <c r="H19" s="53"/>
      <c r="I19" s="200"/>
      <c r="J19" s="200"/>
      <c r="K19" s="200"/>
      <c r="L19" s="200"/>
      <c r="M19" s="200"/>
      <c r="N19" s="201">
        <f t="shared" si="8"/>
        <v>0</v>
      </c>
    </row>
    <row r="20" spans="1:14" s="202" customFormat="1" x14ac:dyDescent="0.25">
      <c r="A20" s="208" t="str">
        <f>IPO監視一覧!H16</f>
        <v>B</v>
      </c>
      <c r="B20" s="49" t="str">
        <f>IPO監視一覧!B16</f>
        <v>アズ企画設計</v>
      </c>
      <c r="C20" s="50">
        <f>IPO監視一覧!G16</f>
        <v>0</v>
      </c>
      <c r="D20" s="52">
        <f>IPO監視一覧!O16</f>
        <v>43188</v>
      </c>
      <c r="E20" s="50">
        <f>IPO監視一覧!P16</f>
        <v>0</v>
      </c>
      <c r="F20" s="199">
        <f t="shared" si="6"/>
        <v>0</v>
      </c>
      <c r="G20" s="53">
        <f t="shared" ca="1" si="7"/>
        <v>-21</v>
      </c>
      <c r="H20" s="53"/>
      <c r="I20" s="200"/>
      <c r="J20" s="200"/>
      <c r="K20" s="200"/>
      <c r="L20" s="200"/>
      <c r="M20" s="200"/>
      <c r="N20" s="201">
        <f t="shared" si="8"/>
        <v>0</v>
      </c>
    </row>
    <row r="21" spans="1:14" s="202" customFormat="1" x14ac:dyDescent="0.25">
      <c r="A21" s="208" t="str">
        <f>IPO監視一覧!H17</f>
        <v>A</v>
      </c>
      <c r="B21" s="49" t="str">
        <f>IPO監視一覧!B17</f>
        <v>和心</v>
      </c>
      <c r="C21" s="50">
        <f>IPO監視一覧!G17</f>
        <v>0</v>
      </c>
      <c r="D21" s="52">
        <f>IPO監視一覧!O17</f>
        <v>43188</v>
      </c>
      <c r="E21" s="50">
        <f>IPO監視一覧!P17</f>
        <v>0</v>
      </c>
      <c r="F21" s="199">
        <f t="shared" si="6"/>
        <v>0</v>
      </c>
      <c r="G21" s="53">
        <f t="shared" ca="1" si="7"/>
        <v>-21</v>
      </c>
      <c r="H21" s="53"/>
      <c r="I21" s="200"/>
      <c r="J21" s="200"/>
      <c r="K21" s="200"/>
      <c r="L21" s="200"/>
      <c r="M21" s="200"/>
      <c r="N21" s="201">
        <f t="shared" si="8"/>
        <v>0</v>
      </c>
    </row>
    <row r="22" spans="1:14" s="202" customFormat="1" x14ac:dyDescent="0.25">
      <c r="A22" s="208" t="str">
        <f>IPO監視一覧!H18</f>
        <v>A</v>
      </c>
      <c r="B22" s="49" t="str">
        <f>IPO監視一覧!B18</f>
        <v>日本リビング保証</v>
      </c>
      <c r="C22" s="50">
        <f>IPO監視一覧!G18</f>
        <v>0</v>
      </c>
      <c r="D22" s="52">
        <f>IPO監視一覧!O18</f>
        <v>43189</v>
      </c>
      <c r="E22" s="50">
        <f>IPO監視一覧!P18</f>
        <v>0</v>
      </c>
      <c r="F22" s="199">
        <f t="shared" si="6"/>
        <v>0</v>
      </c>
      <c r="G22" s="53">
        <f t="shared" ca="1" si="7"/>
        <v>-22</v>
      </c>
      <c r="H22" s="53"/>
      <c r="I22" s="200"/>
      <c r="J22" s="200"/>
      <c r="K22" s="200"/>
      <c r="L22" s="200"/>
      <c r="M22" s="200"/>
      <c r="N22" s="201">
        <f t="shared" si="8"/>
        <v>0</v>
      </c>
    </row>
    <row r="23" spans="1:14" s="202" customFormat="1" x14ac:dyDescent="0.25">
      <c r="A23" s="208" t="str">
        <f>IPO監視一覧!H19</f>
        <v>A</v>
      </c>
      <c r="B23" s="49" t="str">
        <f>IPO監視一覧!B19</f>
        <v>ブティックス</v>
      </c>
      <c r="C23" s="50">
        <f>IPO監視一覧!G19</f>
        <v>0</v>
      </c>
      <c r="D23" s="52">
        <f>IPO監視一覧!O19</f>
        <v>43193</v>
      </c>
      <c r="E23" s="50">
        <f>IPO監視一覧!P19</f>
        <v>0</v>
      </c>
      <c r="F23" s="199">
        <f t="shared" si="6"/>
        <v>0</v>
      </c>
      <c r="G23" s="53">
        <f t="shared" ca="1" si="7"/>
        <v>-24</v>
      </c>
      <c r="H23" s="53"/>
      <c r="I23" s="200"/>
      <c r="J23" s="200"/>
      <c r="K23" s="200"/>
      <c r="L23" s="200"/>
      <c r="M23" s="200"/>
      <c r="N23" s="201">
        <f t="shared" si="8"/>
        <v>0</v>
      </c>
    </row>
    <row r="24" spans="1:14" s="202" customFormat="1" x14ac:dyDescent="0.25">
      <c r="A24" s="208" t="str">
        <f>IPO監視一覧!H20</f>
        <v>A</v>
      </c>
      <c r="B24" s="49" t="str">
        <f>IPO監視一覧!B20</f>
        <v>ビープラッツ</v>
      </c>
      <c r="C24" s="50">
        <f>IPO監視一覧!G20</f>
        <v>0</v>
      </c>
      <c r="D24" s="52">
        <f>IPO監視一覧!O20</f>
        <v>43194</v>
      </c>
      <c r="E24" s="50">
        <f>IPO監視一覧!P20</f>
        <v>0</v>
      </c>
      <c r="F24" s="199">
        <f t="shared" si="6"/>
        <v>0</v>
      </c>
      <c r="G24" s="53">
        <f t="shared" ca="1" si="7"/>
        <v>-25</v>
      </c>
      <c r="H24" s="53"/>
      <c r="I24" s="200"/>
      <c r="J24" s="200"/>
      <c r="K24" s="200"/>
      <c r="L24" s="200"/>
      <c r="M24" s="200"/>
      <c r="N24" s="201">
        <f t="shared" si="8"/>
        <v>0</v>
      </c>
    </row>
    <row r="25" spans="1:14" s="202" customFormat="1" x14ac:dyDescent="0.25">
      <c r="A25" s="208">
        <f>IPO監視一覧!H21</f>
        <v>0</v>
      </c>
      <c r="B25" s="49">
        <f>IPO監視一覧!B21</f>
        <v>0</v>
      </c>
      <c r="C25" s="50">
        <f>IPO監視一覧!G21</f>
        <v>0</v>
      </c>
      <c r="D25" s="52">
        <f>IPO監視一覧!O21</f>
        <v>0</v>
      </c>
      <c r="E25" s="50">
        <f>IPO監視一覧!P21</f>
        <v>0</v>
      </c>
      <c r="F25" s="199">
        <f t="shared" si="6"/>
        <v>0</v>
      </c>
      <c r="G25" s="53">
        <f t="shared" ca="1" si="7"/>
        <v>30829</v>
      </c>
      <c r="H25" s="53"/>
      <c r="I25" s="200"/>
      <c r="J25" s="200"/>
      <c r="K25" s="200"/>
      <c r="L25" s="200"/>
      <c r="M25" s="200"/>
      <c r="N25" s="201">
        <f t="shared" si="8"/>
        <v>0</v>
      </c>
    </row>
    <row r="26" spans="1:14" s="202" customFormat="1" x14ac:dyDescent="0.25">
      <c r="A26" s="208">
        <f>IPO監視一覧!H22</f>
        <v>0</v>
      </c>
      <c r="B26" s="49">
        <f>IPO監視一覧!B22</f>
        <v>0</v>
      </c>
      <c r="C26" s="50">
        <f>IPO監視一覧!G22</f>
        <v>0</v>
      </c>
      <c r="D26" s="52">
        <f>IPO監視一覧!O22</f>
        <v>0</v>
      </c>
      <c r="E26" s="50">
        <f>IPO監視一覧!P22</f>
        <v>0</v>
      </c>
      <c r="F26" s="199">
        <f t="shared" si="6"/>
        <v>0</v>
      </c>
      <c r="G26" s="53">
        <f t="shared" ca="1" si="7"/>
        <v>30829</v>
      </c>
      <c r="H26" s="53"/>
      <c r="I26" s="200"/>
      <c r="J26" s="200"/>
      <c r="K26" s="200"/>
      <c r="L26" s="200"/>
      <c r="M26" s="200"/>
      <c r="N26" s="201">
        <f t="shared" si="8"/>
        <v>0</v>
      </c>
    </row>
    <row r="27" spans="1:14" s="202" customFormat="1" x14ac:dyDescent="0.25">
      <c r="A27" s="208">
        <f>IPO監視一覧!H23</f>
        <v>0</v>
      </c>
      <c r="B27" s="49">
        <f>IPO監視一覧!B23</f>
        <v>0</v>
      </c>
      <c r="C27" s="50">
        <f>IPO監視一覧!G23</f>
        <v>0</v>
      </c>
      <c r="D27" s="52">
        <f>IPO監視一覧!O23</f>
        <v>0</v>
      </c>
      <c r="E27" s="50">
        <f>IPO監視一覧!P23</f>
        <v>0</v>
      </c>
      <c r="F27" s="199">
        <f t="shared" si="6"/>
        <v>0</v>
      </c>
      <c r="G27" s="53">
        <f t="shared" ca="1" si="7"/>
        <v>30829</v>
      </c>
      <c r="H27" s="53"/>
      <c r="I27" s="200"/>
      <c r="J27" s="200"/>
      <c r="K27" s="200"/>
      <c r="L27" s="200"/>
      <c r="M27" s="200"/>
      <c r="N27" s="201">
        <f t="shared" si="8"/>
        <v>0</v>
      </c>
    </row>
    <row r="28" spans="1:14" s="202" customFormat="1" x14ac:dyDescent="0.25">
      <c r="A28" s="208">
        <f>IPO監視一覧!H24</f>
        <v>0</v>
      </c>
      <c r="B28" s="49">
        <f>IPO監視一覧!B24</f>
        <v>0</v>
      </c>
      <c r="C28" s="50">
        <f>IPO監視一覧!G24</f>
        <v>0</v>
      </c>
      <c r="D28" s="52">
        <f>IPO監視一覧!O24</f>
        <v>0</v>
      </c>
      <c r="E28" s="50">
        <f>IPO監視一覧!P24</f>
        <v>0</v>
      </c>
      <c r="F28" s="199">
        <f t="shared" si="6"/>
        <v>0</v>
      </c>
      <c r="G28" s="53">
        <f t="shared" ca="1" si="7"/>
        <v>30829</v>
      </c>
      <c r="H28" s="53"/>
      <c r="I28" s="200"/>
      <c r="J28" s="200"/>
      <c r="K28" s="200"/>
      <c r="L28" s="200"/>
      <c r="M28" s="200"/>
      <c r="N28" s="201">
        <f t="shared" si="8"/>
        <v>0</v>
      </c>
    </row>
    <row r="29" spans="1:14" s="202" customFormat="1" x14ac:dyDescent="0.25">
      <c r="A29" s="208">
        <f>IPO監視一覧!H25</f>
        <v>0</v>
      </c>
      <c r="B29" s="49">
        <f>IPO監視一覧!B25</f>
        <v>0</v>
      </c>
      <c r="C29" s="50">
        <f>IPO監視一覧!G25</f>
        <v>0</v>
      </c>
      <c r="D29" s="52">
        <f>IPO監視一覧!O25</f>
        <v>0</v>
      </c>
      <c r="E29" s="50">
        <f>IPO監視一覧!P25</f>
        <v>0</v>
      </c>
      <c r="F29" s="199">
        <f t="shared" si="6"/>
        <v>0</v>
      </c>
      <c r="G29" s="53">
        <f t="shared" ca="1" si="7"/>
        <v>30829</v>
      </c>
      <c r="H29" s="53"/>
      <c r="I29" s="200"/>
      <c r="J29" s="200"/>
      <c r="K29" s="200"/>
      <c r="L29" s="200"/>
      <c r="M29" s="200"/>
      <c r="N29" s="201">
        <f t="shared" si="8"/>
        <v>0</v>
      </c>
    </row>
    <row r="30" spans="1:14" s="202" customFormat="1" x14ac:dyDescent="0.25">
      <c r="A30" s="208">
        <f>IPO監視一覧!H26</f>
        <v>0</v>
      </c>
      <c r="B30" s="49">
        <f>IPO監視一覧!B26</f>
        <v>0</v>
      </c>
      <c r="C30" s="50">
        <f>IPO監視一覧!G26</f>
        <v>0</v>
      </c>
      <c r="D30" s="52">
        <f>IPO監視一覧!O26</f>
        <v>0</v>
      </c>
      <c r="E30" s="50">
        <f>IPO監視一覧!P26</f>
        <v>0</v>
      </c>
      <c r="F30" s="199">
        <f t="shared" si="6"/>
        <v>0</v>
      </c>
      <c r="G30" s="53">
        <f t="shared" ca="1" si="7"/>
        <v>30829</v>
      </c>
      <c r="H30" s="53"/>
      <c r="I30" s="200"/>
      <c r="J30" s="200"/>
      <c r="K30" s="200"/>
      <c r="L30" s="200"/>
      <c r="M30" s="200"/>
      <c r="N30" s="201">
        <f t="shared" si="8"/>
        <v>0</v>
      </c>
    </row>
    <row r="31" spans="1:14" s="202" customFormat="1" x14ac:dyDescent="0.25">
      <c r="A31" s="208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199">
        <f t="shared" si="6"/>
        <v>0</v>
      </c>
      <c r="G31" s="53">
        <f t="shared" ca="1" si="7"/>
        <v>30829</v>
      </c>
      <c r="H31" s="53"/>
      <c r="I31" s="200"/>
      <c r="J31" s="200"/>
      <c r="K31" s="200"/>
      <c r="L31" s="200"/>
      <c r="M31" s="200"/>
      <c r="N31" s="201">
        <f t="shared" si="8"/>
        <v>0</v>
      </c>
    </row>
    <row r="32" spans="1:14" s="202" customFormat="1" x14ac:dyDescent="0.25">
      <c r="A32" s="208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199">
        <f t="shared" si="6"/>
        <v>0</v>
      </c>
      <c r="G32" s="53">
        <f t="shared" ca="1" si="7"/>
        <v>30829</v>
      </c>
      <c r="H32" s="53"/>
      <c r="I32" s="200"/>
      <c r="J32" s="200"/>
      <c r="K32" s="200"/>
      <c r="L32" s="200"/>
      <c r="M32" s="200"/>
      <c r="N32" s="201">
        <f t="shared" si="8"/>
        <v>0</v>
      </c>
    </row>
    <row r="33" spans="1:14" s="202" customFormat="1" x14ac:dyDescent="0.25">
      <c r="A33" s="208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199">
        <f t="shared" si="6"/>
        <v>0</v>
      </c>
      <c r="G33" s="53">
        <f t="shared" ca="1" si="7"/>
        <v>30829</v>
      </c>
      <c r="H33" s="53"/>
      <c r="I33" s="200"/>
      <c r="J33" s="200"/>
      <c r="K33" s="200"/>
      <c r="L33" s="200"/>
      <c r="M33" s="200"/>
      <c r="N33" s="201">
        <f t="shared" si="8"/>
        <v>0</v>
      </c>
    </row>
    <row r="34" spans="1:14" s="202" customFormat="1" x14ac:dyDescent="0.25">
      <c r="A34" s="208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199">
        <f t="shared" si="6"/>
        <v>0</v>
      </c>
      <c r="G34" s="53">
        <f t="shared" ca="1" si="7"/>
        <v>30829</v>
      </c>
      <c r="H34" s="53"/>
      <c r="I34" s="200"/>
      <c r="J34" s="200"/>
      <c r="K34" s="200"/>
      <c r="L34" s="200"/>
      <c r="M34" s="200"/>
      <c r="N34" s="201">
        <f t="shared" si="8"/>
        <v>0</v>
      </c>
    </row>
    <row r="35" spans="1:14" s="202" customFormat="1" x14ac:dyDescent="0.25">
      <c r="A35" s="208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199">
        <f t="shared" si="6"/>
        <v>0</v>
      </c>
      <c r="G35" s="53">
        <f t="shared" ca="1" si="7"/>
        <v>30829</v>
      </c>
      <c r="H35" s="53"/>
      <c r="I35" s="200"/>
      <c r="J35" s="200"/>
      <c r="K35" s="200"/>
      <c r="L35" s="200"/>
      <c r="M35" s="200"/>
      <c r="N35" s="201">
        <f t="shared" si="8"/>
        <v>0</v>
      </c>
    </row>
    <row r="36" spans="1:14" s="202" customFormat="1" x14ac:dyDescent="0.25">
      <c r="A36" s="208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199">
        <f t="shared" si="6"/>
        <v>0</v>
      </c>
      <c r="G36" s="53">
        <f t="shared" ca="1" si="7"/>
        <v>30829</v>
      </c>
      <c r="H36" s="53"/>
      <c r="I36" s="200"/>
      <c r="J36" s="200"/>
      <c r="K36" s="200"/>
      <c r="L36" s="200"/>
      <c r="M36" s="200"/>
      <c r="N36" s="201">
        <f t="shared" si="8"/>
        <v>0</v>
      </c>
    </row>
    <row r="37" spans="1:14" s="202" customFormat="1" x14ac:dyDescent="0.25">
      <c r="A37" s="208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199">
        <f t="shared" si="6"/>
        <v>0</v>
      </c>
      <c r="G37" s="53">
        <f t="shared" ca="1" si="7"/>
        <v>30829</v>
      </c>
      <c r="H37" s="53"/>
      <c r="I37" s="200"/>
      <c r="J37" s="200"/>
      <c r="K37" s="200"/>
      <c r="L37" s="200"/>
      <c r="M37" s="200"/>
      <c r="N37" s="201">
        <f t="shared" si="8"/>
        <v>0</v>
      </c>
    </row>
    <row r="38" spans="1:14" s="202" customFormat="1" x14ac:dyDescent="0.25">
      <c r="A38" s="208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199">
        <f t="shared" si="6"/>
        <v>0</v>
      </c>
      <c r="G38" s="53">
        <f t="shared" ca="1" si="7"/>
        <v>30829</v>
      </c>
      <c r="H38" s="53"/>
      <c r="I38" s="200"/>
      <c r="J38" s="200"/>
      <c r="K38" s="200"/>
      <c r="L38" s="200"/>
      <c r="M38" s="200"/>
      <c r="N38" s="201">
        <f t="shared" si="8"/>
        <v>0</v>
      </c>
    </row>
    <row r="39" spans="1:14" s="202" customFormat="1" x14ac:dyDescent="0.25">
      <c r="A39" s="208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199">
        <f t="shared" si="6"/>
        <v>0</v>
      </c>
      <c r="G39" s="53">
        <f t="shared" ca="1" si="7"/>
        <v>30829</v>
      </c>
      <c r="H39" s="53"/>
      <c r="I39" s="200"/>
      <c r="J39" s="200"/>
      <c r="K39" s="200"/>
      <c r="L39" s="200"/>
      <c r="M39" s="200"/>
      <c r="N39" s="201">
        <f t="shared" si="8"/>
        <v>0</v>
      </c>
    </row>
    <row r="40" spans="1:14" s="202" customFormat="1" x14ac:dyDescent="0.25">
      <c r="A40" s="208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199">
        <f t="shared" si="6"/>
        <v>0</v>
      </c>
      <c r="G40" s="53">
        <f t="shared" ca="1" si="7"/>
        <v>30829</v>
      </c>
      <c r="H40" s="53"/>
      <c r="I40" s="200"/>
      <c r="J40" s="200"/>
      <c r="K40" s="200"/>
      <c r="L40" s="200"/>
      <c r="M40" s="200"/>
      <c r="N40" s="201">
        <f t="shared" si="8"/>
        <v>0</v>
      </c>
    </row>
    <row r="41" spans="1:14" s="202" customFormat="1" x14ac:dyDescent="0.25">
      <c r="A41" s="208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199">
        <f t="shared" si="6"/>
        <v>0</v>
      </c>
      <c r="G41" s="53">
        <f t="shared" ca="1" si="7"/>
        <v>30829</v>
      </c>
      <c r="H41" s="53"/>
      <c r="I41" s="200"/>
      <c r="J41" s="200"/>
      <c r="K41" s="200"/>
      <c r="L41" s="200"/>
      <c r="M41" s="200"/>
      <c r="N41" s="201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25"/>
  <sheetViews>
    <sheetView zoomScale="85" zoomScaleNormal="85" workbookViewId="0">
      <pane ySplit="2" topLeftCell="A3" activePane="bottomLeft" state="frozen"/>
      <selection activeCell="F62" sqref="F62"/>
      <selection pane="bottomLeft" activeCell="G35" sqref="G35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16384" width="8" style="37"/>
  </cols>
  <sheetData>
    <row r="1" spans="1:28" ht="16.5" thickBot="1" x14ac:dyDescent="0.3">
      <c r="A1" s="37" t="s">
        <v>89</v>
      </c>
      <c r="F1" s="15" t="s">
        <v>90</v>
      </c>
      <c r="I1" s="232" t="s">
        <v>91</v>
      </c>
      <c r="J1" s="232"/>
      <c r="K1" s="232"/>
      <c r="M1" s="233" t="s">
        <v>92</v>
      </c>
      <c r="N1" s="233"/>
      <c r="P1" s="38" t="s">
        <v>93</v>
      </c>
      <c r="Y1" s="12" t="s">
        <v>158</v>
      </c>
      <c r="Z1" s="149" t="s">
        <v>160</v>
      </c>
      <c r="AA1" s="150" t="s">
        <v>161</v>
      </c>
      <c r="AB1" s="151" t="s">
        <v>162</v>
      </c>
    </row>
    <row r="2" spans="1:28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7" t="s">
        <v>159</v>
      </c>
      <c r="R2" s="117" t="s">
        <v>126</v>
      </c>
      <c r="T2" s="117" t="s">
        <v>127</v>
      </c>
      <c r="W2" s="117" t="s">
        <v>124</v>
      </c>
      <c r="Z2" s="152">
        <f ca="1">COUNTIF($Q:$Q,Z1)/(COUNTIF($Q:$Q,Z1)+COUNTIF($Q:$Q,AA1)+(COUNTIF($Q:$Q,AB1)-COUNTIF(C:C,0)))</f>
        <v>0.6</v>
      </c>
      <c r="AA2" s="153">
        <f ca="1">1-Z2-AB2</f>
        <v>0.2</v>
      </c>
      <c r="AB2" s="154">
        <f ca="1">(COUNTIF($Q:$Q,AB1)-COUNTIF(C:C,0))/(COUNTIF($Q:$Q,Z1)+COUNTIF($Q:$Q,AA1)+(COUNTIF($Q:$Q,AB1)-COUNTIF(C:C,0)))</f>
        <v>0.2</v>
      </c>
    </row>
    <row r="3" spans="1:28" ht="16.5" thickTop="1" x14ac:dyDescent="0.25">
      <c r="B3" s="49" t="str">
        <f>セカンダリ投資分析!B3</f>
        <v>リミックスポイント</v>
      </c>
      <c r="C3" s="204">
        <f>株価一覧!H2</f>
        <v>1890100</v>
      </c>
      <c r="D3" s="15">
        <f ca="1">OFFSET(終値履歴!A3,0,COUNTA(終値履歴!G3:'終値履歴'!XFD3)+2,1,-1)</f>
        <v>1052</v>
      </c>
      <c r="E3" s="15">
        <f ca="1">OFFSET(終値履歴!A3,0,COUNTA(終値履歴!G3:'終値履歴'!XFD3)+3,1,-1)</f>
        <v>1015</v>
      </c>
      <c r="F3" s="15">
        <f ca="1">OFFSET(終値履歴!A3,0,COUNTA(終値履歴!G3:'終値履歴'!XFD3)+4,1,-1)</f>
        <v>1059</v>
      </c>
      <c r="G3" s="15">
        <f ca="1">OFFSET(終値履歴!A3,0,COUNTA(終値履歴!G3:'終値履歴'!XFD3)+5,1,-1)</f>
        <v>1044</v>
      </c>
      <c r="I3" s="60">
        <f t="shared" ref="I3:I5" ca="1" si="0">(G3-F3)/F3</f>
        <v>-1.4164305949008499E-2</v>
      </c>
      <c r="J3" s="60">
        <f t="shared" ref="J3:J5" ca="1" si="1">(G3-E3)/E3</f>
        <v>2.8571428571428571E-2</v>
      </c>
      <c r="K3" s="60">
        <f t="shared" ref="K3:K5" ca="1" si="2">(G3-D3)/D3</f>
        <v>-7.6045627376425855E-3</v>
      </c>
      <c r="M3" s="60">
        <f t="shared" ref="M3:M5" ca="1" si="3">(F3-E3)/E3</f>
        <v>4.3349753694581279E-2</v>
      </c>
      <c r="N3" s="60">
        <f t="shared" ref="N3:N5" ca="1" si="4">(F3-D3)/D3</f>
        <v>6.653992395437262E-3</v>
      </c>
      <c r="P3" s="57">
        <f t="shared" ref="P3:P5" ca="1" si="5">IF(G3-F3 &gt; 0,CONCATENATE("＋",G3-F3),G3-F3)</f>
        <v>-15</v>
      </c>
      <c r="Q3" s="12" t="str">
        <f t="shared" ref="Q3:Q5" ca="1" si="6">IF(AND(G3&lt;=T3,G3&lt;=R3),"割安",IF(AND(G3&gt;T3,G3&lt;=R3),"普通",IF(AND(G3&lt;=T3,G3&gt;R3),"普通","割高")))</f>
        <v>普通</v>
      </c>
      <c r="R3" s="21">
        <f ca="1">終値履歴!D3</f>
        <v>1048.2</v>
      </c>
      <c r="S3" s="109">
        <f ca="1">(G3-R3)/E3</f>
        <v>-4.1379310344828038E-3</v>
      </c>
      <c r="T3" s="21">
        <f ca="1">終値履歴!E3</f>
        <v>1031.2</v>
      </c>
      <c r="U3" s="109">
        <f ca="1">(G3-T3)/G3</f>
        <v>1.226053639846739E-2</v>
      </c>
      <c r="W3" s="21">
        <f ca="1">終値履歴!F3</f>
        <v>1008</v>
      </c>
      <c r="X3" s="109">
        <f ca="1">(G3-W3)/G3</f>
        <v>3.4482758620689655E-2</v>
      </c>
    </row>
    <row r="4" spans="1:28" x14ac:dyDescent="0.25">
      <c r="B4" s="49" t="str">
        <f>セカンダリ投資分析!B5</f>
        <v>トレイダーズHD</v>
      </c>
      <c r="C4" s="204">
        <f>株価一覧!H3</f>
        <v>1872100</v>
      </c>
      <c r="D4" s="15">
        <f ca="1">OFFSET(終値履歴!A4,0,COUNTA(終値履歴!G4:'終値履歴'!XFD4)+2,1,-1)</f>
        <v>126</v>
      </c>
      <c r="E4" s="15">
        <f ca="1">OFFSET(終値履歴!A4,0,COUNTA(終値履歴!G4:'終値履歴'!XFD4)+3,1,-1)</f>
        <v>123</v>
      </c>
      <c r="F4" s="15">
        <f ca="1">OFFSET(終値履歴!A4,0,COUNTA(終値履歴!G4:'終値履歴'!XFD4)+4,1,-1)</f>
        <v>126</v>
      </c>
      <c r="G4" s="15">
        <f ca="1">OFFSET(終値履歴!A4,0,COUNTA(終値履歴!G4:'終値履歴'!XFD4)+5,1,-1)</f>
        <v>124</v>
      </c>
      <c r="I4" s="60">
        <f t="shared" ca="1" si="0"/>
        <v>-1.5873015873015872E-2</v>
      </c>
      <c r="J4" s="60">
        <f t="shared" ca="1" si="1"/>
        <v>8.130081300813009E-3</v>
      </c>
      <c r="K4" s="60">
        <f t="shared" ca="1" si="2"/>
        <v>-1.5873015873015872E-2</v>
      </c>
      <c r="M4" s="60">
        <f t="shared" ca="1" si="3"/>
        <v>2.4390243902439025E-2</v>
      </c>
      <c r="N4" s="60">
        <f t="shared" ca="1" si="4"/>
        <v>0</v>
      </c>
      <c r="P4" s="57">
        <f t="shared" ca="1" si="5"/>
        <v>-2</v>
      </c>
      <c r="Q4" s="12" t="str">
        <f t="shared" ca="1" si="6"/>
        <v>割安</v>
      </c>
      <c r="R4" s="21">
        <f ca="1">終値履歴!D4</f>
        <v>125.2</v>
      </c>
      <c r="S4" s="109">
        <f t="shared" ref="S4:S5" ca="1" si="7">(G4-R4)/E4</f>
        <v>-9.7560975609756323E-3</v>
      </c>
      <c r="T4" s="21">
        <f ca="1">終値履歴!E4</f>
        <v>126.7</v>
      </c>
      <c r="U4" s="109">
        <f t="shared" ref="U4:U5" ca="1" si="8">(G4-T4)/G4</f>
        <v>-2.1774193548387121E-2</v>
      </c>
      <c r="W4" s="21">
        <f ca="1">終値履歴!F4</f>
        <v>123</v>
      </c>
      <c r="X4" s="109">
        <f t="shared" ref="X4:X5" ca="1" si="9">(G4-W4)/G4</f>
        <v>8.0645161290322578E-3</v>
      </c>
    </row>
    <row r="5" spans="1:28" x14ac:dyDescent="0.25">
      <c r="B5" s="49" t="str">
        <f>セカンダリ投資分析!B6</f>
        <v>ソレイジア・ファーマ</v>
      </c>
      <c r="C5" s="204">
        <f>株価一覧!H4</f>
        <v>1243000</v>
      </c>
      <c r="D5" s="15">
        <f ca="1">OFFSET(終値履歴!A5,0,COUNTA(終値履歴!G5:'終値履歴'!XFD5)+2,1,-1)</f>
        <v>309</v>
      </c>
      <c r="E5" s="15">
        <f ca="1">OFFSET(終値履歴!A5,0,COUNTA(終値履歴!G5:'終値履歴'!XFD5)+3,1,-1)</f>
        <v>309</v>
      </c>
      <c r="F5" s="15">
        <f ca="1">OFFSET(終値履歴!A5,0,COUNTA(終値履歴!G5:'終値履歴'!XFD5)+4,1,-1)</f>
        <v>314</v>
      </c>
      <c r="G5" s="15">
        <f ca="1">OFFSET(終値履歴!A5,0,COUNTA(終値履歴!G5:'終値履歴'!XFD5)+5,1,-1)</f>
        <v>312</v>
      </c>
      <c r="I5" s="60">
        <f t="shared" ca="1" si="0"/>
        <v>-6.369426751592357E-3</v>
      </c>
      <c r="J5" s="60">
        <f t="shared" ca="1" si="1"/>
        <v>9.7087378640776691E-3</v>
      </c>
      <c r="K5" s="60">
        <f t="shared" ca="1" si="2"/>
        <v>9.7087378640776691E-3</v>
      </c>
      <c r="M5" s="60">
        <f t="shared" ca="1" si="3"/>
        <v>1.6181229773462782E-2</v>
      </c>
      <c r="N5" s="60">
        <f t="shared" ca="1" si="4"/>
        <v>1.6181229773462782E-2</v>
      </c>
      <c r="P5" s="57">
        <f t="shared" ca="1" si="5"/>
        <v>-2</v>
      </c>
      <c r="Q5" s="12" t="str">
        <f t="shared" ca="1" si="6"/>
        <v>割高</v>
      </c>
      <c r="R5" s="21">
        <f ca="1">終値履歴!D5</f>
        <v>310.60000000000002</v>
      </c>
      <c r="S5" s="109">
        <f t="shared" ca="1" si="7"/>
        <v>4.5307443365695055E-3</v>
      </c>
      <c r="T5" s="21">
        <f ca="1">終値履歴!E5</f>
        <v>310.10000000000002</v>
      </c>
      <c r="U5" s="109">
        <f t="shared" ca="1" si="8"/>
        <v>6.0897435897435169E-3</v>
      </c>
      <c r="W5" s="21">
        <f ca="1">終値履歴!F5</f>
        <v>309</v>
      </c>
      <c r="X5" s="109">
        <f t="shared" ca="1" si="9"/>
        <v>9.6153846153846159E-3</v>
      </c>
    </row>
    <row r="6" spans="1:28" x14ac:dyDescent="0.25">
      <c r="B6" s="49" t="str">
        <f>IPO監視一覧!B3</f>
        <v>Ｍマート</v>
      </c>
      <c r="C6" s="204">
        <f>株価一覧!H5</f>
        <v>630500</v>
      </c>
      <c r="D6" s="15">
        <f ca="1">OFFSET(終値履歴!A6,0,COUNTA(終値履歴!G6:'終値履歴'!XFD6)+2,1,-1)</f>
        <v>6200</v>
      </c>
      <c r="E6" s="15">
        <f ca="1">OFFSET(終値履歴!A6,0,COUNTA(終値履歴!G6:'終値履歴'!XFD6)+3,1,-1)</f>
        <v>5860</v>
      </c>
      <c r="F6" s="15">
        <f ca="1">OFFSET(終値履歴!A6,0,COUNTA(終値履歴!G6:'終値履歴'!XFD6)+4,1,-1)</f>
        <v>5790</v>
      </c>
      <c r="G6" s="15">
        <f ca="1">OFFSET(終値履歴!A6,0,COUNTA(終値履歴!G6:'終値履歴'!XFD6)+5,1,-1)</f>
        <v>5850</v>
      </c>
      <c r="I6" s="60">
        <f ca="1">(G6-F6)/F6</f>
        <v>1.0362694300518135E-2</v>
      </c>
      <c r="J6" s="60">
        <f ca="1">(G6-E6)/E6</f>
        <v>-1.7064846416382253E-3</v>
      </c>
      <c r="K6" s="60">
        <f ca="1">(G6-D6)/D6</f>
        <v>-5.6451612903225805E-2</v>
      </c>
      <c r="M6" s="60">
        <f ca="1">(F6-E6)/E6</f>
        <v>-1.1945392491467578E-2</v>
      </c>
      <c r="N6" s="60">
        <f ca="1">(F6-D6)/D6</f>
        <v>-6.6129032258064518E-2</v>
      </c>
      <c r="P6" s="57" t="str">
        <f ca="1">IF(G6-F6 &gt; 0,CONCATENATE("＋",G6-F6),G6-F6)</f>
        <v>＋60</v>
      </c>
      <c r="Q6" s="12" t="str">
        <f t="shared" ref="Q6:Q11" ca="1" si="10">IF(AND(G6&lt;=T6,G6&lt;=R6),"割安",IF(AND(G6&gt;T6,G6&lt;=R6),"普通",IF(AND(G6&lt;=T6,G6&gt;R6),"普通","割高")))</f>
        <v>割高</v>
      </c>
      <c r="R6" s="106">
        <f ca="1">終値履歴!D6</f>
        <v>4740</v>
      </c>
      <c r="S6" s="109">
        <f t="shared" ref="S6:S8" ca="1" si="11">(G6-R6)/E6</f>
        <v>0.18941979522184299</v>
      </c>
      <c r="T6" s="106">
        <f ca="1">終値履歴!E6</f>
        <v>2370</v>
      </c>
      <c r="U6" s="109">
        <f t="shared" ref="U6:U11" ca="1" si="12">(G6-T6)/G6</f>
        <v>0.59487179487179487</v>
      </c>
      <c r="W6" s="108">
        <f ca="1">終値履歴!F6</f>
        <v>0</v>
      </c>
      <c r="X6" s="109">
        <f t="shared" ref="X6:X11" ca="1" si="13">(G6-W6)/G6</f>
        <v>1</v>
      </c>
    </row>
    <row r="7" spans="1:28" x14ac:dyDescent="0.25">
      <c r="B7" s="49" t="str">
        <f>IPO監視一覧!B4</f>
        <v>ジェイテックコーポレーション</v>
      </c>
      <c r="C7" s="204">
        <f>株価一覧!H6</f>
        <v>1456300</v>
      </c>
      <c r="D7" s="15">
        <f ca="1">OFFSET(終値履歴!A7,0,COUNTA(終値履歴!G7:'終値履歴'!XFD7)+2,1,-1)</f>
        <v>0</v>
      </c>
      <c r="E7" s="15">
        <f ca="1">OFFSET(終値履歴!A7,0,COUNTA(終値履歴!G7:'終値履歴'!XFD7)+3,1,-1)</f>
        <v>0</v>
      </c>
      <c r="F7" s="15">
        <f ca="1">OFFSET(終値履歴!A7,0,COUNTA(終値履歴!G7:'終値履歴'!XFD7)+4,1,-1)</f>
        <v>0</v>
      </c>
      <c r="G7" s="15">
        <f ca="1">OFFSET(終値履歴!A7,0,COUNTA(終値履歴!G7:'終値履歴'!XFD7)+5,1,-1)</f>
        <v>11190</v>
      </c>
      <c r="I7" s="60" t="e">
        <f t="shared" ref="I7:I11" ca="1" si="14">(G7-F7)/F7</f>
        <v>#DIV/0!</v>
      </c>
      <c r="J7" s="60" t="e">
        <f t="shared" ref="J7:J11" ca="1" si="15">(G7-E7)/E7</f>
        <v>#DIV/0!</v>
      </c>
      <c r="K7" s="60" t="e">
        <f t="shared" ref="K7:K11" ca="1" si="16">(G7-D7)/D7</f>
        <v>#DIV/0!</v>
      </c>
      <c r="M7" s="60" t="e">
        <f t="shared" ref="M7:M11" ca="1" si="17">(F7-E7)/E7</f>
        <v>#DIV/0!</v>
      </c>
      <c r="N7" s="60" t="e">
        <f t="shared" ref="N7:N11" ca="1" si="18">(F7-D7)/D7</f>
        <v>#DIV/0!</v>
      </c>
      <c r="P7" s="57" t="str">
        <f t="shared" ref="P7:P11" ca="1" si="19">IF(G7-F7 &gt; 0,CONCATENATE("＋",G7-F7),G7-F7)</f>
        <v>＋11190</v>
      </c>
      <c r="Q7" s="12" t="str">
        <f t="shared" ca="1" si="10"/>
        <v>割高</v>
      </c>
      <c r="R7" s="106">
        <f ca="1">終値履歴!D7</f>
        <v>2238</v>
      </c>
      <c r="S7" s="109" t="e">
        <f t="shared" ca="1" si="11"/>
        <v>#DIV/0!</v>
      </c>
      <c r="T7" s="106">
        <f ca="1">終値履歴!E7</f>
        <v>1119</v>
      </c>
      <c r="U7" s="109">
        <f t="shared" ca="1" si="12"/>
        <v>0.9</v>
      </c>
      <c r="W7" s="108">
        <f ca="1">終値履歴!F7</f>
        <v>0</v>
      </c>
      <c r="X7" s="109">
        <f t="shared" ca="1" si="13"/>
        <v>1</v>
      </c>
    </row>
    <row r="8" spans="1:28" x14ac:dyDescent="0.25">
      <c r="B8" s="49" t="str">
        <f>IPO監視一覧!B5</f>
        <v>ＳＥＲＩＯＨＤ</v>
      </c>
      <c r="C8" s="204">
        <f>株価一覧!H7</f>
        <v>0</v>
      </c>
      <c r="D8" s="15">
        <f ca="1">OFFSET(終値履歴!A8,0,COUNTA(終値履歴!G8:'終値履歴'!XFD8)+2,1,-1)</f>
        <v>0</v>
      </c>
      <c r="E8" s="15">
        <f ca="1">OFFSET(終値履歴!A8,0,COUNTA(終値履歴!G8:'終値履歴'!XFD8)+3,1,-1)</f>
        <v>0</v>
      </c>
      <c r="F8" s="15">
        <f ca="1">OFFSET(終値履歴!A8,0,COUNTA(終値履歴!G8:'終値履歴'!XFD8)+4,1,-1)</f>
        <v>0</v>
      </c>
      <c r="G8" s="15">
        <f ca="1">OFFSET(終値履歴!A8,0,COUNTA(終値履歴!G8:'終値履歴'!XFD8)+5,1,-1)</f>
        <v>0</v>
      </c>
      <c r="I8" s="60" t="e">
        <f t="shared" ca="1" si="14"/>
        <v>#DIV/0!</v>
      </c>
      <c r="J8" s="60" t="e">
        <f t="shared" ca="1" si="15"/>
        <v>#DIV/0!</v>
      </c>
      <c r="K8" s="60" t="e">
        <f t="shared" ca="1" si="16"/>
        <v>#DIV/0!</v>
      </c>
      <c r="M8" s="60" t="e">
        <f t="shared" ca="1" si="17"/>
        <v>#DIV/0!</v>
      </c>
      <c r="N8" s="60" t="e">
        <f t="shared" ca="1" si="18"/>
        <v>#DIV/0!</v>
      </c>
      <c r="P8" s="57">
        <f t="shared" ca="1" si="19"/>
        <v>0</v>
      </c>
      <c r="Q8" s="12" t="str">
        <f t="shared" ca="1" si="10"/>
        <v>割安</v>
      </c>
      <c r="R8" s="106">
        <f ca="1">終値履歴!D8</f>
        <v>0</v>
      </c>
      <c r="S8" s="109" t="e">
        <f t="shared" ca="1" si="11"/>
        <v>#DIV/0!</v>
      </c>
      <c r="T8" s="106">
        <f ca="1">終値履歴!E8</f>
        <v>0</v>
      </c>
      <c r="U8" s="109" t="e">
        <f t="shared" ca="1" si="12"/>
        <v>#DIV/0!</v>
      </c>
      <c r="W8" s="108">
        <f ca="1">終値履歴!F8</f>
        <v>0</v>
      </c>
      <c r="X8" s="109" t="e">
        <f t="shared" ca="1" si="13"/>
        <v>#DIV/0!</v>
      </c>
    </row>
    <row r="9" spans="1:28" x14ac:dyDescent="0.25">
      <c r="B9" s="49" t="str">
        <f>IPO監視一覧!B6</f>
        <v>神戸天然物化学</v>
      </c>
      <c r="C9" s="204">
        <f>株価一覧!H8</f>
        <v>0</v>
      </c>
      <c r="D9" s="15">
        <f ca="1">OFFSET(終値履歴!A9,0,COUNTA(終値履歴!G9:'終値履歴'!XFD9)+2,1,-1)</f>
        <v>0</v>
      </c>
      <c r="E9" s="15">
        <f ca="1">OFFSET(終値履歴!A9,0,COUNTA(終値履歴!G9:'終値履歴'!XFD9)+3,1,-1)</f>
        <v>0</v>
      </c>
      <c r="F9" s="15">
        <f ca="1">OFFSET(終値履歴!A9,0,COUNTA(終値履歴!G9:'終値履歴'!XFD9)+4,1,-1)</f>
        <v>0</v>
      </c>
      <c r="G9" s="15">
        <f ca="1">OFFSET(終値履歴!A9,0,COUNTA(終値履歴!G9:'終値履歴'!XFD9)+5,1,-1)</f>
        <v>0</v>
      </c>
      <c r="I9" s="60" t="e">
        <f t="shared" ca="1" si="14"/>
        <v>#DIV/0!</v>
      </c>
      <c r="J9" s="60" t="e">
        <f t="shared" ca="1" si="15"/>
        <v>#DIV/0!</v>
      </c>
      <c r="K9" s="60" t="e">
        <f t="shared" ca="1" si="16"/>
        <v>#DIV/0!</v>
      </c>
      <c r="M9" s="60" t="e">
        <f t="shared" ca="1" si="17"/>
        <v>#DIV/0!</v>
      </c>
      <c r="N9" s="60" t="e">
        <f t="shared" ca="1" si="18"/>
        <v>#DIV/0!</v>
      </c>
      <c r="P9" s="57">
        <f t="shared" ca="1" si="19"/>
        <v>0</v>
      </c>
      <c r="Q9" s="12" t="str">
        <f t="shared" ca="1" si="10"/>
        <v>割安</v>
      </c>
      <c r="R9" s="106">
        <f ca="1">終値履歴!D9</f>
        <v>0</v>
      </c>
      <c r="S9" s="109" t="e">
        <f ca="1">(G9-R9)/E9</f>
        <v>#DIV/0!</v>
      </c>
      <c r="T9" s="106">
        <f ca="1">終値履歴!E9</f>
        <v>0</v>
      </c>
      <c r="U9" s="109" t="e">
        <f t="shared" ca="1" si="12"/>
        <v>#DIV/0!</v>
      </c>
      <c r="W9" s="108">
        <f ca="1">終値履歴!F9</f>
        <v>0</v>
      </c>
      <c r="X9" s="109" t="e">
        <f t="shared" ca="1" si="13"/>
        <v>#DIV/0!</v>
      </c>
    </row>
    <row r="10" spans="1:28" x14ac:dyDescent="0.25">
      <c r="B10" s="49" t="str">
        <f>IPO監視一覧!B7</f>
        <v>日総工産</v>
      </c>
      <c r="C10" s="204">
        <f>株価一覧!H9</f>
        <v>0</v>
      </c>
      <c r="D10" s="15">
        <f ca="1">OFFSET(終値履歴!A10,0,COUNTA(終値履歴!G10:'終値履歴'!XFD10)+2,1,-1)</f>
        <v>0</v>
      </c>
      <c r="E10" s="15">
        <f ca="1">OFFSET(終値履歴!A10,0,COUNTA(終値履歴!G10:'終値履歴'!XFD10)+3,1,-1)</f>
        <v>0</v>
      </c>
      <c r="F10" s="15">
        <f ca="1">OFFSET(終値履歴!A10,0,COUNTA(終値履歴!G10:'終値履歴'!XFD10)+4,1,-1)</f>
        <v>0</v>
      </c>
      <c r="G10" s="15">
        <f ca="1">OFFSET(終値履歴!A10,0,COUNTA(終値履歴!G10:'終値履歴'!XFD10)+5,1,-1)</f>
        <v>0</v>
      </c>
      <c r="I10" s="60" t="e">
        <f t="shared" ca="1" si="14"/>
        <v>#DIV/0!</v>
      </c>
      <c r="J10" s="60" t="e">
        <f t="shared" ca="1" si="15"/>
        <v>#DIV/0!</v>
      </c>
      <c r="K10" s="60" t="e">
        <f t="shared" ca="1" si="16"/>
        <v>#DIV/0!</v>
      </c>
      <c r="M10" s="60" t="e">
        <f t="shared" ca="1" si="17"/>
        <v>#DIV/0!</v>
      </c>
      <c r="N10" s="60" t="e">
        <f t="shared" ca="1" si="18"/>
        <v>#DIV/0!</v>
      </c>
      <c r="P10" s="57">
        <f t="shared" ca="1" si="19"/>
        <v>0</v>
      </c>
      <c r="Q10" s="12" t="str">
        <f t="shared" ca="1" si="10"/>
        <v>割安</v>
      </c>
      <c r="R10" s="106">
        <f ca="1">終値履歴!D10</f>
        <v>0</v>
      </c>
      <c r="S10" s="109" t="e">
        <f t="shared" ref="S10:S11" ca="1" si="20">(G10-R10)/E10</f>
        <v>#DIV/0!</v>
      </c>
      <c r="T10" s="106">
        <f ca="1">終値履歴!E10</f>
        <v>0</v>
      </c>
      <c r="U10" s="109" t="e">
        <f t="shared" ca="1" si="12"/>
        <v>#DIV/0!</v>
      </c>
      <c r="W10" s="108">
        <f ca="1">終値履歴!F10</f>
        <v>0</v>
      </c>
      <c r="X10" s="109" t="e">
        <f t="shared" ca="1" si="13"/>
        <v>#DIV/0!</v>
      </c>
    </row>
    <row r="11" spans="1:28" x14ac:dyDescent="0.25">
      <c r="B11" s="49" t="str">
        <f>IPO監視一覧!B8</f>
        <v>フェイスネットワーク</v>
      </c>
      <c r="C11" s="204">
        <f>株価一覧!H10</f>
        <v>0</v>
      </c>
      <c r="D11" s="15">
        <f ca="1">OFFSET(終値履歴!A11,0,COUNTA(終値履歴!G11:'終値履歴'!XFD11)+2,1,-1)</f>
        <v>0</v>
      </c>
      <c r="E11" s="15">
        <f ca="1">OFFSET(終値履歴!A11,0,COUNTA(終値履歴!G11:'終値履歴'!XFD11)+3,1,-1)</f>
        <v>0</v>
      </c>
      <c r="F11" s="15">
        <f ca="1">OFFSET(終値履歴!A11,0,COUNTA(終値履歴!G11:'終値履歴'!XFD11)+4,1,-1)</f>
        <v>0</v>
      </c>
      <c r="G11" s="15">
        <f ca="1">OFFSET(終値履歴!A11,0,COUNTA(終値履歴!G11:'終値履歴'!XFD11)+5,1,-1)</f>
        <v>0</v>
      </c>
      <c r="I11" s="60" t="e">
        <f t="shared" ca="1" si="14"/>
        <v>#DIV/0!</v>
      </c>
      <c r="J11" s="60" t="e">
        <f t="shared" ca="1" si="15"/>
        <v>#DIV/0!</v>
      </c>
      <c r="K11" s="60" t="e">
        <f t="shared" ca="1" si="16"/>
        <v>#DIV/0!</v>
      </c>
      <c r="M11" s="60" t="e">
        <f t="shared" ca="1" si="17"/>
        <v>#DIV/0!</v>
      </c>
      <c r="N11" s="60" t="e">
        <f t="shared" ca="1" si="18"/>
        <v>#DIV/0!</v>
      </c>
      <c r="P11" s="57">
        <f t="shared" ca="1" si="19"/>
        <v>0</v>
      </c>
      <c r="Q11" s="12" t="str">
        <f t="shared" ca="1" si="10"/>
        <v>割安</v>
      </c>
      <c r="R11" s="106">
        <f ca="1">終値履歴!D11</f>
        <v>0</v>
      </c>
      <c r="S11" s="109" t="e">
        <f t="shared" ca="1" si="20"/>
        <v>#DIV/0!</v>
      </c>
      <c r="T11" s="106">
        <f ca="1">終値履歴!E11</f>
        <v>0</v>
      </c>
      <c r="U11" s="109" t="e">
        <f t="shared" ca="1" si="12"/>
        <v>#DIV/0!</v>
      </c>
      <c r="W11" s="108">
        <f ca="1">終値履歴!F11</f>
        <v>0</v>
      </c>
      <c r="X11" s="109" t="e">
        <f t="shared" ca="1" si="13"/>
        <v>#DIV/0!</v>
      </c>
    </row>
    <row r="12" spans="1:28" x14ac:dyDescent="0.25">
      <c r="B12" s="49" t="str">
        <f>IPO監視一覧!B9</f>
        <v>共和コーポレーション</v>
      </c>
      <c r="C12" s="62">
        <f>株価一覧!H11</f>
        <v>0</v>
      </c>
      <c r="D12" s="15">
        <f ca="1">OFFSET(終値履歴!A12,0,COUNTA(終値履歴!G12:'終値履歴'!XFD12)+2,1,-1)</f>
        <v>0</v>
      </c>
      <c r="E12" s="15">
        <f ca="1">OFFSET(終値履歴!A12,0,COUNTA(終値履歴!G12:'終値履歴'!XFD12)+3,1,-1)</f>
        <v>0</v>
      </c>
      <c r="F12" s="15">
        <f ca="1">OFFSET(終値履歴!A12,0,COUNTA(終値履歴!G12:'終値履歴'!XFD12)+4,1,-1)</f>
        <v>0</v>
      </c>
      <c r="G12" s="15">
        <f ca="1">OFFSET(終値履歴!A12,0,COUNTA(終値履歴!G12:'終値履歴'!XFD12)+5,1,-1)</f>
        <v>0</v>
      </c>
      <c r="I12" s="60" t="e">
        <f t="shared" ref="I12" ca="1" si="21">(G12-F12)/F12</f>
        <v>#DIV/0!</v>
      </c>
      <c r="J12" s="60" t="e">
        <f t="shared" ref="J12" ca="1" si="22">(G12-E12)/E12</f>
        <v>#DIV/0!</v>
      </c>
      <c r="K12" s="60" t="e">
        <f t="shared" ref="K12" ca="1" si="23">(G12-D12)/D12</f>
        <v>#DIV/0!</v>
      </c>
      <c r="M12" s="60" t="e">
        <f t="shared" ref="M12" ca="1" si="24">(F12-E12)/E12</f>
        <v>#DIV/0!</v>
      </c>
      <c r="N12" s="60" t="e">
        <f t="shared" ref="N12" ca="1" si="25">(F12-D12)/D12</f>
        <v>#DIV/0!</v>
      </c>
      <c r="P12" s="57">
        <f t="shared" ref="P12" ca="1" si="26">IF(G12-F12 &gt; 0,CONCATENATE("＋",G12-F12),G12-F12)</f>
        <v>0</v>
      </c>
      <c r="Q12" s="12" t="str">
        <f t="shared" ref="Q12" ca="1" si="27">IF(AND(G12&lt;=T12,G12&lt;=R12),"割安",IF(AND(G12&gt;T12,G12&lt;=R12),"普通",IF(AND(G12&lt;=T12,G12&gt;R12),"普通","割高")))</f>
        <v>割安</v>
      </c>
      <c r="R12" s="21">
        <f ca="1">終値履歴!D12</f>
        <v>0</v>
      </c>
      <c r="S12" s="109" t="e">
        <f t="shared" ref="S12" ca="1" si="28">(G12-R12)/E12</f>
        <v>#DIV/0!</v>
      </c>
      <c r="T12" s="21">
        <f ca="1">終値履歴!E12</f>
        <v>0</v>
      </c>
      <c r="U12" s="109" t="e">
        <f t="shared" ref="U12" ca="1" si="29">(G12-T12)/G12</f>
        <v>#DIV/0!</v>
      </c>
      <c r="W12" s="21">
        <f ca="1">終値履歴!F12</f>
        <v>0</v>
      </c>
      <c r="X12" s="109" t="e">
        <f t="shared" ref="X12" ca="1" si="30">(G12-W12)/G12</f>
        <v>#DIV/0!</v>
      </c>
    </row>
    <row r="13" spans="1:28" x14ac:dyDescent="0.25">
      <c r="B13" s="49" t="str">
        <f>IPO監視一覧!B10</f>
        <v>信和</v>
      </c>
      <c r="C13" s="62">
        <f>株価一覧!H12</f>
        <v>0</v>
      </c>
      <c r="D13" s="15">
        <f ca="1">OFFSET(終値履歴!A13,0,COUNTA(終値履歴!G13:'終値履歴'!XFD13)+2,1,-1)</f>
        <v>0</v>
      </c>
      <c r="E13" s="15">
        <f ca="1">OFFSET(終値履歴!A13,0,COUNTA(終値履歴!G13:'終値履歴'!XFD13)+3,1,-1)</f>
        <v>0</v>
      </c>
      <c r="F13" s="15">
        <f ca="1">OFFSET(終値履歴!A13,0,COUNTA(終値履歴!G13:'終値履歴'!XFD13)+4,1,-1)</f>
        <v>0</v>
      </c>
      <c r="G13" s="15">
        <f ca="1">OFFSET(終値履歴!A13,0,COUNTA(終値履歴!G13:'終値履歴'!XFD13)+5,1,-1)</f>
        <v>0</v>
      </c>
      <c r="I13" s="60" t="e">
        <f t="shared" ref="I13:I25" ca="1" si="31">(G13-F13)/F13</f>
        <v>#DIV/0!</v>
      </c>
      <c r="J13" s="60" t="e">
        <f t="shared" ref="J13:J25" ca="1" si="32">(G13-E13)/E13</f>
        <v>#DIV/0!</v>
      </c>
      <c r="K13" s="60" t="e">
        <f t="shared" ref="K13:K25" ca="1" si="33">(G13-D13)/D13</f>
        <v>#DIV/0!</v>
      </c>
      <c r="M13" s="60" t="e">
        <f t="shared" ref="M13:M25" ca="1" si="34">(F13-E13)/E13</f>
        <v>#DIV/0!</v>
      </c>
      <c r="N13" s="60" t="e">
        <f t="shared" ref="N13:N25" ca="1" si="35">(F13-D13)/D13</f>
        <v>#DIV/0!</v>
      </c>
      <c r="P13" s="57">
        <f t="shared" ref="P13:P25" ca="1" si="36">IF(G13-F13 &gt; 0,CONCATENATE("＋",G13-F13),G13-F13)</f>
        <v>0</v>
      </c>
      <c r="Q13" s="12" t="str">
        <f t="shared" ref="Q13:Q25" ca="1" si="37">IF(AND(G13&lt;=T13,G13&lt;=R13),"割安",IF(AND(G13&gt;T13,G13&lt;=R13),"普通",IF(AND(G13&lt;=T13,G13&gt;R13),"普通","割高")))</f>
        <v>割安</v>
      </c>
      <c r="R13" s="21">
        <f ca="1">終値履歴!D13</f>
        <v>0</v>
      </c>
      <c r="S13" s="109" t="e">
        <f t="shared" ref="S13:S25" ca="1" si="38">(G13-R13)/E13</f>
        <v>#DIV/0!</v>
      </c>
      <c r="T13" s="21">
        <f ca="1">終値履歴!E13</f>
        <v>0</v>
      </c>
      <c r="U13" s="109" t="e">
        <f t="shared" ref="U13:U25" ca="1" si="39">(G13-T13)/G13</f>
        <v>#DIV/0!</v>
      </c>
      <c r="W13" s="21">
        <f ca="1">終値履歴!F13</f>
        <v>0</v>
      </c>
      <c r="X13" s="109" t="e">
        <f t="shared" ref="X13:X25" ca="1" si="40">(G13-W13)/G13</f>
        <v>#DIV/0!</v>
      </c>
    </row>
    <row r="14" spans="1:28" x14ac:dyDescent="0.25">
      <c r="B14" s="49" t="str">
        <f>IPO監視一覧!B11</f>
        <v>ＳＯＵ</v>
      </c>
      <c r="C14" s="62">
        <f>株価一覧!H13</f>
        <v>0</v>
      </c>
      <c r="D14" s="15">
        <f ca="1">OFFSET(終値履歴!A14,0,COUNTA(終値履歴!G14:'終値履歴'!XFD14)+2,1,-1)</f>
        <v>0</v>
      </c>
      <c r="E14" s="15">
        <f ca="1">OFFSET(終値履歴!A14,0,COUNTA(終値履歴!G14:'終値履歴'!XFD14)+3,1,-1)</f>
        <v>0</v>
      </c>
      <c r="F14" s="15">
        <f ca="1">OFFSET(終値履歴!A14,0,COUNTA(終値履歴!G14:'終値履歴'!XFD14)+4,1,-1)</f>
        <v>0</v>
      </c>
      <c r="G14" s="15">
        <f ca="1">OFFSET(終値履歴!A14,0,COUNTA(終値履歴!G14:'終値履歴'!XFD14)+5,1,-1)</f>
        <v>0</v>
      </c>
      <c r="I14" s="60" t="e">
        <f t="shared" ca="1" si="31"/>
        <v>#DIV/0!</v>
      </c>
      <c r="J14" s="60" t="e">
        <f t="shared" ca="1" si="32"/>
        <v>#DIV/0!</v>
      </c>
      <c r="K14" s="60" t="e">
        <f t="shared" ca="1" si="33"/>
        <v>#DIV/0!</v>
      </c>
      <c r="M14" s="60" t="e">
        <f t="shared" ca="1" si="34"/>
        <v>#DIV/0!</v>
      </c>
      <c r="N14" s="60" t="e">
        <f t="shared" ca="1" si="35"/>
        <v>#DIV/0!</v>
      </c>
      <c r="P14" s="57">
        <f t="shared" ca="1" si="36"/>
        <v>0</v>
      </c>
      <c r="Q14" s="12" t="str">
        <f t="shared" ca="1" si="37"/>
        <v>割安</v>
      </c>
      <c r="R14" s="21">
        <f ca="1">終値履歴!D14</f>
        <v>0</v>
      </c>
      <c r="S14" s="109" t="e">
        <f t="shared" ca="1" si="38"/>
        <v>#DIV/0!</v>
      </c>
      <c r="T14" s="21">
        <f ca="1">終値履歴!E14</f>
        <v>0</v>
      </c>
      <c r="U14" s="109" t="e">
        <f t="shared" ca="1" si="39"/>
        <v>#DIV/0!</v>
      </c>
      <c r="W14" s="21">
        <f ca="1">終値履歴!F14</f>
        <v>0</v>
      </c>
      <c r="X14" s="109" t="e">
        <f t="shared" ca="1" si="40"/>
        <v>#DIV/0!</v>
      </c>
    </row>
    <row r="15" spans="1:28" x14ac:dyDescent="0.25">
      <c r="B15" s="49" t="str">
        <f>IPO監視一覧!B12</f>
        <v>キュービーネットHD</v>
      </c>
      <c r="C15" s="62">
        <f>株価一覧!H14</f>
        <v>0</v>
      </c>
      <c r="D15" s="15">
        <f ca="1">OFFSET(終値履歴!A15,0,COUNTA(終値履歴!G15:'終値履歴'!XFD15)+2,1,-1)</f>
        <v>0</v>
      </c>
      <c r="E15" s="15">
        <f ca="1">OFFSET(終値履歴!A15,0,COUNTA(終値履歴!G15:'終値履歴'!XFD15)+3,1,-1)</f>
        <v>0</v>
      </c>
      <c r="F15" s="15">
        <f ca="1">OFFSET(終値履歴!A15,0,COUNTA(終値履歴!G15:'終値履歴'!XFD15)+4,1,-1)</f>
        <v>0</v>
      </c>
      <c r="G15" s="15">
        <f ca="1">OFFSET(終値履歴!A15,0,COUNTA(終値履歴!G15:'終値履歴'!XFD15)+5,1,-1)</f>
        <v>0</v>
      </c>
      <c r="I15" s="60" t="e">
        <f t="shared" ca="1" si="31"/>
        <v>#DIV/0!</v>
      </c>
      <c r="J15" s="60" t="e">
        <f t="shared" ca="1" si="32"/>
        <v>#DIV/0!</v>
      </c>
      <c r="K15" s="60" t="e">
        <f t="shared" ca="1" si="33"/>
        <v>#DIV/0!</v>
      </c>
      <c r="M15" s="60" t="e">
        <f t="shared" ca="1" si="34"/>
        <v>#DIV/0!</v>
      </c>
      <c r="N15" s="60" t="e">
        <f t="shared" ca="1" si="35"/>
        <v>#DIV/0!</v>
      </c>
      <c r="P15" s="57">
        <f t="shared" ca="1" si="36"/>
        <v>0</v>
      </c>
      <c r="Q15" s="12" t="str">
        <f t="shared" ca="1" si="37"/>
        <v>割安</v>
      </c>
      <c r="R15" s="21">
        <f ca="1">終値履歴!D15</f>
        <v>0</v>
      </c>
      <c r="S15" s="109" t="e">
        <f t="shared" ca="1" si="38"/>
        <v>#DIV/0!</v>
      </c>
      <c r="T15" s="21">
        <f ca="1">終値履歴!E15</f>
        <v>0</v>
      </c>
      <c r="U15" s="109" t="e">
        <f t="shared" ca="1" si="39"/>
        <v>#DIV/0!</v>
      </c>
      <c r="W15" s="21">
        <f ca="1">終値履歴!F15</f>
        <v>0</v>
      </c>
      <c r="X15" s="109" t="e">
        <f t="shared" ca="1" si="40"/>
        <v>#DIV/0!</v>
      </c>
    </row>
    <row r="16" spans="1:28" x14ac:dyDescent="0.25">
      <c r="B16" s="49" t="str">
        <f>IPO監視一覧!B13</f>
        <v>ファイバーゲート</v>
      </c>
      <c r="C16" s="62">
        <f>株価一覧!H15</f>
        <v>0</v>
      </c>
      <c r="D16" s="15">
        <f ca="1">OFFSET(終値履歴!A16,0,COUNTA(終値履歴!G16:'終値履歴'!XFD16)+2,1,-1)</f>
        <v>0</v>
      </c>
      <c r="E16" s="15">
        <f ca="1">OFFSET(終値履歴!A16,0,COUNTA(終値履歴!G16:'終値履歴'!XFD16)+3,1,-1)</f>
        <v>0</v>
      </c>
      <c r="F16" s="15">
        <f ca="1">OFFSET(終値履歴!A16,0,COUNTA(終値履歴!G16:'終値履歴'!XFD16)+4,1,-1)</f>
        <v>0</v>
      </c>
      <c r="G16" s="15">
        <f ca="1">OFFSET(終値履歴!A16,0,COUNTA(終値履歴!G16:'終値履歴'!XFD16)+5,1,-1)</f>
        <v>0</v>
      </c>
      <c r="I16" s="60" t="e">
        <f t="shared" ca="1" si="31"/>
        <v>#DIV/0!</v>
      </c>
      <c r="J16" s="60" t="e">
        <f t="shared" ca="1" si="32"/>
        <v>#DIV/0!</v>
      </c>
      <c r="K16" s="60" t="e">
        <f t="shared" ca="1" si="33"/>
        <v>#DIV/0!</v>
      </c>
      <c r="M16" s="60" t="e">
        <f t="shared" ca="1" si="34"/>
        <v>#DIV/0!</v>
      </c>
      <c r="N16" s="60" t="e">
        <f t="shared" ca="1" si="35"/>
        <v>#DIV/0!</v>
      </c>
      <c r="P16" s="57">
        <f t="shared" ca="1" si="36"/>
        <v>0</v>
      </c>
      <c r="Q16" s="12" t="str">
        <f t="shared" ca="1" si="37"/>
        <v>割安</v>
      </c>
      <c r="R16" s="21">
        <f ca="1">終値履歴!D16</f>
        <v>0</v>
      </c>
      <c r="S16" s="109" t="e">
        <f t="shared" ca="1" si="38"/>
        <v>#DIV/0!</v>
      </c>
      <c r="T16" s="21">
        <f ca="1">終値履歴!E16</f>
        <v>0</v>
      </c>
      <c r="U16" s="109" t="e">
        <f t="shared" ca="1" si="39"/>
        <v>#DIV/0!</v>
      </c>
      <c r="W16" s="21">
        <f ca="1">終値履歴!F16</f>
        <v>0</v>
      </c>
      <c r="X16" s="109" t="e">
        <f t="shared" ca="1" si="40"/>
        <v>#DIV/0!</v>
      </c>
    </row>
    <row r="17" spans="2:24" x14ac:dyDescent="0.25">
      <c r="B17" s="49" t="str">
        <f>IPO監視一覧!B14</f>
        <v>ＲＰＡHD</v>
      </c>
      <c r="C17" s="62">
        <f>株価一覧!H16</f>
        <v>0</v>
      </c>
      <c r="D17" s="15">
        <f ca="1">OFFSET(終値履歴!A17,0,COUNTA(終値履歴!G17:'終値履歴'!XFD17)+2,1,-1)</f>
        <v>0</v>
      </c>
      <c r="E17" s="15">
        <f ca="1">OFFSET(終値履歴!A17,0,COUNTA(終値履歴!G17:'終値履歴'!XFD17)+3,1,-1)</f>
        <v>0</v>
      </c>
      <c r="F17" s="15">
        <f ca="1">OFFSET(終値履歴!A17,0,COUNTA(終値履歴!G17:'終値履歴'!XFD17)+4,1,-1)</f>
        <v>0</v>
      </c>
      <c r="G17" s="15">
        <f ca="1">OFFSET(終値履歴!A17,0,COUNTA(終値履歴!G17:'終値履歴'!XFD17)+5,1,-1)</f>
        <v>0</v>
      </c>
      <c r="I17" s="60" t="e">
        <f t="shared" ca="1" si="31"/>
        <v>#DIV/0!</v>
      </c>
      <c r="J17" s="60" t="e">
        <f t="shared" ca="1" si="32"/>
        <v>#DIV/0!</v>
      </c>
      <c r="K17" s="60" t="e">
        <f t="shared" ca="1" si="33"/>
        <v>#DIV/0!</v>
      </c>
      <c r="M17" s="60" t="e">
        <f t="shared" ca="1" si="34"/>
        <v>#DIV/0!</v>
      </c>
      <c r="N17" s="60" t="e">
        <f t="shared" ca="1" si="35"/>
        <v>#DIV/0!</v>
      </c>
      <c r="P17" s="57">
        <f t="shared" ca="1" si="36"/>
        <v>0</v>
      </c>
      <c r="Q17" s="12" t="str">
        <f t="shared" ca="1" si="37"/>
        <v>割安</v>
      </c>
      <c r="R17" s="21">
        <f ca="1">終値履歴!D17</f>
        <v>0</v>
      </c>
      <c r="S17" s="109" t="e">
        <f t="shared" ca="1" si="38"/>
        <v>#DIV/0!</v>
      </c>
      <c r="T17" s="21">
        <f ca="1">終値履歴!E17</f>
        <v>0</v>
      </c>
      <c r="U17" s="109" t="e">
        <f t="shared" ca="1" si="39"/>
        <v>#DIV/0!</v>
      </c>
      <c r="W17" s="21">
        <f ca="1">終値履歴!F17</f>
        <v>0</v>
      </c>
      <c r="X17" s="109" t="e">
        <f t="shared" ca="1" si="40"/>
        <v>#DIV/0!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0</v>
      </c>
      <c r="D18" s="15">
        <f ca="1">OFFSET(終値履歴!A18,0,COUNTA(終値履歴!G18:'終値履歴'!XFD18)+2,1,-1)</f>
        <v>0</v>
      </c>
      <c r="E18" s="15">
        <f ca="1">OFFSET(終値履歴!A18,0,COUNTA(終値履歴!G18:'終値履歴'!XFD18)+3,1,-1)</f>
        <v>0</v>
      </c>
      <c r="F18" s="15">
        <f ca="1">OFFSET(終値履歴!A18,0,COUNTA(終値履歴!G18:'終値履歴'!XFD18)+4,1,-1)</f>
        <v>0</v>
      </c>
      <c r="G18" s="15">
        <f ca="1">OFFSET(終値履歴!A18,0,COUNTA(終値履歴!G18:'終値履歴'!XFD18)+5,1,-1)</f>
        <v>0</v>
      </c>
      <c r="I18" s="60" t="e">
        <f t="shared" ca="1" si="31"/>
        <v>#DIV/0!</v>
      </c>
      <c r="J18" s="60" t="e">
        <f t="shared" ca="1" si="32"/>
        <v>#DIV/0!</v>
      </c>
      <c r="K18" s="60" t="e">
        <f t="shared" ca="1" si="33"/>
        <v>#DIV/0!</v>
      </c>
      <c r="M18" s="60" t="e">
        <f t="shared" ca="1" si="34"/>
        <v>#DIV/0!</v>
      </c>
      <c r="N18" s="60" t="e">
        <f t="shared" ca="1" si="35"/>
        <v>#DIV/0!</v>
      </c>
      <c r="P18" s="57">
        <f t="shared" ca="1" si="36"/>
        <v>0</v>
      </c>
      <c r="Q18" s="12" t="str">
        <f t="shared" ca="1" si="37"/>
        <v>割安</v>
      </c>
      <c r="R18" s="21">
        <f ca="1">終値履歴!D18</f>
        <v>0</v>
      </c>
      <c r="S18" s="109" t="e">
        <f t="shared" ca="1" si="38"/>
        <v>#DIV/0!</v>
      </c>
      <c r="T18" s="21">
        <f ca="1">終値履歴!E18</f>
        <v>0</v>
      </c>
      <c r="U18" s="109" t="e">
        <f t="shared" ca="1" si="39"/>
        <v>#DIV/0!</v>
      </c>
      <c r="W18" s="21">
        <f ca="1">終値履歴!F18</f>
        <v>0</v>
      </c>
      <c r="X18" s="109" t="e">
        <f t="shared" ca="1" si="40"/>
        <v>#DIV/0!</v>
      </c>
    </row>
    <row r="19" spans="2:24" x14ac:dyDescent="0.25">
      <c r="B19" s="49" t="str">
        <f>IPO監視一覧!B16</f>
        <v>アズ企画設計</v>
      </c>
      <c r="C19" s="62">
        <f>株価一覧!H18</f>
        <v>0</v>
      </c>
      <c r="D19" s="15">
        <f ca="1">OFFSET(終値履歴!A19,0,COUNTA(終値履歴!G19:'終値履歴'!XFD19)+2,1,-1)</f>
        <v>0</v>
      </c>
      <c r="E19" s="15">
        <f ca="1">OFFSET(終値履歴!A19,0,COUNTA(終値履歴!G19:'終値履歴'!XFD19)+3,1,-1)</f>
        <v>0</v>
      </c>
      <c r="F19" s="15">
        <f ca="1">OFFSET(終値履歴!A19,0,COUNTA(終値履歴!G19:'終値履歴'!XFD19)+4,1,-1)</f>
        <v>0</v>
      </c>
      <c r="G19" s="15">
        <f ca="1">OFFSET(終値履歴!A19,0,COUNTA(終値履歴!G19:'終値履歴'!XFD19)+5,1,-1)</f>
        <v>0</v>
      </c>
      <c r="I19" s="60" t="e">
        <f t="shared" ca="1" si="31"/>
        <v>#DIV/0!</v>
      </c>
      <c r="J19" s="60" t="e">
        <f t="shared" ca="1" si="32"/>
        <v>#DIV/0!</v>
      </c>
      <c r="K19" s="60" t="e">
        <f t="shared" ca="1" si="33"/>
        <v>#DIV/0!</v>
      </c>
      <c r="M19" s="60" t="e">
        <f t="shared" ca="1" si="34"/>
        <v>#DIV/0!</v>
      </c>
      <c r="N19" s="60" t="e">
        <f t="shared" ca="1" si="35"/>
        <v>#DIV/0!</v>
      </c>
      <c r="P19" s="57">
        <f t="shared" ca="1" si="36"/>
        <v>0</v>
      </c>
      <c r="Q19" s="12" t="str">
        <f t="shared" ca="1" si="37"/>
        <v>割安</v>
      </c>
      <c r="R19" s="21">
        <f ca="1">終値履歴!D19</f>
        <v>0</v>
      </c>
      <c r="S19" s="109" t="e">
        <f t="shared" ca="1" si="38"/>
        <v>#DIV/0!</v>
      </c>
      <c r="T19" s="21">
        <f ca="1">終値履歴!E19</f>
        <v>0</v>
      </c>
      <c r="U19" s="109" t="e">
        <f t="shared" ca="1" si="39"/>
        <v>#DIV/0!</v>
      </c>
      <c r="W19" s="21">
        <f ca="1">終値履歴!F19</f>
        <v>0</v>
      </c>
      <c r="X19" s="109" t="e">
        <f t="shared" ca="1" si="40"/>
        <v>#DIV/0!</v>
      </c>
    </row>
    <row r="20" spans="2:24" x14ac:dyDescent="0.25">
      <c r="B20" s="49" t="str">
        <f>IPO監視一覧!B17</f>
        <v>和心</v>
      </c>
      <c r="C20" s="62">
        <f>株価一覧!H19</f>
        <v>0</v>
      </c>
      <c r="D20" s="15">
        <f ca="1">OFFSET(終値履歴!A20,0,COUNTA(終値履歴!G20:'終値履歴'!XFD20)+2,1,-1)</f>
        <v>0</v>
      </c>
      <c r="E20" s="15">
        <f ca="1">OFFSET(終値履歴!A20,0,COUNTA(終値履歴!G20:'終値履歴'!XFD20)+3,1,-1)</f>
        <v>0</v>
      </c>
      <c r="F20" s="15">
        <f ca="1">OFFSET(終値履歴!A20,0,COUNTA(終値履歴!G20:'終値履歴'!XFD20)+4,1,-1)</f>
        <v>0</v>
      </c>
      <c r="G20" s="15">
        <f ca="1">OFFSET(終値履歴!A20,0,COUNTA(終値履歴!G20:'終値履歴'!XFD20)+5,1,-1)</f>
        <v>0</v>
      </c>
      <c r="I20" s="60" t="e">
        <f t="shared" ca="1" si="31"/>
        <v>#DIV/0!</v>
      </c>
      <c r="J20" s="60" t="e">
        <f t="shared" ca="1" si="32"/>
        <v>#DIV/0!</v>
      </c>
      <c r="K20" s="60" t="e">
        <f t="shared" ca="1" si="33"/>
        <v>#DIV/0!</v>
      </c>
      <c r="M20" s="60" t="e">
        <f t="shared" ca="1" si="34"/>
        <v>#DIV/0!</v>
      </c>
      <c r="N20" s="60" t="e">
        <f t="shared" ca="1" si="35"/>
        <v>#DIV/0!</v>
      </c>
      <c r="P20" s="57">
        <f t="shared" ca="1" si="36"/>
        <v>0</v>
      </c>
      <c r="Q20" s="12" t="str">
        <f t="shared" ca="1" si="37"/>
        <v>割安</v>
      </c>
      <c r="R20" s="21">
        <f ca="1">終値履歴!D20</f>
        <v>0</v>
      </c>
      <c r="S20" s="109" t="e">
        <f t="shared" ca="1" si="38"/>
        <v>#DIV/0!</v>
      </c>
      <c r="T20" s="21">
        <f ca="1">終値履歴!E20</f>
        <v>0</v>
      </c>
      <c r="U20" s="109" t="e">
        <f t="shared" ca="1" si="39"/>
        <v>#DIV/0!</v>
      </c>
      <c r="W20" s="21">
        <f ca="1">終値履歴!F20</f>
        <v>0</v>
      </c>
      <c r="X20" s="109" t="e">
        <f t="shared" ca="1" si="40"/>
        <v>#DIV/0!</v>
      </c>
    </row>
    <row r="21" spans="2:24" x14ac:dyDescent="0.25">
      <c r="B21" s="49" t="str">
        <f>IPO監視一覧!B18</f>
        <v>日本リビング保証</v>
      </c>
      <c r="C21" s="62">
        <f>株価一覧!H20</f>
        <v>0</v>
      </c>
      <c r="D21" s="15">
        <f ca="1">OFFSET(終値履歴!A21,0,COUNTA(終値履歴!G21:'終値履歴'!XFD21)+2,1,-1)</f>
        <v>0</v>
      </c>
      <c r="E21" s="15">
        <f ca="1">OFFSET(終値履歴!A21,0,COUNTA(終値履歴!G21:'終値履歴'!XFD21)+3,1,-1)</f>
        <v>0</v>
      </c>
      <c r="F21" s="15">
        <f ca="1">OFFSET(終値履歴!A21,0,COUNTA(終値履歴!G21:'終値履歴'!XFD21)+4,1,-1)</f>
        <v>0</v>
      </c>
      <c r="G21" s="15">
        <f ca="1">OFFSET(終値履歴!A21,0,COUNTA(終値履歴!G21:'終値履歴'!XFD21)+5,1,-1)</f>
        <v>0</v>
      </c>
      <c r="I21" s="60" t="e">
        <f t="shared" ca="1" si="31"/>
        <v>#DIV/0!</v>
      </c>
      <c r="J21" s="60" t="e">
        <f t="shared" ca="1" si="32"/>
        <v>#DIV/0!</v>
      </c>
      <c r="K21" s="60" t="e">
        <f t="shared" ca="1" si="33"/>
        <v>#DIV/0!</v>
      </c>
      <c r="M21" s="60" t="e">
        <f t="shared" ca="1" si="34"/>
        <v>#DIV/0!</v>
      </c>
      <c r="N21" s="60" t="e">
        <f t="shared" ca="1" si="35"/>
        <v>#DIV/0!</v>
      </c>
      <c r="P21" s="57">
        <f t="shared" ca="1" si="36"/>
        <v>0</v>
      </c>
      <c r="Q21" s="12" t="str">
        <f t="shared" ca="1" si="37"/>
        <v>割安</v>
      </c>
      <c r="R21" s="21">
        <f ca="1">終値履歴!D21</f>
        <v>0</v>
      </c>
      <c r="S21" s="109" t="e">
        <f t="shared" ca="1" si="38"/>
        <v>#DIV/0!</v>
      </c>
      <c r="T21" s="21">
        <f ca="1">終値履歴!E21</f>
        <v>0</v>
      </c>
      <c r="U21" s="109" t="e">
        <f t="shared" ca="1" si="39"/>
        <v>#DIV/0!</v>
      </c>
      <c r="W21" s="21">
        <f ca="1">終値履歴!F21</f>
        <v>0</v>
      </c>
      <c r="X21" s="109" t="e">
        <f t="shared" ca="1" si="40"/>
        <v>#DIV/0!</v>
      </c>
    </row>
    <row r="22" spans="2:24" x14ac:dyDescent="0.25">
      <c r="B22" s="49" t="str">
        <f>IPO監視一覧!B19</f>
        <v>ブティックス</v>
      </c>
      <c r="C22" s="62">
        <f>株価一覧!H21</f>
        <v>0</v>
      </c>
      <c r="D22" s="15">
        <f ca="1">OFFSET(終値履歴!A22,0,COUNTA(終値履歴!G22:'終値履歴'!XFD22)+2,1,-1)</f>
        <v>0</v>
      </c>
      <c r="E22" s="15">
        <f ca="1">OFFSET(終値履歴!A22,0,COUNTA(終値履歴!G22:'終値履歴'!XFD22)+3,1,-1)</f>
        <v>0</v>
      </c>
      <c r="F22" s="15">
        <f ca="1">OFFSET(終値履歴!A22,0,COUNTA(終値履歴!G22:'終値履歴'!XFD22)+4,1,-1)</f>
        <v>0</v>
      </c>
      <c r="G22" s="15">
        <f ca="1">OFFSET(終値履歴!A22,0,COUNTA(終値履歴!G22:'終値履歴'!XFD22)+5,1,-1)</f>
        <v>0</v>
      </c>
      <c r="I22" s="60" t="e">
        <f t="shared" ca="1" si="31"/>
        <v>#DIV/0!</v>
      </c>
      <c r="J22" s="60" t="e">
        <f t="shared" ca="1" si="32"/>
        <v>#DIV/0!</v>
      </c>
      <c r="K22" s="60" t="e">
        <f t="shared" ca="1" si="33"/>
        <v>#DIV/0!</v>
      </c>
      <c r="M22" s="60" t="e">
        <f t="shared" ca="1" si="34"/>
        <v>#DIV/0!</v>
      </c>
      <c r="N22" s="60" t="e">
        <f t="shared" ca="1" si="35"/>
        <v>#DIV/0!</v>
      </c>
      <c r="P22" s="57">
        <f t="shared" ca="1" si="36"/>
        <v>0</v>
      </c>
      <c r="Q22" s="12" t="str">
        <f t="shared" ca="1" si="37"/>
        <v>割安</v>
      </c>
      <c r="R22" s="21">
        <f ca="1">終値履歴!D22</f>
        <v>0</v>
      </c>
      <c r="S22" s="109" t="e">
        <f t="shared" ca="1" si="38"/>
        <v>#DIV/0!</v>
      </c>
      <c r="T22" s="21">
        <f ca="1">終値履歴!E22</f>
        <v>0</v>
      </c>
      <c r="U22" s="109" t="e">
        <f t="shared" ca="1" si="39"/>
        <v>#DIV/0!</v>
      </c>
      <c r="W22" s="21">
        <f ca="1">終値履歴!F22</f>
        <v>0</v>
      </c>
      <c r="X22" s="109" t="e">
        <f t="shared" ca="1" si="40"/>
        <v>#DIV/0!</v>
      </c>
    </row>
    <row r="23" spans="2:24" x14ac:dyDescent="0.25">
      <c r="B23" s="49" t="str">
        <f>IPO監視一覧!B20</f>
        <v>ビープラッツ</v>
      </c>
      <c r="C23" s="62">
        <f>株価一覧!H22</f>
        <v>0</v>
      </c>
      <c r="D23" s="15">
        <f ca="1">OFFSET(終値履歴!A23,0,COUNTA(終値履歴!G23:'終値履歴'!XFD23)+2,1,-1)</f>
        <v>0</v>
      </c>
      <c r="E23" s="15">
        <f ca="1">OFFSET(終値履歴!A23,0,COUNTA(終値履歴!G23:'終値履歴'!XFD23)+3,1,-1)</f>
        <v>0</v>
      </c>
      <c r="F23" s="15">
        <f ca="1">OFFSET(終値履歴!A23,0,COUNTA(終値履歴!G23:'終値履歴'!XFD23)+4,1,-1)</f>
        <v>0</v>
      </c>
      <c r="G23" s="15">
        <f ca="1">OFFSET(終値履歴!A23,0,COUNTA(終値履歴!G23:'終値履歴'!XFD23)+5,1,-1)</f>
        <v>0</v>
      </c>
      <c r="I23" s="60" t="e">
        <f t="shared" ca="1" si="31"/>
        <v>#DIV/0!</v>
      </c>
      <c r="J23" s="60" t="e">
        <f t="shared" ca="1" si="32"/>
        <v>#DIV/0!</v>
      </c>
      <c r="K23" s="60" t="e">
        <f t="shared" ca="1" si="33"/>
        <v>#DIV/0!</v>
      </c>
      <c r="M23" s="60" t="e">
        <f t="shared" ca="1" si="34"/>
        <v>#DIV/0!</v>
      </c>
      <c r="N23" s="60" t="e">
        <f t="shared" ca="1" si="35"/>
        <v>#DIV/0!</v>
      </c>
      <c r="P23" s="57">
        <f t="shared" ca="1" si="36"/>
        <v>0</v>
      </c>
      <c r="Q23" s="12" t="str">
        <f t="shared" ca="1" si="37"/>
        <v>割安</v>
      </c>
      <c r="R23" s="21">
        <f ca="1">終値履歴!D23</f>
        <v>0</v>
      </c>
      <c r="S23" s="109" t="e">
        <f t="shared" ca="1" si="38"/>
        <v>#DIV/0!</v>
      </c>
      <c r="T23" s="21">
        <f ca="1">終値履歴!E23</f>
        <v>0</v>
      </c>
      <c r="U23" s="109" t="e">
        <f t="shared" ca="1" si="39"/>
        <v>#DIV/0!</v>
      </c>
      <c r="W23" s="21">
        <f ca="1">終値履歴!F23</f>
        <v>0</v>
      </c>
      <c r="X23" s="109" t="e">
        <f t="shared" ca="1" si="40"/>
        <v>#DIV/0!</v>
      </c>
    </row>
    <row r="24" spans="2:24" x14ac:dyDescent="0.25">
      <c r="B24" s="49">
        <f>IPO監視一覧!B21</f>
        <v>0</v>
      </c>
      <c r="C24" s="62">
        <f>株価一覧!H23</f>
        <v>0</v>
      </c>
      <c r="D24" s="15">
        <f ca="1">OFFSET(終値履歴!A24,0,COUNTA(終値履歴!G24:'終値履歴'!XFD24)+2,1,-1)</f>
        <v>0</v>
      </c>
      <c r="E24" s="15">
        <f ca="1">OFFSET(終値履歴!A24,0,COUNTA(終値履歴!G24:'終値履歴'!XFD24)+3,1,-1)</f>
        <v>0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0</v>
      </c>
      <c r="I24" s="60" t="e">
        <f t="shared" ca="1" si="31"/>
        <v>#DIV/0!</v>
      </c>
      <c r="J24" s="60" t="e">
        <f t="shared" ca="1" si="32"/>
        <v>#DIV/0!</v>
      </c>
      <c r="K24" s="60" t="e">
        <f t="shared" ca="1" si="33"/>
        <v>#DIV/0!</v>
      </c>
      <c r="M24" s="60" t="e">
        <f t="shared" ca="1" si="34"/>
        <v>#DIV/0!</v>
      </c>
      <c r="N24" s="60" t="e">
        <f t="shared" ca="1" si="35"/>
        <v>#DIV/0!</v>
      </c>
      <c r="P24" s="57">
        <f t="shared" ca="1" si="36"/>
        <v>0</v>
      </c>
      <c r="Q24" s="12" t="str">
        <f t="shared" ca="1" si="37"/>
        <v>割安</v>
      </c>
      <c r="R24" s="21">
        <f ca="1">終値履歴!D24</f>
        <v>0</v>
      </c>
      <c r="S24" s="109" t="e">
        <f t="shared" ca="1" si="38"/>
        <v>#DIV/0!</v>
      </c>
      <c r="T24" s="21">
        <f ca="1">終値履歴!E24</f>
        <v>0</v>
      </c>
      <c r="U24" s="109" t="e">
        <f t="shared" ca="1" si="39"/>
        <v>#DIV/0!</v>
      </c>
      <c r="W24" s="21">
        <f ca="1">終値履歴!F24</f>
        <v>0</v>
      </c>
      <c r="X24" s="109" t="e">
        <f t="shared" ca="1" si="40"/>
        <v>#DIV/0!</v>
      </c>
    </row>
    <row r="25" spans="2:24" x14ac:dyDescent="0.25">
      <c r="B25" s="49">
        <f>IPO監視一覧!B22</f>
        <v>0</v>
      </c>
      <c r="C25" s="62">
        <f>株価一覧!H24</f>
        <v>0</v>
      </c>
      <c r="D25" s="15">
        <f ca="1">OFFSET(終値履歴!A25,0,COUNTA(終値履歴!G25:'終値履歴'!XFD25)+2,1,-1)</f>
        <v>0</v>
      </c>
      <c r="E25" s="15">
        <f ca="1">OFFSET(終値履歴!A25,0,COUNTA(終値履歴!G25:'終値履歴'!XFD25)+3,1,-1)</f>
        <v>0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0</v>
      </c>
      <c r="I25" s="60" t="e">
        <f t="shared" ca="1" si="31"/>
        <v>#DIV/0!</v>
      </c>
      <c r="J25" s="60" t="e">
        <f t="shared" ca="1" si="32"/>
        <v>#DIV/0!</v>
      </c>
      <c r="K25" s="60" t="e">
        <f t="shared" ca="1" si="33"/>
        <v>#DIV/0!</v>
      </c>
      <c r="M25" s="60" t="e">
        <f t="shared" ca="1" si="34"/>
        <v>#DIV/0!</v>
      </c>
      <c r="N25" s="60" t="e">
        <f t="shared" ca="1" si="35"/>
        <v>#DIV/0!</v>
      </c>
      <c r="P25" s="57">
        <f t="shared" ca="1" si="36"/>
        <v>0</v>
      </c>
      <c r="Q25" s="12" t="str">
        <f t="shared" ca="1" si="37"/>
        <v>割安</v>
      </c>
      <c r="R25" s="21">
        <f ca="1">終値履歴!D25</f>
        <v>0</v>
      </c>
      <c r="S25" s="109" t="e">
        <f t="shared" ca="1" si="38"/>
        <v>#DIV/0!</v>
      </c>
      <c r="T25" s="21">
        <f ca="1">終値履歴!E25</f>
        <v>0</v>
      </c>
      <c r="U25" s="109" t="e">
        <f t="shared" ca="1" si="39"/>
        <v>#DIV/0!</v>
      </c>
      <c r="W25" s="21">
        <f ca="1">終値履歴!F25</f>
        <v>0</v>
      </c>
      <c r="X25" s="109" t="e">
        <f t="shared" ca="1" si="40"/>
        <v>#DIV/0!</v>
      </c>
    </row>
  </sheetData>
  <mergeCells count="2">
    <mergeCell ref="I1:K1"/>
    <mergeCell ref="M1:N1"/>
  </mergeCells>
  <phoneticPr fontId="2"/>
  <conditionalFormatting sqref="O2">
    <cfRule type="cellIs" dxfId="35" priority="140" operator="lessThan">
      <formula>-0.1</formula>
    </cfRule>
  </conditionalFormatting>
  <conditionalFormatting sqref="O2">
    <cfRule type="cellIs" dxfId="34" priority="139" operator="lessThan">
      <formula>-0.1</formula>
    </cfRule>
  </conditionalFormatting>
  <conditionalFormatting sqref="I6:N1048576">
    <cfRule type="cellIs" dxfId="33" priority="138" operator="lessThan">
      <formula>-0.07</formula>
    </cfRule>
  </conditionalFormatting>
  <conditionalFormatting sqref="I6:N1048576">
    <cfRule type="cellIs" dxfId="32" priority="137" operator="greaterThan">
      <formula>0</formula>
    </cfRule>
  </conditionalFormatting>
  <conditionalFormatting sqref="C2 C12:C1048576">
    <cfRule type="cellIs" dxfId="31" priority="135" operator="lessThan">
      <formula>100000</formula>
    </cfRule>
    <cfRule type="cellIs" dxfId="30" priority="136" operator="lessThan">
      <formula>1000000</formula>
    </cfRule>
  </conditionalFormatting>
  <conditionalFormatting sqref="P6:P1048576">
    <cfRule type="cellIs" dxfId="29" priority="134" operator="greaterThan">
      <formula>0</formula>
    </cfRule>
  </conditionalFormatting>
  <conditionalFormatting sqref="P1:P2 P6:P1048576">
    <cfRule type="cellIs" dxfId="28" priority="133" operator="lessThan">
      <formula>0</formula>
    </cfRule>
  </conditionalFormatting>
  <conditionalFormatting sqref="U1:U2 S12:S1048576 U6:U1048576">
    <cfRule type="cellIs" dxfId="27" priority="131" operator="greaterThan">
      <formula>0.04</formula>
    </cfRule>
    <cfRule type="cellIs" dxfId="26" priority="132" operator="lessThan">
      <formula>0</formula>
    </cfRule>
  </conditionalFormatting>
  <conditionalFormatting sqref="B6:B1048576">
    <cfRule type="expression" dxfId="25" priority="129">
      <formula>$U6&gt;=0.1</formula>
    </cfRule>
    <cfRule type="expression" dxfId="24" priority="130">
      <formula>$G6&gt;$T6</formula>
    </cfRule>
  </conditionalFormatting>
  <conditionalFormatting sqref="X6:X1048576">
    <cfRule type="cellIs" dxfId="23" priority="127" operator="greaterThan">
      <formula>0.1</formula>
    </cfRule>
  </conditionalFormatting>
  <conditionalFormatting sqref="T6:XFD11 B6:B11 H6:Q11 B12:XFD1048576">
    <cfRule type="expression" dxfId="22" priority="115">
      <formula>CELL("ROW")=ROW()</formula>
    </cfRule>
  </conditionalFormatting>
  <conditionalFormatting sqref="V1:V1048576 Q1:Q1048576 L1:L1048576 O1:O1048576 Y1:Y1048576 H1:H1048576 A1:A1048576">
    <cfRule type="expression" dxfId="21" priority="114">
      <formula>CELL("ROW")=ROW()</formula>
    </cfRule>
  </conditionalFormatting>
  <conditionalFormatting sqref="S1:S2 S6:S11">
    <cfRule type="cellIs" dxfId="20" priority="112" operator="greaterThan">
      <formula>0.04</formula>
    </cfRule>
    <cfRule type="cellIs" dxfId="19" priority="113" operator="lessThan">
      <formula>0</formula>
    </cfRule>
  </conditionalFormatting>
  <conditionalFormatting sqref="R6:S11">
    <cfRule type="expression" dxfId="18" priority="109">
      <formula>CELL("ROW")=ROW()</formula>
    </cfRule>
  </conditionalFormatting>
  <conditionalFormatting sqref="Q1:Q2 Q6:Q1048576">
    <cfRule type="cellIs" dxfId="17" priority="107" operator="equal">
      <formula>"割安"</formula>
    </cfRule>
    <cfRule type="cellIs" dxfId="16" priority="108" operator="equal">
      <formula>"普通"</formula>
    </cfRule>
  </conditionalFormatting>
  <conditionalFormatting sqref="I3:N5">
    <cfRule type="cellIs" dxfId="15" priority="19" operator="lessThan">
      <formula>-0.07</formula>
    </cfRule>
  </conditionalFormatting>
  <conditionalFormatting sqref="I3:N5">
    <cfRule type="cellIs" dxfId="14" priority="18" operator="greaterThan">
      <formula>0</formula>
    </cfRule>
  </conditionalFormatting>
  <conditionalFormatting sqref="P3:P5">
    <cfRule type="cellIs" dxfId="13" priority="15" operator="greaterThan">
      <formula>0</formula>
    </cfRule>
  </conditionalFormatting>
  <conditionalFormatting sqref="P3:P5">
    <cfRule type="cellIs" dxfId="12" priority="14" operator="lessThan">
      <formula>0</formula>
    </cfRule>
  </conditionalFormatting>
  <conditionalFormatting sqref="S3:S5 U3:U5">
    <cfRule type="cellIs" dxfId="11" priority="12" operator="greaterThan">
      <formula>0.04</formula>
    </cfRule>
    <cfRule type="cellIs" dxfId="10" priority="13" operator="lessThan">
      <formula>0</formula>
    </cfRule>
  </conditionalFormatting>
  <conditionalFormatting sqref="X3:X5">
    <cfRule type="cellIs" dxfId="9" priority="9" operator="greaterThan">
      <formula>0.1</formula>
    </cfRule>
  </conditionalFormatting>
  <conditionalFormatting sqref="D3:XFD5 D6:G11">
    <cfRule type="expression" dxfId="8" priority="8">
      <formula>CELL("ROW")=ROW()</formula>
    </cfRule>
  </conditionalFormatting>
  <conditionalFormatting sqref="V3:V5 Q3:Q5 L3:L5 O3:O5 Y3:Y5 H3:H5 A3:A5">
    <cfRule type="expression" dxfId="7" priority="7">
      <formula>CELL("ROW")=ROW()</formula>
    </cfRule>
  </conditionalFormatting>
  <conditionalFormatting sqref="Q3:Q5">
    <cfRule type="cellIs" dxfId="6" priority="5" operator="equal">
      <formula>"割安"</formula>
    </cfRule>
    <cfRule type="cellIs" dxfId="5" priority="6" operator="equal">
      <formula>"普通"</formula>
    </cfRule>
  </conditionalFormatting>
  <conditionalFormatting sqref="B3:B5">
    <cfRule type="expression" dxfId="4" priority="4">
      <formula>CELL("ROW")=ROW()</formula>
    </cfRule>
  </conditionalFormatting>
  <conditionalFormatting sqref="C3:C11">
    <cfRule type="cellIs" dxfId="3" priority="2" operator="lessThan">
      <formula>100000</formula>
    </cfRule>
    <cfRule type="cellIs" dxfId="2" priority="3" operator="lessThan">
      <formula>1000000</formula>
    </cfRule>
  </conditionalFormatting>
  <conditionalFormatting sqref="C3:C11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Q33"/>
  <sheetViews>
    <sheetView zoomScale="70" zoomScaleNormal="70" workbookViewId="0">
      <pane xSplit="6" ySplit="2" topLeftCell="G3" activePane="bottomRight" state="frozen"/>
      <selection activeCell="F62" sqref="F62"/>
      <selection pane="topRight" activeCell="F62" sqref="F62"/>
      <selection pane="bottomLeft" activeCell="F62" sqref="F62"/>
      <selection pane="bottomRight" activeCell="G40" sqref="G40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3" customWidth="1"/>
    <col min="5" max="6" width="13.77734375" style="113" customWidth="1"/>
    <col min="7" max="8" width="13" style="183" bestFit="1" customWidth="1"/>
    <col min="9" max="17" width="11.6640625" style="183" bestFit="1" customWidth="1"/>
    <col min="18" max="16384" width="8" style="183"/>
  </cols>
  <sheetData>
    <row r="1" spans="1:17" s="186" customFormat="1" x14ac:dyDescent="0.25">
      <c r="A1" s="185" t="s">
        <v>100</v>
      </c>
      <c r="B1" s="186" t="s">
        <v>101</v>
      </c>
      <c r="C1" s="187"/>
      <c r="D1" s="188"/>
      <c r="E1" s="187"/>
      <c r="F1" s="187"/>
    </row>
    <row r="2" spans="1:17" s="190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125</v>
      </c>
      <c r="E2" s="93" t="s">
        <v>122</v>
      </c>
      <c r="F2" s="93" t="s">
        <v>123</v>
      </c>
      <c r="G2" s="189">
        <v>43145</v>
      </c>
      <c r="H2" s="189">
        <v>43150</v>
      </c>
      <c r="I2" s="189">
        <v>43151</v>
      </c>
      <c r="J2" s="189">
        <v>43152</v>
      </c>
      <c r="K2" s="189">
        <v>43153</v>
      </c>
      <c r="L2" s="189">
        <v>43154</v>
      </c>
      <c r="M2" s="189">
        <v>43157</v>
      </c>
      <c r="N2" s="189">
        <v>43158</v>
      </c>
      <c r="O2" s="189">
        <v>43159</v>
      </c>
      <c r="P2" s="189">
        <v>43160</v>
      </c>
      <c r="Q2" s="189"/>
    </row>
    <row r="3" spans="1:17" s="184" customFormat="1" ht="16.5" thickTop="1" x14ac:dyDescent="0.25">
      <c r="A3" s="43" t="s">
        <v>130</v>
      </c>
      <c r="B3" s="43" t="str">
        <f>セカンダリ投資分析!B3</f>
        <v>リミックスポイント</v>
      </c>
      <c r="C3" s="182">
        <f>株価一覧!E2</f>
        <v>1044</v>
      </c>
      <c r="D3" s="182">
        <f t="shared" ref="D3:D11" ca="1" si="0">AVERAGE(OFFSET(A3,0,COUNTA(G3:XFD3)+5,1,-5))</f>
        <v>1048.2</v>
      </c>
      <c r="E3" s="182">
        <f ca="1">AVERAGE(OFFSET(A3,0,COUNTA(G3:XFD3)+5,1,-10))</f>
        <v>1031.2</v>
      </c>
      <c r="F3" s="182">
        <f t="shared" ref="F3:F11" ca="1" si="1">MIN(OFFSET(B3,0,COUNTA(G3:XFD3)+5,1,-10))</f>
        <v>1008</v>
      </c>
      <c r="G3" s="184">
        <v>875</v>
      </c>
      <c r="H3" s="184">
        <v>1042</v>
      </c>
      <c r="I3" s="184">
        <v>1062</v>
      </c>
      <c r="J3" s="184">
        <v>1008</v>
      </c>
      <c r="K3" s="184">
        <v>1084</v>
      </c>
      <c r="L3" s="184">
        <v>1071</v>
      </c>
      <c r="M3" s="184">
        <v>1052</v>
      </c>
      <c r="N3" s="184">
        <v>1015</v>
      </c>
      <c r="O3" s="184">
        <v>1059</v>
      </c>
      <c r="P3" s="184">
        <v>1044</v>
      </c>
    </row>
    <row r="4" spans="1:17" x14ac:dyDescent="0.25">
      <c r="A4" s="49" t="s">
        <v>130</v>
      </c>
      <c r="B4" s="49" t="str">
        <f>セカンダリ投資分析!B5</f>
        <v>トレイダーズHD</v>
      </c>
      <c r="C4" s="182">
        <f>株価一覧!E3</f>
        <v>124</v>
      </c>
      <c r="D4" s="105">
        <f t="shared" ca="1" si="0"/>
        <v>125.2</v>
      </c>
      <c r="E4" s="112">
        <f t="shared" ref="E4:E11" ca="1" si="2">AVERAGE(OFFSET(A4,0,COUNTA(G4:XFD4)+5,1,-10))</f>
        <v>126.7</v>
      </c>
      <c r="F4" s="112">
        <f t="shared" ca="1" si="1"/>
        <v>123</v>
      </c>
      <c r="G4" s="183">
        <v>125</v>
      </c>
      <c r="H4" s="183">
        <v>132</v>
      </c>
      <c r="I4" s="183">
        <v>128</v>
      </c>
      <c r="J4" s="183">
        <v>129</v>
      </c>
      <c r="K4" s="183">
        <v>127</v>
      </c>
      <c r="L4" s="183">
        <v>127</v>
      </c>
      <c r="M4" s="183">
        <v>126</v>
      </c>
      <c r="N4" s="183">
        <v>123</v>
      </c>
      <c r="O4" s="183">
        <v>126</v>
      </c>
      <c r="P4" s="183">
        <v>124</v>
      </c>
    </row>
    <row r="5" spans="1:17" x14ac:dyDescent="0.25">
      <c r="A5" s="49" t="s">
        <v>130</v>
      </c>
      <c r="B5" s="49" t="str">
        <f>セカンダリ投資分析!B6</f>
        <v>ソレイジア・ファーマ</v>
      </c>
      <c r="C5" s="182">
        <f>株価一覧!E4</f>
        <v>312</v>
      </c>
      <c r="D5" s="105">
        <f ca="1">AVERAGE(OFFSET(A5,0,COUNTA(G5:XFD5)+5,1,-5))</f>
        <v>310.60000000000002</v>
      </c>
      <c r="E5" s="112">
        <f t="shared" ca="1" si="2"/>
        <v>310.10000000000002</v>
      </c>
      <c r="F5" s="112">
        <f t="shared" ca="1" si="1"/>
        <v>309</v>
      </c>
      <c r="G5" s="183">
        <v>290</v>
      </c>
      <c r="H5" s="183">
        <v>317</v>
      </c>
      <c r="I5" s="183">
        <v>313</v>
      </c>
      <c r="J5" s="183">
        <v>319</v>
      </c>
      <c r="K5" s="183">
        <v>309</v>
      </c>
      <c r="L5" s="183">
        <v>309</v>
      </c>
      <c r="M5" s="183">
        <v>309</v>
      </c>
      <c r="N5" s="183">
        <v>309</v>
      </c>
      <c r="O5" s="183">
        <v>314</v>
      </c>
      <c r="P5" s="183">
        <v>312</v>
      </c>
    </row>
    <row r="6" spans="1:17" s="184" customFormat="1" x14ac:dyDescent="0.25">
      <c r="A6" s="49" t="str">
        <f>IPO監視一覧!H3</f>
        <v>A</v>
      </c>
      <c r="B6" s="43" t="str">
        <f>IPO監視一覧!B3</f>
        <v>Ｍマート</v>
      </c>
      <c r="C6" s="182">
        <f>株価一覧!E5</f>
        <v>5850</v>
      </c>
      <c r="D6" s="112">
        <f ca="1">AVERAGE(OFFSET(A6,0,COUNTA(G6:XFD6)+5,1,-5))</f>
        <v>4740</v>
      </c>
      <c r="E6" s="112">
        <f t="shared" ca="1" si="2"/>
        <v>2370</v>
      </c>
      <c r="F6" s="112">
        <f t="shared" ca="1" si="1"/>
        <v>0</v>
      </c>
      <c r="G6" s="184">
        <v>0</v>
      </c>
      <c r="H6" s="184">
        <v>0</v>
      </c>
      <c r="I6" s="184">
        <v>0</v>
      </c>
      <c r="J6" s="184">
        <v>0</v>
      </c>
      <c r="K6" s="184">
        <v>0</v>
      </c>
      <c r="L6" s="184">
        <v>0</v>
      </c>
      <c r="M6" s="184">
        <v>6200</v>
      </c>
      <c r="N6" s="184">
        <v>5860</v>
      </c>
      <c r="O6" s="184">
        <v>5790</v>
      </c>
      <c r="P6" s="184">
        <v>5850</v>
      </c>
    </row>
    <row r="7" spans="1:17" x14ac:dyDescent="0.25">
      <c r="A7" s="49" t="str">
        <f>IPO監視一覧!H4</f>
        <v>A</v>
      </c>
      <c r="B7" s="49" t="str">
        <f>IPO監視一覧!B4</f>
        <v>ジェイテックコーポレーション</v>
      </c>
      <c r="C7" s="182">
        <f>株価一覧!E6</f>
        <v>11190</v>
      </c>
      <c r="D7" s="105">
        <f t="shared" ca="1" si="0"/>
        <v>2238</v>
      </c>
      <c r="E7" s="112">
        <f t="shared" ca="1" si="2"/>
        <v>1119</v>
      </c>
      <c r="F7" s="112">
        <f t="shared" ca="1" si="1"/>
        <v>0</v>
      </c>
      <c r="G7" s="183">
        <v>0</v>
      </c>
      <c r="H7" s="183">
        <v>0</v>
      </c>
      <c r="I7" s="183">
        <v>0</v>
      </c>
      <c r="J7" s="183">
        <v>0</v>
      </c>
      <c r="K7" s="183">
        <v>0</v>
      </c>
      <c r="L7" s="183">
        <v>0</v>
      </c>
      <c r="M7" s="183">
        <v>0</v>
      </c>
      <c r="N7" s="183">
        <v>0</v>
      </c>
      <c r="O7" s="183">
        <v>0</v>
      </c>
      <c r="P7" s="183">
        <v>11190</v>
      </c>
    </row>
    <row r="8" spans="1:17" x14ac:dyDescent="0.25">
      <c r="A8" s="49" t="str">
        <f>IPO監視一覧!H5</f>
        <v>B</v>
      </c>
      <c r="B8" s="49" t="str">
        <f>IPO監視一覧!B5</f>
        <v>ＳＥＲＩＯＨＤ</v>
      </c>
      <c r="C8" s="182">
        <f>株価一覧!E7</f>
        <v>0</v>
      </c>
      <c r="D8" s="105">
        <f t="shared" ca="1" si="0"/>
        <v>0</v>
      </c>
      <c r="E8" s="112">
        <f t="shared" ca="1" si="2"/>
        <v>0</v>
      </c>
      <c r="F8" s="112">
        <f t="shared" ca="1" si="1"/>
        <v>0</v>
      </c>
      <c r="G8" s="183">
        <v>0</v>
      </c>
      <c r="H8" s="183">
        <v>0</v>
      </c>
      <c r="I8" s="183">
        <v>0</v>
      </c>
      <c r="J8" s="183">
        <v>0</v>
      </c>
      <c r="K8" s="183">
        <v>0</v>
      </c>
      <c r="L8" s="183">
        <v>0</v>
      </c>
      <c r="M8" s="183">
        <v>0</v>
      </c>
      <c r="N8" s="183">
        <v>0</v>
      </c>
      <c r="O8" s="183">
        <v>0</v>
      </c>
      <c r="P8" s="183">
        <v>0</v>
      </c>
    </row>
    <row r="9" spans="1:17" x14ac:dyDescent="0.25">
      <c r="A9" s="49" t="str">
        <f>IPO監視一覧!H6</f>
        <v>C</v>
      </c>
      <c r="B9" s="49" t="str">
        <f>IPO監視一覧!B6</f>
        <v>神戸天然物化学</v>
      </c>
      <c r="C9" s="182">
        <f>株価一覧!E8</f>
        <v>0</v>
      </c>
      <c r="D9" s="105">
        <f t="shared" ca="1" si="0"/>
        <v>0</v>
      </c>
      <c r="E9" s="112">
        <f t="shared" ca="1" si="2"/>
        <v>0</v>
      </c>
      <c r="F9" s="112">
        <f t="shared" ca="1" si="1"/>
        <v>0</v>
      </c>
      <c r="G9" s="183">
        <v>0</v>
      </c>
      <c r="H9" s="183">
        <v>0</v>
      </c>
      <c r="I9" s="183">
        <v>0</v>
      </c>
      <c r="J9" s="183">
        <v>0</v>
      </c>
      <c r="K9" s="183">
        <v>0</v>
      </c>
      <c r="L9" s="183">
        <v>0</v>
      </c>
      <c r="M9" s="183">
        <v>0</v>
      </c>
      <c r="N9" s="183">
        <v>0</v>
      </c>
      <c r="O9" s="183">
        <v>0</v>
      </c>
      <c r="P9" s="183">
        <v>0</v>
      </c>
    </row>
    <row r="10" spans="1:17" x14ac:dyDescent="0.25">
      <c r="A10" s="49" t="str">
        <f>IPO監視一覧!H7</f>
        <v>D</v>
      </c>
      <c r="B10" s="54" t="str">
        <f>IPO監視一覧!B7</f>
        <v>日総工産</v>
      </c>
      <c r="C10" s="182">
        <f>株価一覧!E9</f>
        <v>0</v>
      </c>
      <c r="D10" s="105">
        <f t="shared" ca="1" si="0"/>
        <v>0</v>
      </c>
      <c r="E10" s="112">
        <f t="shared" ca="1" si="2"/>
        <v>0</v>
      </c>
      <c r="F10" s="112">
        <f t="shared" ca="1" si="1"/>
        <v>0</v>
      </c>
      <c r="G10" s="183">
        <v>0</v>
      </c>
      <c r="H10" s="183">
        <v>0</v>
      </c>
      <c r="I10" s="183">
        <v>0</v>
      </c>
      <c r="J10" s="183">
        <v>0</v>
      </c>
      <c r="K10" s="183">
        <v>0</v>
      </c>
      <c r="L10" s="183">
        <v>0</v>
      </c>
      <c r="M10" s="183">
        <v>0</v>
      </c>
      <c r="N10" s="183">
        <v>0</v>
      </c>
      <c r="O10" s="183">
        <v>0</v>
      </c>
      <c r="P10" s="183">
        <v>0</v>
      </c>
    </row>
    <row r="11" spans="1:17" x14ac:dyDescent="0.25">
      <c r="A11" s="49" t="str">
        <f>IPO監視一覧!H8</f>
        <v>C</v>
      </c>
      <c r="B11" s="49" t="str">
        <f>IPO監視一覧!B8</f>
        <v>フェイスネットワーク</v>
      </c>
      <c r="C11" s="182">
        <f>株価一覧!E10</f>
        <v>0</v>
      </c>
      <c r="D11" s="105">
        <f t="shared" ca="1" si="0"/>
        <v>0</v>
      </c>
      <c r="E11" s="112">
        <f t="shared" ca="1" si="2"/>
        <v>0</v>
      </c>
      <c r="F11" s="112">
        <f t="shared" ca="1" si="1"/>
        <v>0</v>
      </c>
      <c r="G11" s="183">
        <v>0</v>
      </c>
      <c r="H11" s="183">
        <v>0</v>
      </c>
      <c r="I11" s="183">
        <v>0</v>
      </c>
      <c r="J11" s="183">
        <v>0</v>
      </c>
      <c r="K11" s="183">
        <v>0</v>
      </c>
      <c r="L11" s="183">
        <v>0</v>
      </c>
      <c r="M11" s="183">
        <v>0</v>
      </c>
      <c r="N11" s="183">
        <v>0</v>
      </c>
      <c r="O11" s="183">
        <v>0</v>
      </c>
      <c r="P11" s="183">
        <v>0</v>
      </c>
    </row>
    <row r="12" spans="1:17" x14ac:dyDescent="0.25">
      <c r="A12" s="49" t="str">
        <f>IPO監視一覧!H9</f>
        <v>C</v>
      </c>
      <c r="B12" s="49" t="str">
        <f>IPO監視一覧!B9</f>
        <v>共和コーポレーション</v>
      </c>
      <c r="C12" s="182">
        <f>株価一覧!E11</f>
        <v>0</v>
      </c>
      <c r="D12" s="105">
        <f t="shared" ref="D12" ca="1" si="3">AVERAGE(OFFSET(A12,0,COUNTA(G12:XFD12)+5,1,-5))</f>
        <v>0</v>
      </c>
      <c r="E12" s="112">
        <f t="shared" ref="E12" ca="1" si="4">AVERAGE(OFFSET(A12,0,COUNTA(G12:XFD12)+5,1,-10))</f>
        <v>0</v>
      </c>
      <c r="F12" s="112">
        <f t="shared" ref="F12" ca="1" si="5">MIN(OFFSET(B12,0,COUNTA(G12:XFD12)+5,1,-10))</f>
        <v>0</v>
      </c>
      <c r="G12" s="183">
        <v>0</v>
      </c>
      <c r="H12" s="183">
        <v>0</v>
      </c>
      <c r="I12" s="183">
        <v>0</v>
      </c>
      <c r="J12" s="183">
        <v>0</v>
      </c>
      <c r="K12" s="183">
        <v>0</v>
      </c>
      <c r="L12" s="183">
        <v>0</v>
      </c>
      <c r="M12" s="183">
        <v>0</v>
      </c>
      <c r="N12" s="183">
        <v>0</v>
      </c>
      <c r="O12" s="183">
        <v>0</v>
      </c>
      <c r="P12" s="183">
        <v>0</v>
      </c>
    </row>
    <row r="13" spans="1:17" x14ac:dyDescent="0.25">
      <c r="A13" s="49" t="str">
        <f>IPO監視一覧!H10</f>
        <v>D</v>
      </c>
      <c r="B13" s="49" t="str">
        <f>IPO監視一覧!B10</f>
        <v>信和</v>
      </c>
      <c r="C13" s="182">
        <f>株価一覧!E12</f>
        <v>0</v>
      </c>
      <c r="D13" s="105">
        <f t="shared" ref="D13:D33" ca="1" si="6">AVERAGE(OFFSET(A13,0,COUNTA(G13:XFD13)+5,1,-5))</f>
        <v>0</v>
      </c>
      <c r="E13" s="112">
        <f t="shared" ref="E13:E33" ca="1" si="7">AVERAGE(OFFSET(A13,0,COUNTA(G13:XFD13)+5,1,-10))</f>
        <v>0</v>
      </c>
      <c r="F13" s="112">
        <f t="shared" ref="F13:F33" ca="1" si="8">MIN(OFFSET(B13,0,COUNTA(G13:XFD13)+5,1,-10))</f>
        <v>0</v>
      </c>
      <c r="G13" s="183">
        <v>0</v>
      </c>
      <c r="H13" s="183">
        <v>0</v>
      </c>
      <c r="I13" s="183">
        <v>0</v>
      </c>
      <c r="J13" s="183">
        <v>0</v>
      </c>
      <c r="K13" s="183">
        <v>0</v>
      </c>
      <c r="L13" s="183">
        <v>0</v>
      </c>
      <c r="M13" s="183">
        <v>0</v>
      </c>
      <c r="N13" s="183">
        <v>0</v>
      </c>
      <c r="O13" s="183">
        <v>0</v>
      </c>
      <c r="P13" s="183">
        <v>0</v>
      </c>
    </row>
    <row r="14" spans="1:17" x14ac:dyDescent="0.25">
      <c r="A14" s="49" t="str">
        <f>IPO監視一覧!H11</f>
        <v>D</v>
      </c>
      <c r="B14" s="49" t="str">
        <f>IPO監視一覧!B11</f>
        <v>ＳＯＵ</v>
      </c>
      <c r="C14" s="182">
        <f>株価一覧!E13</f>
        <v>0</v>
      </c>
      <c r="D14" s="105">
        <f t="shared" ca="1" si="6"/>
        <v>0</v>
      </c>
      <c r="E14" s="112">
        <f t="shared" ca="1" si="7"/>
        <v>0</v>
      </c>
      <c r="F14" s="112">
        <f t="shared" ca="1" si="8"/>
        <v>0</v>
      </c>
      <c r="G14" s="183">
        <v>0</v>
      </c>
      <c r="H14" s="183">
        <v>0</v>
      </c>
      <c r="I14" s="183">
        <v>0</v>
      </c>
      <c r="J14" s="183">
        <v>0</v>
      </c>
      <c r="K14" s="183">
        <v>0</v>
      </c>
      <c r="L14" s="183">
        <v>0</v>
      </c>
      <c r="M14" s="183">
        <v>0</v>
      </c>
      <c r="N14" s="183">
        <v>0</v>
      </c>
      <c r="O14" s="183">
        <v>0</v>
      </c>
      <c r="P14" s="183">
        <v>0</v>
      </c>
    </row>
    <row r="15" spans="1:17" x14ac:dyDescent="0.25">
      <c r="A15" s="49" t="str">
        <f>IPO監視一覧!H12</f>
        <v>D</v>
      </c>
      <c r="B15" s="49" t="str">
        <f>IPO監視一覧!B12</f>
        <v>キュービーネットHD</v>
      </c>
      <c r="C15" s="182">
        <f>株価一覧!E14</f>
        <v>0</v>
      </c>
      <c r="D15" s="105">
        <f t="shared" ca="1" si="6"/>
        <v>0</v>
      </c>
      <c r="E15" s="112">
        <f t="shared" ca="1" si="7"/>
        <v>0</v>
      </c>
      <c r="F15" s="112">
        <f t="shared" ca="1" si="8"/>
        <v>0</v>
      </c>
      <c r="G15" s="183">
        <v>0</v>
      </c>
      <c r="H15" s="183">
        <v>0</v>
      </c>
      <c r="I15" s="183">
        <v>0</v>
      </c>
      <c r="J15" s="183">
        <v>0</v>
      </c>
      <c r="K15" s="183">
        <v>0</v>
      </c>
      <c r="L15" s="183">
        <v>0</v>
      </c>
      <c r="M15" s="183">
        <v>0</v>
      </c>
      <c r="N15" s="183">
        <v>0</v>
      </c>
      <c r="O15" s="183">
        <v>0</v>
      </c>
      <c r="P15" s="183">
        <v>0</v>
      </c>
    </row>
    <row r="16" spans="1:17" x14ac:dyDescent="0.25">
      <c r="A16" s="49" t="str">
        <f>IPO監視一覧!H13</f>
        <v>B</v>
      </c>
      <c r="B16" s="49" t="str">
        <f>IPO監視一覧!B13</f>
        <v>ファイバーゲート</v>
      </c>
      <c r="C16" s="182">
        <f>株価一覧!E15</f>
        <v>0</v>
      </c>
      <c r="D16" s="105">
        <f t="shared" ca="1" si="6"/>
        <v>0</v>
      </c>
      <c r="E16" s="112">
        <f t="shared" ca="1" si="7"/>
        <v>0</v>
      </c>
      <c r="F16" s="112">
        <f t="shared" ca="1" si="8"/>
        <v>0</v>
      </c>
      <c r="G16" s="183">
        <v>0</v>
      </c>
      <c r="H16" s="183">
        <v>0</v>
      </c>
      <c r="I16" s="183">
        <v>0</v>
      </c>
      <c r="J16" s="183">
        <v>0</v>
      </c>
      <c r="K16" s="183">
        <v>0</v>
      </c>
      <c r="L16" s="183">
        <v>0</v>
      </c>
      <c r="M16" s="183">
        <v>0</v>
      </c>
      <c r="N16" s="183">
        <v>0</v>
      </c>
      <c r="O16" s="183">
        <v>0</v>
      </c>
      <c r="P16" s="183">
        <v>0</v>
      </c>
    </row>
    <row r="17" spans="1:16" x14ac:dyDescent="0.25">
      <c r="A17" s="49" t="str">
        <f>IPO監視一覧!H14</f>
        <v>B</v>
      </c>
      <c r="B17" s="49" t="str">
        <f>IPO監視一覧!B14</f>
        <v>ＲＰＡHD</v>
      </c>
      <c r="C17" s="182">
        <f>株価一覧!E16</f>
        <v>0</v>
      </c>
      <c r="D17" s="105">
        <f t="shared" ca="1" si="6"/>
        <v>0</v>
      </c>
      <c r="E17" s="112">
        <f t="shared" ca="1" si="7"/>
        <v>0</v>
      </c>
      <c r="F17" s="112">
        <f t="shared" ca="1" si="8"/>
        <v>0</v>
      </c>
      <c r="G17" s="183">
        <v>0</v>
      </c>
      <c r="H17" s="183">
        <v>0</v>
      </c>
      <c r="I17" s="183">
        <v>0</v>
      </c>
      <c r="J17" s="183">
        <v>0</v>
      </c>
      <c r="K17" s="183">
        <v>0</v>
      </c>
      <c r="L17" s="183">
        <v>0</v>
      </c>
      <c r="M17" s="183">
        <v>0</v>
      </c>
      <c r="N17" s="183">
        <v>0</v>
      </c>
      <c r="O17" s="183">
        <v>0</v>
      </c>
      <c r="P17" s="183">
        <v>0</v>
      </c>
    </row>
    <row r="18" spans="1:16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82">
        <f>株価一覧!E17</f>
        <v>0</v>
      </c>
      <c r="D18" s="105">
        <f t="shared" ca="1" si="6"/>
        <v>0</v>
      </c>
      <c r="E18" s="112">
        <f t="shared" ca="1" si="7"/>
        <v>0</v>
      </c>
      <c r="F18" s="112">
        <f t="shared" ca="1" si="8"/>
        <v>0</v>
      </c>
      <c r="G18" s="183">
        <v>0</v>
      </c>
      <c r="H18" s="183">
        <v>0</v>
      </c>
      <c r="I18" s="183">
        <v>0</v>
      </c>
      <c r="J18" s="183">
        <v>0</v>
      </c>
      <c r="K18" s="183">
        <v>0</v>
      </c>
      <c r="L18" s="183">
        <v>0</v>
      </c>
      <c r="M18" s="183">
        <v>0</v>
      </c>
      <c r="N18" s="183">
        <v>0</v>
      </c>
      <c r="O18" s="183">
        <v>0</v>
      </c>
      <c r="P18" s="183">
        <v>0</v>
      </c>
    </row>
    <row r="19" spans="1:16" x14ac:dyDescent="0.25">
      <c r="A19" s="49" t="str">
        <f>IPO監視一覧!H16</f>
        <v>B</v>
      </c>
      <c r="B19" s="49" t="str">
        <f>IPO監視一覧!B16</f>
        <v>アズ企画設計</v>
      </c>
      <c r="C19" s="182">
        <f>株価一覧!E18</f>
        <v>0</v>
      </c>
      <c r="D19" s="105">
        <f t="shared" ca="1" si="6"/>
        <v>0</v>
      </c>
      <c r="E19" s="112">
        <f t="shared" ca="1" si="7"/>
        <v>0</v>
      </c>
      <c r="F19" s="112">
        <f t="shared" ca="1" si="8"/>
        <v>0</v>
      </c>
      <c r="G19" s="183">
        <v>0</v>
      </c>
      <c r="H19" s="183">
        <v>0</v>
      </c>
      <c r="I19" s="183">
        <v>0</v>
      </c>
      <c r="J19" s="183">
        <v>0</v>
      </c>
      <c r="K19" s="183">
        <v>0</v>
      </c>
      <c r="L19" s="183">
        <v>0</v>
      </c>
      <c r="M19" s="183">
        <v>0</v>
      </c>
      <c r="N19" s="183">
        <v>0</v>
      </c>
      <c r="O19" s="183">
        <v>0</v>
      </c>
      <c r="P19" s="183">
        <v>0</v>
      </c>
    </row>
    <row r="20" spans="1:16" x14ac:dyDescent="0.25">
      <c r="A20" s="49" t="str">
        <f>IPO監視一覧!H17</f>
        <v>A</v>
      </c>
      <c r="B20" s="49" t="str">
        <f>IPO監視一覧!B17</f>
        <v>和心</v>
      </c>
      <c r="C20" s="182">
        <f>株価一覧!E19</f>
        <v>0</v>
      </c>
      <c r="D20" s="105">
        <f t="shared" ca="1" si="6"/>
        <v>0</v>
      </c>
      <c r="E20" s="112">
        <f t="shared" ca="1" si="7"/>
        <v>0</v>
      </c>
      <c r="F20" s="112">
        <f t="shared" ca="1" si="8"/>
        <v>0</v>
      </c>
      <c r="G20" s="183">
        <v>0</v>
      </c>
      <c r="H20" s="183">
        <v>0</v>
      </c>
      <c r="I20" s="183">
        <v>0</v>
      </c>
      <c r="J20" s="183">
        <v>0</v>
      </c>
      <c r="K20" s="183">
        <v>0</v>
      </c>
      <c r="L20" s="183">
        <v>0</v>
      </c>
      <c r="M20" s="183">
        <v>0</v>
      </c>
      <c r="N20" s="183">
        <v>0</v>
      </c>
      <c r="O20" s="183">
        <v>0</v>
      </c>
      <c r="P20" s="183">
        <v>0</v>
      </c>
    </row>
    <row r="21" spans="1:16" x14ac:dyDescent="0.25">
      <c r="A21" s="49" t="str">
        <f>IPO監視一覧!H18</f>
        <v>A</v>
      </c>
      <c r="B21" s="49" t="str">
        <f>IPO監視一覧!B18</f>
        <v>日本リビング保証</v>
      </c>
      <c r="C21" s="182">
        <f>株価一覧!E20</f>
        <v>0</v>
      </c>
      <c r="D21" s="105">
        <f t="shared" ca="1" si="6"/>
        <v>0</v>
      </c>
      <c r="E21" s="112">
        <f t="shared" ca="1" si="7"/>
        <v>0</v>
      </c>
      <c r="F21" s="112">
        <f t="shared" ca="1" si="8"/>
        <v>0</v>
      </c>
      <c r="G21" s="183">
        <v>0</v>
      </c>
      <c r="H21" s="183">
        <v>0</v>
      </c>
      <c r="I21" s="183">
        <v>0</v>
      </c>
      <c r="J21" s="183">
        <v>0</v>
      </c>
      <c r="K21" s="183">
        <v>0</v>
      </c>
      <c r="L21" s="183">
        <v>0</v>
      </c>
      <c r="M21" s="183">
        <v>0</v>
      </c>
      <c r="N21" s="183">
        <v>0</v>
      </c>
      <c r="O21" s="183">
        <v>0</v>
      </c>
      <c r="P21" s="183">
        <v>0</v>
      </c>
    </row>
    <row r="22" spans="1:16" x14ac:dyDescent="0.25">
      <c r="A22" s="49" t="str">
        <f>IPO監視一覧!H19</f>
        <v>A</v>
      </c>
      <c r="B22" s="49" t="str">
        <f>IPO監視一覧!B19</f>
        <v>ブティックス</v>
      </c>
      <c r="C22" s="182">
        <f>株価一覧!E21</f>
        <v>0</v>
      </c>
      <c r="D22" s="105">
        <f t="shared" ca="1" si="6"/>
        <v>0</v>
      </c>
      <c r="E22" s="112">
        <f t="shared" ca="1" si="7"/>
        <v>0</v>
      </c>
      <c r="F22" s="112">
        <f t="shared" ca="1" si="8"/>
        <v>0</v>
      </c>
      <c r="G22" s="183">
        <v>0</v>
      </c>
      <c r="H22" s="183">
        <v>0</v>
      </c>
      <c r="I22" s="183">
        <v>0</v>
      </c>
      <c r="J22" s="183">
        <v>0</v>
      </c>
      <c r="K22" s="183">
        <v>0</v>
      </c>
      <c r="L22" s="183">
        <v>0</v>
      </c>
      <c r="M22" s="183">
        <v>0</v>
      </c>
      <c r="N22" s="183">
        <v>0</v>
      </c>
      <c r="O22" s="183">
        <v>0</v>
      </c>
      <c r="P22" s="183">
        <v>0</v>
      </c>
    </row>
    <row r="23" spans="1:16" x14ac:dyDescent="0.25">
      <c r="A23" s="49" t="str">
        <f>IPO監視一覧!H20</f>
        <v>A</v>
      </c>
      <c r="B23" s="49" t="str">
        <f>IPO監視一覧!B20</f>
        <v>ビープラッツ</v>
      </c>
      <c r="C23" s="182">
        <f>株価一覧!E22</f>
        <v>0</v>
      </c>
      <c r="D23" s="105">
        <f t="shared" ca="1" si="6"/>
        <v>0</v>
      </c>
      <c r="E23" s="112">
        <f t="shared" ca="1" si="7"/>
        <v>0</v>
      </c>
      <c r="F23" s="112">
        <f t="shared" ca="1" si="8"/>
        <v>0</v>
      </c>
      <c r="G23" s="183">
        <v>0</v>
      </c>
      <c r="H23" s="183">
        <v>0</v>
      </c>
      <c r="I23" s="183">
        <v>0</v>
      </c>
      <c r="J23" s="183">
        <v>0</v>
      </c>
      <c r="K23" s="183">
        <v>0</v>
      </c>
      <c r="L23" s="183">
        <v>0</v>
      </c>
      <c r="M23" s="183">
        <v>0</v>
      </c>
      <c r="N23" s="183">
        <v>0</v>
      </c>
      <c r="O23" s="183">
        <v>0</v>
      </c>
      <c r="P23" s="183">
        <v>0</v>
      </c>
    </row>
    <row r="24" spans="1:16" x14ac:dyDescent="0.25">
      <c r="A24" s="49">
        <f>IPO監視一覧!H21</f>
        <v>0</v>
      </c>
      <c r="B24" s="49">
        <f>IPO監視一覧!B21</f>
        <v>0</v>
      </c>
      <c r="C24" s="182">
        <f>株価一覧!E23</f>
        <v>0</v>
      </c>
      <c r="D24" s="105">
        <f t="shared" ca="1" si="6"/>
        <v>0</v>
      </c>
      <c r="E24" s="112">
        <f t="shared" ca="1" si="7"/>
        <v>0</v>
      </c>
      <c r="F24" s="112">
        <f t="shared" ca="1" si="8"/>
        <v>0</v>
      </c>
      <c r="G24" s="183">
        <v>0</v>
      </c>
      <c r="H24" s="183">
        <v>0</v>
      </c>
      <c r="I24" s="183">
        <v>0</v>
      </c>
      <c r="J24" s="183">
        <v>0</v>
      </c>
      <c r="K24" s="183">
        <v>0</v>
      </c>
      <c r="L24" s="183">
        <v>0</v>
      </c>
      <c r="M24" s="183">
        <v>0</v>
      </c>
      <c r="N24" s="183">
        <v>0</v>
      </c>
      <c r="O24" s="183">
        <v>0</v>
      </c>
      <c r="P24" s="183">
        <v>0</v>
      </c>
    </row>
    <row r="25" spans="1:16" x14ac:dyDescent="0.25">
      <c r="A25" s="49">
        <f>IPO監視一覧!H22</f>
        <v>0</v>
      </c>
      <c r="B25" s="49">
        <f>IPO監視一覧!B22</f>
        <v>0</v>
      </c>
      <c r="C25" s="182">
        <f>株価一覧!E24</f>
        <v>0</v>
      </c>
      <c r="D25" s="105">
        <f t="shared" ca="1" si="6"/>
        <v>0</v>
      </c>
      <c r="E25" s="112">
        <f t="shared" ca="1" si="7"/>
        <v>0</v>
      </c>
      <c r="F25" s="112">
        <f t="shared" ca="1" si="8"/>
        <v>0</v>
      </c>
      <c r="G25" s="183">
        <v>0</v>
      </c>
      <c r="H25" s="183">
        <v>0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</row>
    <row r="26" spans="1:16" x14ac:dyDescent="0.25">
      <c r="A26" s="49">
        <f>IPO監視一覧!H23</f>
        <v>0</v>
      </c>
      <c r="B26" s="49">
        <f>IPO監視一覧!B23</f>
        <v>0</v>
      </c>
      <c r="C26" s="182">
        <f>株価一覧!E25</f>
        <v>0</v>
      </c>
      <c r="D26" s="105">
        <f t="shared" ca="1" si="6"/>
        <v>0</v>
      </c>
      <c r="E26" s="112">
        <f t="shared" ca="1" si="7"/>
        <v>0</v>
      </c>
      <c r="F26" s="112">
        <f t="shared" ca="1" si="8"/>
        <v>0</v>
      </c>
      <c r="G26" s="183">
        <v>0</v>
      </c>
      <c r="H26" s="183">
        <v>0</v>
      </c>
      <c r="I26" s="183">
        <v>0</v>
      </c>
      <c r="J26" s="183">
        <v>0</v>
      </c>
      <c r="K26" s="183">
        <v>0</v>
      </c>
      <c r="L26" s="183">
        <v>0</v>
      </c>
      <c r="M26" s="183">
        <v>0</v>
      </c>
      <c r="N26" s="183">
        <v>0</v>
      </c>
      <c r="O26" s="183">
        <v>0</v>
      </c>
      <c r="P26" s="183">
        <v>0</v>
      </c>
    </row>
    <row r="27" spans="1:16" x14ac:dyDescent="0.25">
      <c r="A27" s="49">
        <f>IPO監視一覧!H24</f>
        <v>0</v>
      </c>
      <c r="B27" s="49">
        <f>IPO監視一覧!B24</f>
        <v>0</v>
      </c>
      <c r="C27" s="182">
        <f>株価一覧!E26</f>
        <v>0</v>
      </c>
      <c r="D27" s="105">
        <f t="shared" ca="1" si="6"/>
        <v>0</v>
      </c>
      <c r="E27" s="112">
        <f t="shared" ca="1" si="7"/>
        <v>0</v>
      </c>
      <c r="F27" s="112">
        <f t="shared" ca="1" si="8"/>
        <v>0</v>
      </c>
      <c r="G27" s="183">
        <v>0</v>
      </c>
      <c r="H27" s="183">
        <v>0</v>
      </c>
      <c r="I27" s="183">
        <v>0</v>
      </c>
      <c r="J27" s="183">
        <v>0</v>
      </c>
      <c r="K27" s="183">
        <v>0</v>
      </c>
      <c r="L27" s="183">
        <v>0</v>
      </c>
      <c r="M27" s="183">
        <v>0</v>
      </c>
      <c r="N27" s="183">
        <v>0</v>
      </c>
      <c r="O27" s="183">
        <v>0</v>
      </c>
      <c r="P27" s="183">
        <v>0</v>
      </c>
    </row>
    <row r="28" spans="1:16" x14ac:dyDescent="0.25">
      <c r="A28" s="49">
        <f>IPO監視一覧!H25</f>
        <v>0</v>
      </c>
      <c r="B28" s="49">
        <f>IPO監視一覧!B25</f>
        <v>0</v>
      </c>
      <c r="C28" s="182">
        <f>株価一覧!E27</f>
        <v>0</v>
      </c>
      <c r="D28" s="105">
        <f t="shared" ca="1" si="6"/>
        <v>0</v>
      </c>
      <c r="E28" s="112">
        <f t="shared" ca="1" si="7"/>
        <v>0</v>
      </c>
      <c r="F28" s="112">
        <f t="shared" ca="1" si="8"/>
        <v>0</v>
      </c>
      <c r="G28" s="183">
        <v>0</v>
      </c>
      <c r="H28" s="183">
        <v>0</v>
      </c>
      <c r="I28" s="183">
        <v>0</v>
      </c>
      <c r="J28" s="183">
        <v>0</v>
      </c>
      <c r="K28" s="183">
        <v>0</v>
      </c>
      <c r="L28" s="183">
        <v>0</v>
      </c>
      <c r="M28" s="183">
        <v>0</v>
      </c>
      <c r="N28" s="183">
        <v>0</v>
      </c>
      <c r="O28" s="183">
        <v>0</v>
      </c>
      <c r="P28" s="183">
        <v>0</v>
      </c>
    </row>
    <row r="29" spans="1:16" x14ac:dyDescent="0.25">
      <c r="A29" s="49">
        <f>IPO監視一覧!H26</f>
        <v>0</v>
      </c>
      <c r="B29" s="49">
        <f>IPO監視一覧!B26</f>
        <v>0</v>
      </c>
      <c r="C29" s="182">
        <f>株価一覧!E28</f>
        <v>0</v>
      </c>
      <c r="D29" s="105">
        <f t="shared" ca="1" si="6"/>
        <v>0</v>
      </c>
      <c r="E29" s="112">
        <f t="shared" ca="1" si="7"/>
        <v>0</v>
      </c>
      <c r="F29" s="112">
        <f t="shared" ca="1" si="8"/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0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</row>
    <row r="30" spans="1:16" x14ac:dyDescent="0.25">
      <c r="A30" s="49">
        <f>IPO監視一覧!H27</f>
        <v>0</v>
      </c>
      <c r="B30" s="49">
        <f>IPO監視一覧!B27</f>
        <v>0</v>
      </c>
      <c r="C30" s="182">
        <f>株価一覧!E29</f>
        <v>0</v>
      </c>
      <c r="D30" s="105">
        <f t="shared" ca="1" si="6"/>
        <v>0</v>
      </c>
      <c r="E30" s="112">
        <f t="shared" ca="1" si="7"/>
        <v>0</v>
      </c>
      <c r="F30" s="112">
        <f t="shared" ca="1" si="8"/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0</v>
      </c>
      <c r="O30" s="183">
        <v>0</v>
      </c>
      <c r="P30" s="183">
        <v>0</v>
      </c>
    </row>
    <row r="31" spans="1:16" x14ac:dyDescent="0.25">
      <c r="A31" s="49">
        <f>IPO監視一覧!H28</f>
        <v>0</v>
      </c>
      <c r="B31" s="49">
        <f>IPO監視一覧!B28</f>
        <v>0</v>
      </c>
      <c r="C31" s="182">
        <f>株価一覧!E30</f>
        <v>0</v>
      </c>
      <c r="D31" s="105">
        <f t="shared" ca="1" si="6"/>
        <v>0</v>
      </c>
      <c r="E31" s="112">
        <f t="shared" ca="1" si="7"/>
        <v>0</v>
      </c>
      <c r="F31" s="112">
        <f t="shared" ca="1" si="8"/>
        <v>0</v>
      </c>
      <c r="G31" s="183">
        <v>0</v>
      </c>
      <c r="H31" s="183">
        <v>0</v>
      </c>
      <c r="I31" s="183">
        <v>0</v>
      </c>
      <c r="J31" s="183">
        <v>0</v>
      </c>
      <c r="K31" s="183">
        <v>0</v>
      </c>
      <c r="L31" s="183">
        <v>0</v>
      </c>
      <c r="M31" s="183">
        <v>0</v>
      </c>
      <c r="N31" s="183">
        <v>0</v>
      </c>
      <c r="O31" s="183">
        <v>0</v>
      </c>
      <c r="P31" s="183">
        <v>0</v>
      </c>
    </row>
    <row r="32" spans="1:16" x14ac:dyDescent="0.25">
      <c r="A32" s="49">
        <f>IPO監視一覧!H29</f>
        <v>0</v>
      </c>
      <c r="B32" s="49">
        <f>IPO監視一覧!B29</f>
        <v>0</v>
      </c>
      <c r="C32" s="182">
        <f>株価一覧!E31</f>
        <v>0</v>
      </c>
      <c r="D32" s="105">
        <f t="shared" ca="1" si="6"/>
        <v>0</v>
      </c>
      <c r="E32" s="112">
        <f t="shared" ca="1" si="7"/>
        <v>0</v>
      </c>
      <c r="F32" s="112">
        <f t="shared" ca="1" si="8"/>
        <v>0</v>
      </c>
      <c r="G32" s="183">
        <v>0</v>
      </c>
      <c r="H32" s="183">
        <v>0</v>
      </c>
      <c r="I32" s="183">
        <v>0</v>
      </c>
      <c r="J32" s="183">
        <v>0</v>
      </c>
      <c r="K32" s="183">
        <v>0</v>
      </c>
      <c r="L32" s="183">
        <v>0</v>
      </c>
      <c r="M32" s="183">
        <v>0</v>
      </c>
      <c r="N32" s="183">
        <v>0</v>
      </c>
      <c r="O32" s="183">
        <v>0</v>
      </c>
      <c r="P32" s="183">
        <v>0</v>
      </c>
    </row>
    <row r="33" spans="1:16" x14ac:dyDescent="0.25">
      <c r="A33" s="49">
        <f>IPO監視一覧!H30</f>
        <v>0</v>
      </c>
      <c r="B33" s="49">
        <f>IPO監視一覧!B30</f>
        <v>0</v>
      </c>
      <c r="C33" s="182">
        <f>株価一覧!E32</f>
        <v>0</v>
      </c>
      <c r="D33" s="105">
        <f t="shared" ca="1" si="6"/>
        <v>0</v>
      </c>
      <c r="E33" s="112">
        <f t="shared" ca="1" si="7"/>
        <v>0</v>
      </c>
      <c r="F33" s="112">
        <f t="shared" ca="1" si="8"/>
        <v>0</v>
      </c>
      <c r="G33" s="183">
        <v>0</v>
      </c>
      <c r="H33" s="183">
        <v>0</v>
      </c>
      <c r="I33" s="183">
        <v>0</v>
      </c>
      <c r="J33" s="183">
        <v>0</v>
      </c>
      <c r="K33" s="183">
        <v>0</v>
      </c>
      <c r="L33" s="183">
        <v>0</v>
      </c>
      <c r="M33" s="183">
        <v>0</v>
      </c>
      <c r="N33" s="183">
        <v>0</v>
      </c>
      <c r="O33" s="183">
        <v>0</v>
      </c>
      <c r="P33" s="183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6" sqref="A6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238</v>
      </c>
      <c r="C2" s="4" t="s">
        <v>239</v>
      </c>
      <c r="D2" s="5">
        <v>100</v>
      </c>
      <c r="E2" s="6">
        <v>1044</v>
      </c>
      <c r="F2" s="7">
        <v>-15</v>
      </c>
      <c r="G2" s="8">
        <v>-1.42</v>
      </c>
      <c r="H2" s="5">
        <v>1890100</v>
      </c>
      <c r="I2" s="5">
        <v>1042</v>
      </c>
      <c r="J2" s="5">
        <v>1054</v>
      </c>
      <c r="K2" s="5">
        <v>1005</v>
      </c>
      <c r="L2" s="9">
        <v>43160</v>
      </c>
      <c r="M2" s="10">
        <v>0.625</v>
      </c>
      <c r="N2" s="1" t="s">
        <v>240</v>
      </c>
      <c r="O2" s="5"/>
    </row>
    <row r="3" spans="1:15" x14ac:dyDescent="0.15">
      <c r="A3" s="1">
        <v>8704</v>
      </c>
      <c r="B3" s="3" t="s">
        <v>241</v>
      </c>
      <c r="C3" s="1" t="s">
        <v>242</v>
      </c>
      <c r="D3" s="5">
        <v>100</v>
      </c>
      <c r="E3" s="6">
        <v>124</v>
      </c>
      <c r="F3" s="7">
        <v>-2</v>
      </c>
      <c r="G3" s="8">
        <v>-1.59</v>
      </c>
      <c r="H3" s="5">
        <v>1872100</v>
      </c>
      <c r="I3" s="5">
        <v>125</v>
      </c>
      <c r="J3" s="5">
        <v>128</v>
      </c>
      <c r="K3" s="5">
        <v>123</v>
      </c>
      <c r="L3" s="9">
        <v>43160</v>
      </c>
      <c r="M3" s="10">
        <v>0.625</v>
      </c>
      <c r="N3" s="1" t="s">
        <v>243</v>
      </c>
      <c r="O3" s="5"/>
    </row>
    <row r="4" spans="1:15" x14ac:dyDescent="0.15">
      <c r="A4" s="1">
        <v>4597</v>
      </c>
      <c r="B4" s="3" t="s">
        <v>244</v>
      </c>
      <c r="C4" s="1" t="s">
        <v>245</v>
      </c>
      <c r="D4" s="5">
        <v>100</v>
      </c>
      <c r="E4" s="6">
        <v>312</v>
      </c>
      <c r="F4" s="7">
        <v>-2</v>
      </c>
      <c r="G4" s="8">
        <v>-0.64</v>
      </c>
      <c r="H4" s="5">
        <v>1243000</v>
      </c>
      <c r="I4" s="5">
        <v>312</v>
      </c>
      <c r="J4" s="5">
        <v>316</v>
      </c>
      <c r="K4" s="5">
        <v>309</v>
      </c>
      <c r="L4" s="9">
        <v>43160</v>
      </c>
      <c r="M4" s="10">
        <v>0.625</v>
      </c>
      <c r="N4" s="1" t="s">
        <v>247</v>
      </c>
      <c r="O4" s="5"/>
    </row>
    <row r="5" spans="1:15" x14ac:dyDescent="0.15">
      <c r="A5" s="1">
        <v>4380</v>
      </c>
      <c r="B5" s="3" t="s">
        <v>248</v>
      </c>
      <c r="C5" s="4" t="s">
        <v>249</v>
      </c>
      <c r="D5" s="5">
        <v>100</v>
      </c>
      <c r="E5" s="6">
        <v>5850</v>
      </c>
      <c r="F5" s="7">
        <v>60</v>
      </c>
      <c r="G5" s="8">
        <v>1.04</v>
      </c>
      <c r="H5" s="5">
        <v>630500</v>
      </c>
      <c r="I5" s="5">
        <v>5710</v>
      </c>
      <c r="J5" s="5">
        <v>6100</v>
      </c>
      <c r="K5" s="5">
        <v>5710</v>
      </c>
      <c r="L5" s="9">
        <v>43160</v>
      </c>
      <c r="M5" s="10">
        <v>0.625</v>
      </c>
      <c r="N5" s="1" t="s">
        <v>250</v>
      </c>
      <c r="O5" s="5"/>
    </row>
    <row r="6" spans="1:15" x14ac:dyDescent="0.15">
      <c r="A6" s="1">
        <v>3446</v>
      </c>
      <c r="B6" s="3" t="s">
        <v>251</v>
      </c>
      <c r="C6" s="4" t="s">
        <v>40</v>
      </c>
      <c r="D6" s="5">
        <v>100</v>
      </c>
      <c r="E6" s="6">
        <v>11190</v>
      </c>
      <c r="F6" s="7">
        <v>0</v>
      </c>
      <c r="G6" s="8">
        <v>0</v>
      </c>
      <c r="H6" s="5">
        <v>1456300</v>
      </c>
      <c r="I6" s="5">
        <v>9700</v>
      </c>
      <c r="J6" s="5">
        <v>11200</v>
      </c>
      <c r="K6" s="5">
        <v>9690</v>
      </c>
      <c r="L6" s="9">
        <v>43160</v>
      </c>
      <c r="M6" s="10">
        <v>0.625</v>
      </c>
      <c r="N6" s="1" t="s">
        <v>246</v>
      </c>
      <c r="O6" s="5"/>
    </row>
    <row r="7" spans="1:15" x14ac:dyDescent="0.15">
      <c r="B7" s="3"/>
      <c r="C7" s="4"/>
      <c r="D7" s="5"/>
      <c r="E7" s="6"/>
      <c r="F7" s="7"/>
      <c r="G7" s="8"/>
      <c r="H7" s="5"/>
      <c r="I7" s="5"/>
      <c r="J7" s="5"/>
      <c r="K7" s="5"/>
      <c r="L7" s="11"/>
      <c r="M7" s="10"/>
      <c r="O7" s="5"/>
    </row>
    <row r="8" spans="1:15" x14ac:dyDescent="0.15">
      <c r="B8" s="3"/>
      <c r="D8" s="5"/>
      <c r="E8" s="5"/>
      <c r="F8" s="7"/>
      <c r="G8" s="8"/>
      <c r="H8" s="5"/>
      <c r="I8" s="5"/>
      <c r="J8" s="5"/>
      <c r="K8" s="5"/>
      <c r="L8" s="11"/>
      <c r="M8" s="10"/>
      <c r="O8" s="5"/>
    </row>
    <row r="9" spans="1:15" x14ac:dyDescent="0.15">
      <c r="B9" s="3"/>
      <c r="D9" s="5"/>
      <c r="E9" s="5"/>
      <c r="F9" s="7"/>
      <c r="G9" s="8"/>
      <c r="H9" s="5"/>
      <c r="I9" s="5"/>
      <c r="J9" s="5"/>
      <c r="K9" s="5"/>
      <c r="L9" s="11"/>
      <c r="M9" s="10"/>
      <c r="O9" s="5"/>
    </row>
    <row r="10" spans="1:15" x14ac:dyDescent="0.15">
      <c r="B10" s="3"/>
      <c r="D10" s="5"/>
      <c r="E10" s="5"/>
      <c r="F10" s="7"/>
      <c r="G10" s="8"/>
      <c r="H10" s="5"/>
      <c r="I10" s="5"/>
      <c r="J10" s="5"/>
      <c r="K10" s="5"/>
      <c r="L10" s="11"/>
      <c r="M10" s="10"/>
      <c r="O10" s="5"/>
    </row>
    <row r="11" spans="1:15" x14ac:dyDescent="0.15">
      <c r="B11" s="3"/>
      <c r="D11" s="5"/>
      <c r="E11" s="5"/>
      <c r="F11" s="7"/>
      <c r="G11" s="8"/>
      <c r="H11" s="5"/>
      <c r="I11" s="5"/>
      <c r="J11" s="5"/>
      <c r="K11" s="5"/>
      <c r="L11" s="11"/>
      <c r="M11" s="10"/>
      <c r="O11" s="5"/>
    </row>
    <row r="12" spans="1:15" x14ac:dyDescent="0.15">
      <c r="B12" s="3"/>
      <c r="C12" s="4"/>
      <c r="D12" s="5"/>
      <c r="E12" s="5"/>
      <c r="F12" s="7"/>
      <c r="G12" s="8"/>
      <c r="H12" s="5"/>
      <c r="I12" s="5"/>
      <c r="J12" s="5"/>
      <c r="K12" s="5"/>
      <c r="L12" s="11"/>
      <c r="M12" s="10"/>
      <c r="O12" s="5"/>
    </row>
    <row r="13" spans="1:15" x14ac:dyDescent="0.15">
      <c r="B13" s="3"/>
      <c r="C13" s="4"/>
      <c r="D13" s="5"/>
      <c r="E13" s="5"/>
      <c r="F13" s="7"/>
      <c r="G13" s="8"/>
      <c r="H13" s="5"/>
      <c r="I13" s="5"/>
      <c r="J13" s="5"/>
      <c r="K13" s="5"/>
      <c r="L13" s="11"/>
      <c r="M13" s="10"/>
      <c r="O13" s="5"/>
    </row>
    <row r="14" spans="1:15" x14ac:dyDescent="0.15">
      <c r="B14" s="3"/>
      <c r="D14" s="5"/>
      <c r="E14" s="5"/>
      <c r="F14" s="7"/>
      <c r="G14" s="8"/>
      <c r="H14" s="5"/>
      <c r="I14" s="5"/>
      <c r="J14" s="5"/>
      <c r="K14" s="5"/>
      <c r="L14" s="11"/>
      <c r="M14" s="10"/>
      <c r="O14" s="5"/>
    </row>
    <row r="15" spans="1:15" x14ac:dyDescent="0.15">
      <c r="B15" s="3"/>
      <c r="C15" s="4"/>
      <c r="D15" s="5"/>
      <c r="E15" s="5"/>
      <c r="F15" s="7"/>
      <c r="G15" s="8"/>
      <c r="H15" s="5"/>
      <c r="I15" s="5"/>
      <c r="J15" s="5"/>
      <c r="K15" s="5"/>
      <c r="L15" s="11"/>
      <c r="M15" s="10"/>
      <c r="O15" s="5"/>
    </row>
    <row r="16" spans="1:15" x14ac:dyDescent="0.15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15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15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15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</hyperlinks>
  <pageMargins left="0.75" right="0.75" top="1" bottom="1" header="0.51200000000000001" footer="0.51200000000000001"/>
  <headerFooter alignWithMargins="0"/>
  <drawing r:id="rId6"/>
  <legacyDrawing r:id="rId7"/>
  <controls>
    <mc:AlternateContent xmlns:mc="http://schemas.openxmlformats.org/markup-compatibility/2006">
      <mc:Choice Requires="x14">
        <control shapeId="1025" r:id="rId8" name="cmdKabukaGet">
          <controlPr defaultSize="0" autoLine="0" r:id="rId9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8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Q42"/>
  <sheetViews>
    <sheetView topLeftCell="A15" zoomScaleNormal="100" workbookViewId="0">
      <pane xSplit="2" topLeftCell="E1" activePane="topRight" state="frozen"/>
      <selection pane="topRight" activeCell="O39" sqref="O3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146</v>
      </c>
    </row>
    <row r="2" spans="1:16" s="84" customFormat="1" ht="16.5" thickBot="1" x14ac:dyDescent="0.3">
      <c r="B2" s="115" t="s">
        <v>128</v>
      </c>
      <c r="C2" s="236">
        <v>43101</v>
      </c>
      <c r="D2" s="238"/>
      <c r="E2" s="236">
        <v>43132</v>
      </c>
      <c r="F2" s="238"/>
      <c r="G2" s="236">
        <v>43160</v>
      </c>
      <c r="H2" s="238"/>
      <c r="I2" s="236">
        <v>43191</v>
      </c>
      <c r="J2" s="238"/>
      <c r="K2" s="236">
        <v>43221</v>
      </c>
      <c r="L2" s="238"/>
      <c r="M2" s="236">
        <v>43252</v>
      </c>
      <c r="N2" s="238"/>
      <c r="O2" s="236">
        <v>43282</v>
      </c>
      <c r="P2" s="238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34">
        <f>C5+D5</f>
        <v>0</v>
      </c>
      <c r="D6" s="235"/>
      <c r="E6" s="234">
        <f>E5+F5</f>
        <v>0</v>
      </c>
      <c r="F6" s="235"/>
      <c r="G6" s="234">
        <f>G5+H5</f>
        <v>0</v>
      </c>
      <c r="H6" s="235"/>
      <c r="I6" s="234">
        <f>I5+J5</f>
        <v>0</v>
      </c>
      <c r="J6" s="235"/>
      <c r="K6" s="234">
        <f>K5+L5</f>
        <v>0</v>
      </c>
      <c r="L6" s="235"/>
      <c r="M6" s="234">
        <f>M5+N5</f>
        <v>0</v>
      </c>
      <c r="N6" s="235"/>
      <c r="O6" s="234">
        <f>O5+P5</f>
        <v>0</v>
      </c>
      <c r="P6" s="235"/>
    </row>
    <row r="7" spans="1:16" x14ac:dyDescent="0.25">
      <c r="B7" s="83" t="s">
        <v>121</v>
      </c>
      <c r="C7" s="15">
        <f>IF(ISERROR(C5/C4),0,C5/C4)</f>
        <v>0</v>
      </c>
      <c r="D7" s="147">
        <f>IF(D4=0,0,D5/D4)</f>
        <v>0</v>
      </c>
      <c r="E7" s="15">
        <f>IF(ISERROR(E5/E4),0,E5/E4)</f>
        <v>0</v>
      </c>
      <c r="F7" s="147">
        <f>IF(F4=0,0,F5/F4)</f>
        <v>0</v>
      </c>
      <c r="G7" s="15">
        <f>IF(ISERROR(G5/G4),0,G5/G4)</f>
        <v>0</v>
      </c>
      <c r="H7" s="147">
        <f>IF(H4=0,0,H5/H4)</f>
        <v>0</v>
      </c>
      <c r="I7" s="15">
        <f>IF(ISERROR(I5/I4),0,I5/I4)</f>
        <v>0</v>
      </c>
      <c r="J7" s="147">
        <f>IF(J4=0,0,J5/J4)</f>
        <v>0</v>
      </c>
      <c r="K7" s="15">
        <f>IF(ISERROR(K5/K4),0,K5/K4)</f>
        <v>0</v>
      </c>
      <c r="L7" s="147">
        <f>IF(L4=0,0,L5/L4)</f>
        <v>0</v>
      </c>
      <c r="M7" s="15">
        <f>IF(ISERROR(M5/M4),0,M5/M4)</f>
        <v>0</v>
      </c>
      <c r="N7" s="147">
        <f>IF(N4=0,0,N5/N4)</f>
        <v>0</v>
      </c>
      <c r="O7" s="15">
        <f>IF(ISERROR(O5/O4),0,O5/O4)</f>
        <v>0</v>
      </c>
      <c r="P7" s="147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7"/>
      <c r="M8" s="15"/>
      <c r="N8" s="15"/>
      <c r="O8" s="15"/>
      <c r="P8" s="15"/>
    </row>
    <row r="9" spans="1:16" ht="16.5" thickBot="1" x14ac:dyDescent="0.3">
      <c r="C9" s="236">
        <v>43313</v>
      </c>
      <c r="D9" s="238"/>
      <c r="E9" s="236">
        <v>43344</v>
      </c>
      <c r="F9" s="238"/>
      <c r="G9" s="236">
        <v>43374</v>
      </c>
      <c r="H9" s="238"/>
      <c r="I9" s="236">
        <v>43405</v>
      </c>
      <c r="J9" s="238"/>
      <c r="K9" s="236">
        <v>43435</v>
      </c>
      <c r="L9" s="238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34">
        <f>C12+D12</f>
        <v>0</v>
      </c>
      <c r="D13" s="235"/>
      <c r="E13" s="234">
        <f>E12+F12</f>
        <v>0</v>
      </c>
      <c r="F13" s="235"/>
      <c r="G13" s="234">
        <f>G12+H12</f>
        <v>0</v>
      </c>
      <c r="H13" s="235"/>
      <c r="I13" s="234">
        <f>I12+J12</f>
        <v>0</v>
      </c>
      <c r="J13" s="235"/>
      <c r="K13" s="234">
        <f>K12+L12</f>
        <v>0</v>
      </c>
      <c r="L13" s="235"/>
    </row>
    <row r="14" spans="1:16" x14ac:dyDescent="0.25">
      <c r="C14" s="15">
        <f>IF(ISERROR(C12/C11),0,C12/C11)</f>
        <v>0</v>
      </c>
      <c r="D14" s="147">
        <f>IF(D11=0,0,D12/D11)</f>
        <v>0</v>
      </c>
      <c r="E14" s="15">
        <f>IF(ISERROR(E12/E11),0,E12/E11)</f>
        <v>0</v>
      </c>
      <c r="F14" s="147">
        <f>IF(F11=0,0,F12/F11)</f>
        <v>0</v>
      </c>
      <c r="G14" s="15">
        <f>IF(ISERROR(G12/G11),0,G12/G11)</f>
        <v>0</v>
      </c>
      <c r="H14" s="147">
        <f>IF(H11=0,0,H12/H11)</f>
        <v>0</v>
      </c>
      <c r="I14" s="15">
        <f>IF(ISERROR(I12/I11),0,I12/I11)</f>
        <v>0</v>
      </c>
      <c r="J14" s="147">
        <f>IF(J11=0,0,J12/J11)</f>
        <v>0</v>
      </c>
      <c r="K14" s="15">
        <f>IF(ISERROR(K12/K11),0,K12/K11)</f>
        <v>0</v>
      </c>
      <c r="L14" s="147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7" ht="16.5" thickBot="1" x14ac:dyDescent="0.3">
      <c r="B17" s="83" t="s">
        <v>190</v>
      </c>
      <c r="C17" s="91">
        <f>SUM(D20:E24)</f>
        <v>0</v>
      </c>
      <c r="D17" s="37" t="s">
        <v>149</v>
      </c>
      <c r="E17" s="84"/>
      <c r="F17" s="92"/>
    </row>
    <row r="18" spans="1:17" ht="16.5" thickBot="1" x14ac:dyDescent="0.3">
      <c r="H18" s="12"/>
      <c r="I18" s="14"/>
      <c r="K18" s="14" t="s">
        <v>152</v>
      </c>
      <c r="N18" s="236" t="s">
        <v>189</v>
      </c>
      <c r="O18" s="237"/>
      <c r="P18" s="238"/>
    </row>
    <row r="19" spans="1:17" ht="16.5" thickBot="1" x14ac:dyDescent="0.3">
      <c r="A19" s="123" t="s">
        <v>145</v>
      </c>
      <c r="C19" s="93" t="s">
        <v>141</v>
      </c>
      <c r="D19" s="93" t="s">
        <v>142</v>
      </c>
      <c r="E19" s="93" t="s">
        <v>154</v>
      </c>
      <c r="F19" s="93" t="s">
        <v>144</v>
      </c>
      <c r="G19" s="93" t="s">
        <v>148</v>
      </c>
      <c r="H19" s="93" t="s">
        <v>191</v>
      </c>
      <c r="I19" s="93" t="s">
        <v>147</v>
      </c>
      <c r="J19" s="135" t="s">
        <v>151</v>
      </c>
      <c r="K19" s="193" t="s">
        <v>153</v>
      </c>
      <c r="N19" s="191" t="s">
        <v>188</v>
      </c>
      <c r="O19" s="192" t="s">
        <v>200</v>
      </c>
      <c r="P19" s="192" t="s">
        <v>200</v>
      </c>
      <c r="Q19" s="134"/>
    </row>
    <row r="20" spans="1:17" ht="16.5" thickTop="1" x14ac:dyDescent="0.25">
      <c r="B20" s="133" t="s">
        <v>136</v>
      </c>
      <c r="C20" s="132">
        <f>SUMIF(セカンダリ投資分析!$H$3:'セカンダリ投資分析'!$H$1048350,"=SBI",セカンダリ投資分析!$N$3:'セカンダリ投資分析'!$N$1048350)</f>
        <v>0</v>
      </c>
      <c r="D20" s="137">
        <v>0</v>
      </c>
      <c r="E20" s="137">
        <v>0</v>
      </c>
      <c r="F20" s="132">
        <f>C20+D20+E20</f>
        <v>0</v>
      </c>
      <c r="G20" s="140">
        <v>0</v>
      </c>
      <c r="H20" s="143">
        <v>2017674</v>
      </c>
      <c r="I20" s="129">
        <f>H20+F20+G20</f>
        <v>2017674</v>
      </c>
      <c r="J20" s="148">
        <v>5174</v>
      </c>
      <c r="K20" s="198">
        <f>1486*1000 + 351*1500</f>
        <v>2012500</v>
      </c>
      <c r="L20" s="56"/>
      <c r="N20" s="210">
        <v>-170699</v>
      </c>
      <c r="O20" s="211">
        <v>0</v>
      </c>
      <c r="P20" s="211">
        <v>0</v>
      </c>
    </row>
    <row r="21" spans="1:17" x14ac:dyDescent="0.25">
      <c r="B21" s="124" t="s">
        <v>137</v>
      </c>
      <c r="C21" s="128">
        <f>SUMIF(セカンダリ投資分析!$H$3:'セカンダリ投資分析'!$H$1048350,"=SMBC日興",セカンダリ投資分析!$N$3:'セカンダリ投資分析'!$N$1048350)</f>
        <v>0</v>
      </c>
      <c r="D21" s="138">
        <v>0</v>
      </c>
      <c r="E21" s="138">
        <v>0</v>
      </c>
      <c r="F21" s="128">
        <f t="shared" ref="F21:F24" si="0">C21+D21+E21</f>
        <v>0</v>
      </c>
      <c r="G21" s="141">
        <v>0</v>
      </c>
      <c r="H21" s="144">
        <v>488897</v>
      </c>
      <c r="I21" s="129">
        <f>H21+F21+G21</f>
        <v>488897</v>
      </c>
      <c r="J21" s="196">
        <v>3665</v>
      </c>
      <c r="K21" s="194">
        <f>(1213.08*400)</f>
        <v>485232</v>
      </c>
      <c r="L21" s="56"/>
      <c r="N21" s="212">
        <v>85536</v>
      </c>
      <c r="O21" s="213">
        <v>13099</v>
      </c>
      <c r="P21" s="213">
        <v>4276</v>
      </c>
    </row>
    <row r="22" spans="1:17" x14ac:dyDescent="0.25">
      <c r="B22" s="125" t="s">
        <v>138</v>
      </c>
      <c r="C22" s="128">
        <f>SUMIF(セカンダリ投資分析!$H$3:'セカンダリ投資分析'!$H$1048350,"=大和",セカンダリ投資分析!$N$3:'セカンダリ投資分析'!$N$1048350)</f>
        <v>0</v>
      </c>
      <c r="D22" s="138">
        <v>0</v>
      </c>
      <c r="E22" s="138">
        <v>0</v>
      </c>
      <c r="F22" s="128">
        <f t="shared" si="0"/>
        <v>0</v>
      </c>
      <c r="G22" s="141">
        <v>0</v>
      </c>
      <c r="H22" s="144">
        <v>396088</v>
      </c>
      <c r="I22" s="129">
        <f>H22+F22+G22</f>
        <v>396088</v>
      </c>
      <c r="J22" s="196">
        <v>396088</v>
      </c>
      <c r="K22" s="194">
        <v>0</v>
      </c>
      <c r="L22" s="56"/>
      <c r="N22" s="212">
        <v>-3918</v>
      </c>
      <c r="O22" s="213">
        <v>0</v>
      </c>
      <c r="P22" s="213">
        <v>0</v>
      </c>
    </row>
    <row r="23" spans="1:17" x14ac:dyDescent="0.25">
      <c r="B23" s="126" t="s">
        <v>139</v>
      </c>
      <c r="C23" s="128">
        <f>SUMIF(セカンダリ投資分析!$H$3:'セカンダリ投資分析'!$H$1048350,"=マネックス",セカンダリ投資分析!$N$3:'セカンダリ投資分析'!$N$1048350)</f>
        <v>0</v>
      </c>
      <c r="D23" s="138">
        <v>0</v>
      </c>
      <c r="E23" s="138">
        <v>0</v>
      </c>
      <c r="F23" s="128">
        <f t="shared" si="0"/>
        <v>0</v>
      </c>
      <c r="G23" s="141">
        <v>0</v>
      </c>
      <c r="H23" s="144">
        <v>309807</v>
      </c>
      <c r="I23" s="129">
        <f>H23+F23+G23</f>
        <v>309807</v>
      </c>
      <c r="J23" s="196">
        <v>7807</v>
      </c>
      <c r="K23" s="194">
        <f>(604*500)</f>
        <v>302000</v>
      </c>
      <c r="L23" s="56"/>
      <c r="N23" s="212">
        <v>18800</v>
      </c>
      <c r="O23" s="213">
        <v>2877</v>
      </c>
      <c r="P23" s="213">
        <v>938</v>
      </c>
    </row>
    <row r="24" spans="1:17" ht="16.5" thickBot="1" x14ac:dyDescent="0.3">
      <c r="B24" s="127" t="s">
        <v>140</v>
      </c>
      <c r="C24" s="130">
        <f>SUMIF(セカンダリ投資分析!$H$3:'セカンダリ投資分析'!$H$1048350,"=岡三OL",セカンダリ投資分析!$N$3:'セカンダリ投資分析'!$N$1048350)</f>
        <v>0</v>
      </c>
      <c r="D24" s="139">
        <v>0</v>
      </c>
      <c r="E24" s="139">
        <v>0</v>
      </c>
      <c r="F24" s="130">
        <f t="shared" si="0"/>
        <v>0</v>
      </c>
      <c r="G24" s="142">
        <v>0</v>
      </c>
      <c r="H24" s="145">
        <v>0</v>
      </c>
      <c r="I24" s="131">
        <f>H24+F24</f>
        <v>0</v>
      </c>
      <c r="J24" s="197">
        <f>I24-K24</f>
        <v>0</v>
      </c>
      <c r="K24" s="195">
        <v>0</v>
      </c>
      <c r="L24" s="56"/>
      <c r="N24" s="214">
        <v>0</v>
      </c>
      <c r="O24" s="215">
        <v>0</v>
      </c>
      <c r="P24" s="215">
        <v>0</v>
      </c>
    </row>
    <row r="25" spans="1:17" x14ac:dyDescent="0.25">
      <c r="N25" s="216"/>
      <c r="O25" s="216"/>
      <c r="P25" s="216"/>
    </row>
    <row r="26" spans="1:17" x14ac:dyDescent="0.25">
      <c r="B26" s="83" t="s">
        <v>143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  <c r="N26" s="216">
        <f>SUM(N20:N24)</f>
        <v>-70281</v>
      </c>
      <c r="O26" s="216">
        <f>SUM(O20:O24)</f>
        <v>15976</v>
      </c>
      <c r="P26" s="216">
        <f>SUM(P20:P24)</f>
        <v>5214</v>
      </c>
    </row>
    <row r="27" spans="1:17" x14ac:dyDescent="0.25">
      <c r="D27" s="146" t="s">
        <v>150</v>
      </c>
      <c r="E27" s="146" t="s">
        <v>150</v>
      </c>
      <c r="G27" s="146" t="s">
        <v>150</v>
      </c>
      <c r="H27" s="146" t="s">
        <v>150</v>
      </c>
      <c r="J27" s="146" t="s">
        <v>150</v>
      </c>
      <c r="M27" s="13" t="s">
        <v>201</v>
      </c>
      <c r="N27" s="92">
        <f>SUM(O26:P26)</f>
        <v>21190</v>
      </c>
    </row>
    <row r="28" spans="1:17" x14ac:dyDescent="0.25">
      <c r="M28" s="13" t="s">
        <v>202</v>
      </c>
      <c r="N28" s="92">
        <f>SUM(N26:N27)</f>
        <v>-49091</v>
      </c>
    </row>
    <row r="33" spans="10:15" x14ac:dyDescent="0.25">
      <c r="L33" s="84" t="s">
        <v>224</v>
      </c>
      <c r="N33" s="37" t="s">
        <v>234</v>
      </c>
      <c r="O33" s="16">
        <v>43159</v>
      </c>
    </row>
    <row r="34" spans="10:15" x14ac:dyDescent="0.25">
      <c r="J34" s="56"/>
      <c r="L34" s="227"/>
      <c r="M34" s="226" t="s">
        <v>225</v>
      </c>
      <c r="N34" s="226" t="s">
        <v>226</v>
      </c>
      <c r="O34" s="226" t="s">
        <v>232</v>
      </c>
    </row>
    <row r="35" spans="10:15" x14ac:dyDescent="0.25">
      <c r="L35" s="228" t="s">
        <v>228</v>
      </c>
      <c r="M35" s="28">
        <f>O35-N35</f>
        <v>3193.2</v>
      </c>
      <c r="N35" s="28">
        <v>1354</v>
      </c>
      <c r="O35" s="28">
        <v>4547.2</v>
      </c>
    </row>
    <row r="36" spans="10:15" x14ac:dyDescent="0.25">
      <c r="K36" s="56"/>
      <c r="L36" s="228" t="s">
        <v>235</v>
      </c>
      <c r="M36" s="217">
        <f>M35/O35</f>
        <v>0.7022343420126671</v>
      </c>
      <c r="N36" s="218">
        <f>1-M36</f>
        <v>0.2977656579873329</v>
      </c>
      <c r="O36" s="28" t="s">
        <v>233</v>
      </c>
    </row>
    <row r="37" spans="10:15" x14ac:dyDescent="0.25">
      <c r="L37" s="228" t="s">
        <v>227</v>
      </c>
      <c r="M37" s="219">
        <v>660000</v>
      </c>
      <c r="N37" s="219">
        <v>100000</v>
      </c>
      <c r="O37" s="220">
        <f>SUM(M37:N37)</f>
        <v>760000</v>
      </c>
    </row>
    <row r="38" spans="10:15" x14ac:dyDescent="0.25">
      <c r="L38" s="228" t="s">
        <v>229</v>
      </c>
      <c r="M38" s="221">
        <f>O38*M36</f>
        <v>133424.52498240676</v>
      </c>
      <c r="N38" s="221">
        <f>O38-M38</f>
        <v>56575.475017593242</v>
      </c>
      <c r="O38" s="224">
        <v>190000</v>
      </c>
    </row>
    <row r="39" spans="10:15" x14ac:dyDescent="0.25">
      <c r="L39" s="228" t="s">
        <v>230</v>
      </c>
      <c r="M39" s="221">
        <f>M38-M37</f>
        <v>-526575.47501759324</v>
      </c>
      <c r="N39" s="221">
        <f>N38-N37</f>
        <v>-43424.524982406758</v>
      </c>
      <c r="O39" s="222">
        <f>SUM(M39:N39)</f>
        <v>-570000</v>
      </c>
    </row>
    <row r="40" spans="10:15" x14ac:dyDescent="0.25">
      <c r="L40" s="229" t="s">
        <v>231</v>
      </c>
      <c r="M40" s="223">
        <f>M39/M37</f>
        <v>-0.79784162881453524</v>
      </c>
      <c r="N40" s="223">
        <f>N39/N37</f>
        <v>-0.43424524982406759</v>
      </c>
      <c r="O40" s="29" t="s">
        <v>233</v>
      </c>
    </row>
    <row r="42" spans="10:15" x14ac:dyDescent="0.25">
      <c r="L42" s="37" t="s">
        <v>236</v>
      </c>
      <c r="M42" s="225">
        <f>M37/M35</f>
        <v>206.68921458098461</v>
      </c>
      <c r="N42" s="225">
        <f>N37/N35</f>
        <v>73.85524372230428</v>
      </c>
      <c r="O42" s="225">
        <f>O37/O35</f>
        <v>167.13581984517947</v>
      </c>
    </row>
  </sheetData>
  <mergeCells count="25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N18:P18"/>
    <mergeCell ref="I9:J9"/>
    <mergeCell ref="I13:J13"/>
    <mergeCell ref="K9:L9"/>
    <mergeCell ref="K13:L13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24"/>
  <sheetViews>
    <sheetView tabSelected="1" topLeftCell="A2" zoomScale="145" zoomScaleNormal="145" workbookViewId="0">
      <selection activeCell="B25" sqref="B25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0" style="37" hidden="1" customWidth="1"/>
    <col min="23" max="23" width="8" style="37"/>
    <col min="24" max="24" width="11.21875" style="37" bestFit="1" customWidth="1"/>
    <col min="25" max="16384" width="8" style="37"/>
  </cols>
  <sheetData>
    <row r="1" spans="1:24" ht="16.5" thickBot="1" x14ac:dyDescent="0.3"/>
    <row r="2" spans="1:24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132</v>
      </c>
      <c r="P2" s="70"/>
      <c r="Q2" s="69" t="s">
        <v>165</v>
      </c>
      <c r="R2" s="70"/>
      <c r="S2" s="69" t="s">
        <v>166</v>
      </c>
      <c r="T2" s="70"/>
      <c r="U2" s="69" t="s">
        <v>112</v>
      </c>
      <c r="V2" s="70"/>
    </row>
    <row r="3" spans="1:24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4" x14ac:dyDescent="0.25">
      <c r="A4" s="72" t="s">
        <v>108</v>
      </c>
      <c r="B4" s="82"/>
      <c r="C4" s="80" t="s">
        <v>170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X4" s="73" t="s">
        <v>109</v>
      </c>
    </row>
    <row r="5" spans="1:24" ht="16.5" thickBot="1" x14ac:dyDescent="0.3">
      <c r="A5" s="74" t="s">
        <v>110</v>
      </c>
      <c r="B5" s="114"/>
      <c r="C5" s="78"/>
      <c r="D5" s="78"/>
      <c r="E5" s="78"/>
      <c r="F5" s="78"/>
      <c r="G5" s="156" t="s">
        <v>134</v>
      </c>
      <c r="H5" s="78" t="str">
        <f>LEFT(G5,LEN(G5)-1)</f>
        <v>30</v>
      </c>
      <c r="I5" s="156" t="s">
        <v>155</v>
      </c>
      <c r="J5" s="78" t="str">
        <f>LEFT(I5,LEN(I5)-1)</f>
        <v>48</v>
      </c>
      <c r="K5" s="78" t="s">
        <v>167</v>
      </c>
      <c r="L5" s="78" t="str">
        <f>LEFT(K5,LEN(K5)-1)</f>
        <v>39</v>
      </c>
      <c r="M5" s="156" t="s">
        <v>168</v>
      </c>
      <c r="N5" s="79" t="str">
        <f>LEFT(M5,LEN(M5)-1)</f>
        <v>201</v>
      </c>
      <c r="O5" s="78" t="s">
        <v>156</v>
      </c>
      <c r="P5" s="79" t="str">
        <f>LEFT(O5,LEN(O5)-1)</f>
        <v>0</v>
      </c>
      <c r="Q5" s="77" t="s">
        <v>169</v>
      </c>
      <c r="R5" s="79" t="str">
        <f>LEFT(Q5,LEN(Q5)-1)</f>
        <v>66</v>
      </c>
      <c r="S5" s="77" t="s">
        <v>156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X5" s="75">
        <v>43109</v>
      </c>
    </row>
    <row r="6" spans="1:24" x14ac:dyDescent="0.25">
      <c r="A6" s="76" t="s">
        <v>111</v>
      </c>
      <c r="B6" s="37" t="s">
        <v>171</v>
      </c>
      <c r="E6" s="55"/>
    </row>
    <row r="7" spans="1:24" ht="16.5" thickBot="1" x14ac:dyDescent="0.3"/>
    <row r="8" spans="1:24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132</v>
      </c>
      <c r="P8" s="70"/>
      <c r="Q8" s="69" t="s">
        <v>165</v>
      </c>
      <c r="R8" s="70"/>
      <c r="S8" s="69" t="s">
        <v>166</v>
      </c>
      <c r="T8" s="70"/>
      <c r="U8" s="69" t="s">
        <v>112</v>
      </c>
      <c r="V8" s="70"/>
    </row>
    <row r="9" spans="1:24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4" x14ac:dyDescent="0.25">
      <c r="A10" s="72" t="s">
        <v>108</v>
      </c>
      <c r="B10" s="82"/>
      <c r="C10" s="80" t="s">
        <v>186</v>
      </c>
      <c r="D10" s="80" t="str">
        <f>LEFT(C10,LEN(C10)-1)</f>
        <v>13</v>
      </c>
      <c r="E10" s="80" t="s">
        <v>185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X10" s="73" t="s">
        <v>109</v>
      </c>
    </row>
    <row r="11" spans="1:24" ht="16.5" thickBot="1" x14ac:dyDescent="0.3">
      <c r="A11" s="74" t="s">
        <v>110</v>
      </c>
      <c r="B11" s="114"/>
      <c r="C11" s="78"/>
      <c r="D11" s="78"/>
      <c r="E11" s="78"/>
      <c r="F11" s="78"/>
      <c r="G11" s="156" t="s">
        <v>134</v>
      </c>
      <c r="H11" s="78" t="str">
        <f>LEFT(G11,LEN(G11)-1)</f>
        <v>30</v>
      </c>
      <c r="I11" s="156" t="s">
        <v>155</v>
      </c>
      <c r="J11" s="78" t="str">
        <f>LEFT(I11,LEN(I11)-1)</f>
        <v>48</v>
      </c>
      <c r="K11" s="78" t="s">
        <v>167</v>
      </c>
      <c r="L11" s="78" t="str">
        <f>LEFT(K11,LEN(K11)-1)</f>
        <v>39</v>
      </c>
      <c r="M11" s="156" t="s">
        <v>168</v>
      </c>
      <c r="N11" s="79" t="str">
        <f>LEFT(M11,LEN(M11)-1)</f>
        <v>201</v>
      </c>
      <c r="O11" s="78" t="s">
        <v>156</v>
      </c>
      <c r="P11" s="79" t="str">
        <f>LEFT(O11,LEN(O11)-1)</f>
        <v>0</v>
      </c>
      <c r="Q11" s="77" t="s">
        <v>156</v>
      </c>
      <c r="R11" s="79" t="str">
        <f>LEFT(Q11,LEN(Q11)-1)</f>
        <v>0</v>
      </c>
      <c r="S11" s="77" t="s">
        <v>169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X11" s="75">
        <v>43145</v>
      </c>
    </row>
    <row r="12" spans="1:24" x14ac:dyDescent="0.25">
      <c r="A12" s="76" t="s">
        <v>111</v>
      </c>
      <c r="B12" s="37" t="s">
        <v>187</v>
      </c>
      <c r="E12" s="55"/>
    </row>
    <row r="13" spans="1:24" ht="16.5" thickBot="1" x14ac:dyDescent="0.3"/>
    <row r="14" spans="1:24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132</v>
      </c>
      <c r="P14" s="70"/>
      <c r="Q14" s="69" t="s">
        <v>165</v>
      </c>
      <c r="R14" s="70"/>
      <c r="S14" s="69" t="s">
        <v>166</v>
      </c>
      <c r="T14" s="70"/>
      <c r="U14" s="69" t="s">
        <v>112</v>
      </c>
      <c r="V14" s="70"/>
    </row>
    <row r="15" spans="1:24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4" x14ac:dyDescent="0.25">
      <c r="A16" s="72" t="s">
        <v>108</v>
      </c>
      <c r="B16" s="82"/>
      <c r="C16" s="80" t="s">
        <v>221</v>
      </c>
      <c r="D16" s="80" t="str">
        <f>LEFT(C16,LEN(C16)-1)</f>
        <v>25</v>
      </c>
      <c r="E16" s="80" t="s">
        <v>219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X16" s="73" t="s">
        <v>109</v>
      </c>
    </row>
    <row r="17" spans="1:24" ht="16.5" thickBot="1" x14ac:dyDescent="0.3">
      <c r="A17" s="74" t="s">
        <v>110</v>
      </c>
      <c r="B17" s="114"/>
      <c r="C17" s="78"/>
      <c r="D17" s="78"/>
      <c r="E17" s="78"/>
      <c r="F17" s="78"/>
      <c r="G17" s="156" t="s">
        <v>134</v>
      </c>
      <c r="H17" s="78" t="str">
        <f>LEFT(G17,LEN(G17)-1)</f>
        <v>30</v>
      </c>
      <c r="I17" s="156" t="s">
        <v>155</v>
      </c>
      <c r="J17" s="78" t="str">
        <f>LEFT(I17,LEN(I17)-1)</f>
        <v>48</v>
      </c>
      <c r="K17" s="78" t="s">
        <v>167</v>
      </c>
      <c r="L17" s="78" t="str">
        <f>LEFT(K17,LEN(K17)-1)</f>
        <v>39</v>
      </c>
      <c r="M17" s="156" t="s">
        <v>168</v>
      </c>
      <c r="N17" s="79" t="str">
        <f>LEFT(M17,LEN(M17)-1)</f>
        <v>201</v>
      </c>
      <c r="O17" s="78" t="s">
        <v>156</v>
      </c>
      <c r="P17" s="79" t="str">
        <f>LEFT(O17,LEN(O17)-1)</f>
        <v>0</v>
      </c>
      <c r="Q17" s="77" t="s">
        <v>156</v>
      </c>
      <c r="R17" s="79" t="str">
        <f>LEFT(Q17,LEN(Q17)-1)</f>
        <v>0</v>
      </c>
      <c r="S17" s="77" t="s">
        <v>169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X17" s="75">
        <v>43158</v>
      </c>
    </row>
    <row r="18" spans="1:24" x14ac:dyDescent="0.25">
      <c r="A18" s="76" t="s">
        <v>111</v>
      </c>
      <c r="B18" s="37" t="s">
        <v>220</v>
      </c>
      <c r="E18" s="55"/>
    </row>
    <row r="19" spans="1:24" ht="16.5" thickBot="1" x14ac:dyDescent="0.3"/>
    <row r="20" spans="1:24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132</v>
      </c>
      <c r="P20" s="70"/>
      <c r="Q20" s="69" t="s">
        <v>165</v>
      </c>
      <c r="R20" s="70"/>
      <c r="S20" s="69" t="s">
        <v>166</v>
      </c>
      <c r="T20" s="70"/>
      <c r="U20" s="69" t="s">
        <v>112</v>
      </c>
      <c r="V20" s="70"/>
    </row>
    <row r="21" spans="1:24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4" x14ac:dyDescent="0.25">
      <c r="A22" s="72" t="s">
        <v>108</v>
      </c>
      <c r="B22" s="82"/>
      <c r="C22" s="80" t="s">
        <v>170</v>
      </c>
      <c r="D22" s="80" t="str">
        <f>LEFT(C22,LEN(C22)-1)</f>
        <v>7</v>
      </c>
      <c r="E22" s="80" t="s">
        <v>219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X22" s="73" t="s">
        <v>109</v>
      </c>
    </row>
    <row r="23" spans="1:24" ht="16.5" thickBot="1" x14ac:dyDescent="0.3">
      <c r="A23" s="74" t="s">
        <v>110</v>
      </c>
      <c r="B23" s="114"/>
      <c r="C23" s="78"/>
      <c r="D23" s="78"/>
      <c r="E23" s="78"/>
      <c r="F23" s="78"/>
      <c r="G23" s="156" t="s">
        <v>134</v>
      </c>
      <c r="H23" s="78" t="str">
        <f>LEFT(G23,LEN(G23)-1)</f>
        <v>30</v>
      </c>
      <c r="I23" s="156" t="s">
        <v>155</v>
      </c>
      <c r="J23" s="78" t="str">
        <f>LEFT(I23,LEN(I23)-1)</f>
        <v>48</v>
      </c>
      <c r="K23" s="78" t="s">
        <v>167</v>
      </c>
      <c r="L23" s="78" t="str">
        <f>LEFT(K23,LEN(K23)-1)</f>
        <v>39</v>
      </c>
      <c r="M23" s="156" t="s">
        <v>168</v>
      </c>
      <c r="N23" s="79" t="str">
        <f>LEFT(M23,LEN(M23)-1)</f>
        <v>201</v>
      </c>
      <c r="O23" s="78" t="s">
        <v>156</v>
      </c>
      <c r="P23" s="79" t="str">
        <f>LEFT(O23,LEN(O23)-1)</f>
        <v>0</v>
      </c>
      <c r="Q23" s="77" t="s">
        <v>252</v>
      </c>
      <c r="R23" s="79" t="str">
        <f>LEFT(Q23,LEN(Q23)-1)</f>
        <v>18</v>
      </c>
      <c r="S23" s="77" t="s">
        <v>169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X23" s="75">
        <v>43160</v>
      </c>
    </row>
    <row r="24" spans="1:24" x14ac:dyDescent="0.25">
      <c r="A24" s="76" t="s">
        <v>111</v>
      </c>
      <c r="B24" s="37" t="s">
        <v>253</v>
      </c>
      <c r="E24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2018-03-01T06:11:59Z</dcterms:modified>
</cp:coreProperties>
</file>